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tbsm_projects\tbsmproduction\Document\"/>
    </mc:Choice>
  </mc:AlternateContent>
  <xr:revisionPtr revIDLastSave="0" documentId="13_ncr:1_{2DC203F0-1D4B-422E-AE7D-010C8D9525E6}" xr6:coauthVersionLast="47" xr6:coauthVersionMax="47" xr10:uidLastSave="{00000000-0000-0000-0000-000000000000}"/>
  <bookViews>
    <workbookView xWindow="-110" yWindow="-110" windowWidth="25820" windowHeight="15500" xr2:uid="{F4C4C3CB-FD2B-4744-9A90-75C88D73FD05}"/>
  </bookViews>
  <sheets>
    <sheet name="BOM Update" sheetId="1" r:id="rId1"/>
    <sheet name="72130-X7V72" sheetId="6" r:id="rId2"/>
    <sheet name="Inventory list (Line)" sheetId="3" r:id="rId3"/>
    <sheet name="Component Part List" sheetId="2" r:id="rId4"/>
    <sheet name="FG List" sheetId="4" r:id="rId5"/>
    <sheet name="Press Part" sheetId="5" r:id="rId6"/>
  </sheets>
  <definedNames>
    <definedName name="_xlnm._FilterDatabase" localSheetId="0" hidden="1">'BOM Update'!$A$1:$N$66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2" i="1"/>
  <c r="AR230" i="5" l="1"/>
  <c r="AR229" i="5"/>
  <c r="AR228" i="5"/>
  <c r="AR227" i="5"/>
  <c r="AR226" i="5"/>
  <c r="AR225" i="5"/>
  <c r="AR224" i="5"/>
  <c r="AR223" i="5"/>
  <c r="AR222" i="5"/>
  <c r="AR221" i="5"/>
  <c r="AR220" i="5"/>
  <c r="AR219" i="5"/>
  <c r="AR218" i="5"/>
  <c r="AR217" i="5"/>
  <c r="AR216" i="5"/>
  <c r="AR215" i="5"/>
  <c r="AR214" i="5"/>
  <c r="AR213" i="5"/>
  <c r="AR212" i="5"/>
  <c r="AR211" i="5"/>
  <c r="AR210" i="5"/>
  <c r="AR209" i="5"/>
  <c r="AR208" i="5"/>
  <c r="AR207" i="5"/>
  <c r="AR206" i="5"/>
  <c r="AR205" i="5"/>
  <c r="AR204" i="5"/>
  <c r="AR203" i="5"/>
  <c r="AR202" i="5"/>
  <c r="AR201" i="5"/>
  <c r="AR200" i="5"/>
  <c r="AR199" i="5"/>
  <c r="AR198" i="5"/>
  <c r="AR197" i="5"/>
  <c r="AR196" i="5"/>
  <c r="AR195" i="5"/>
  <c r="AR194" i="5"/>
  <c r="AR193" i="5"/>
  <c r="AR192" i="5"/>
  <c r="AR191" i="5"/>
  <c r="AR190" i="5"/>
  <c r="AR189" i="5"/>
  <c r="AR188" i="5"/>
  <c r="AR187" i="5"/>
  <c r="AR186" i="5"/>
  <c r="AR185" i="5"/>
  <c r="AR184" i="5"/>
  <c r="AR183" i="5"/>
  <c r="AR182" i="5"/>
  <c r="AR181" i="5"/>
  <c r="AR180" i="5"/>
  <c r="AR179" i="5"/>
  <c r="AR178" i="5"/>
  <c r="AR177" i="5"/>
  <c r="AR176" i="5"/>
  <c r="AR175" i="5"/>
  <c r="AR174" i="5"/>
  <c r="AR173" i="5"/>
  <c r="AR172" i="5"/>
  <c r="AR171" i="5"/>
  <c r="AR170" i="5"/>
  <c r="AR169" i="5"/>
  <c r="AR168" i="5"/>
  <c r="AR167" i="5"/>
  <c r="AR166" i="5"/>
  <c r="AR165" i="5"/>
  <c r="AR164" i="5"/>
  <c r="AR163" i="5"/>
  <c r="AR162" i="5"/>
  <c r="AR161" i="5"/>
  <c r="AR160" i="5"/>
  <c r="AR159" i="5"/>
  <c r="AR158" i="5"/>
  <c r="AR157" i="5"/>
  <c r="AR156" i="5"/>
  <c r="AR155" i="5"/>
  <c r="AR154" i="5"/>
  <c r="AR153" i="5"/>
  <c r="AR152" i="5"/>
  <c r="AR151" i="5"/>
  <c r="AR150" i="5"/>
  <c r="AR149" i="5"/>
  <c r="AR148" i="5"/>
  <c r="AR147" i="5"/>
  <c r="AR146" i="5"/>
  <c r="AR145" i="5"/>
  <c r="AR144" i="5"/>
  <c r="AR143" i="5"/>
  <c r="AR142" i="5"/>
  <c r="AR141" i="5"/>
  <c r="AR140" i="5"/>
  <c r="AR139" i="5"/>
  <c r="AR138" i="5"/>
  <c r="AR137" i="5"/>
  <c r="AR136" i="5"/>
  <c r="AR135" i="5"/>
  <c r="AR134" i="5"/>
  <c r="AR133" i="5"/>
  <c r="AR132" i="5"/>
  <c r="AR131" i="5"/>
  <c r="AR130" i="5"/>
  <c r="AR129" i="5"/>
  <c r="AR128" i="5"/>
  <c r="AR127" i="5"/>
  <c r="AR126" i="5"/>
  <c r="AR125" i="5"/>
  <c r="AR124" i="5"/>
  <c r="AR123" i="5"/>
  <c r="AR122" i="5"/>
  <c r="AR121" i="5"/>
  <c r="AR120" i="5"/>
  <c r="AR119" i="5"/>
  <c r="AR118" i="5"/>
  <c r="AR117" i="5"/>
  <c r="AR116" i="5"/>
  <c r="AR115" i="5"/>
  <c r="AR114" i="5"/>
  <c r="AR113" i="5"/>
  <c r="AR112" i="5"/>
  <c r="AR111" i="5"/>
  <c r="AR110" i="5"/>
  <c r="AR109" i="5"/>
  <c r="AR108" i="5"/>
  <c r="AR107" i="5"/>
  <c r="AR106" i="5"/>
  <c r="AR105" i="5"/>
  <c r="AR104" i="5"/>
  <c r="AR103" i="5"/>
  <c r="AR102" i="5"/>
  <c r="AR101" i="5"/>
  <c r="AR100" i="5"/>
  <c r="AR99" i="5"/>
  <c r="AR98" i="5"/>
  <c r="AR97" i="5"/>
  <c r="AR96" i="5"/>
  <c r="AR95" i="5"/>
  <c r="AR94" i="5"/>
  <c r="AR93" i="5"/>
  <c r="AR92" i="5"/>
  <c r="AR91" i="5"/>
  <c r="AR90" i="5"/>
  <c r="AR89" i="5"/>
  <c r="AR88" i="5"/>
  <c r="AR87" i="5"/>
  <c r="AR86" i="5"/>
  <c r="AR85" i="5"/>
  <c r="AR84" i="5"/>
  <c r="AR83" i="5"/>
  <c r="AR82" i="5"/>
  <c r="AR81" i="5"/>
  <c r="AR80" i="5"/>
  <c r="AR79" i="5"/>
  <c r="AR78" i="5"/>
  <c r="AR77" i="5"/>
  <c r="AR76" i="5"/>
  <c r="AR75" i="5"/>
  <c r="AR74" i="5"/>
  <c r="AR73" i="5"/>
  <c r="AR72" i="5"/>
  <c r="AR71" i="5"/>
  <c r="AR70" i="5"/>
  <c r="AR69" i="5"/>
  <c r="AR68" i="5"/>
  <c r="AR67" i="5"/>
  <c r="AR66" i="5"/>
  <c r="AR65" i="5"/>
  <c r="AR64" i="5"/>
  <c r="AR63" i="5"/>
  <c r="AR62" i="5"/>
  <c r="AR61" i="5"/>
  <c r="AR60" i="5"/>
  <c r="AR59" i="5"/>
  <c r="AR58" i="5"/>
  <c r="AR57" i="5"/>
  <c r="AR56" i="5"/>
  <c r="AR55" i="5"/>
  <c r="AR54" i="5"/>
  <c r="AR53" i="5"/>
  <c r="AR52" i="5"/>
  <c r="AR51" i="5"/>
  <c r="AR50" i="5"/>
  <c r="AR49" i="5"/>
  <c r="AR48" i="5"/>
  <c r="AR47" i="5"/>
  <c r="AR46" i="5"/>
  <c r="AR45" i="5"/>
  <c r="AR44" i="5"/>
  <c r="AR43" i="5"/>
  <c r="AR42" i="5"/>
  <c r="AR41" i="5"/>
  <c r="AR40" i="5"/>
  <c r="AR39" i="5"/>
  <c r="AR38" i="5"/>
  <c r="AR37" i="5"/>
  <c r="AR36" i="5"/>
  <c r="AR35" i="5"/>
  <c r="AR34" i="5"/>
  <c r="AR33" i="5"/>
  <c r="AR32" i="5"/>
  <c r="AR31" i="5"/>
  <c r="AR30" i="5"/>
  <c r="AR29" i="5"/>
  <c r="AR28" i="5"/>
  <c r="AR27" i="5"/>
  <c r="AR26" i="5"/>
  <c r="AR25" i="5"/>
  <c r="AR24" i="5"/>
  <c r="AR23" i="5"/>
  <c r="AR22" i="5"/>
  <c r="AR21" i="5"/>
  <c r="AR20" i="5"/>
  <c r="AR19" i="5"/>
  <c r="AR18" i="5"/>
  <c r="AR17" i="5"/>
  <c r="AR16" i="5"/>
  <c r="AR249" i="5" l="1"/>
  <c r="AR248" i="5"/>
  <c r="AR247" i="5"/>
  <c r="AR246" i="5"/>
  <c r="AR245" i="5"/>
  <c r="AR244" i="5"/>
  <c r="AM230" i="5"/>
  <c r="AL230" i="5"/>
  <c r="AM229" i="5"/>
  <c r="AL229" i="5"/>
  <c r="AM228" i="5"/>
  <c r="AL228" i="5"/>
  <c r="AM227" i="5"/>
  <c r="AL227" i="5"/>
  <c r="AM226" i="5"/>
  <c r="AL226" i="5"/>
  <c r="AM225" i="5"/>
  <c r="AL225" i="5"/>
  <c r="AM224" i="5"/>
  <c r="AL224" i="5"/>
  <c r="AM223" i="5"/>
  <c r="AL223" i="5"/>
  <c r="AM222" i="5"/>
  <c r="AL222" i="5"/>
  <c r="AM221" i="5"/>
  <c r="AL221" i="5"/>
  <c r="AM220" i="5"/>
  <c r="AL220" i="5"/>
  <c r="AM219" i="5"/>
  <c r="AL219" i="5"/>
  <c r="AM218" i="5"/>
  <c r="AL218" i="5"/>
  <c r="AM217" i="5"/>
  <c r="AL217" i="5"/>
  <c r="AM216" i="5"/>
  <c r="AL216" i="5"/>
  <c r="AM215" i="5"/>
  <c r="AL215" i="5"/>
  <c r="AM214" i="5"/>
  <c r="AL214" i="5"/>
  <c r="AM213" i="5"/>
  <c r="AL213" i="5"/>
  <c r="AM212" i="5"/>
  <c r="AL212" i="5"/>
  <c r="AM211" i="5"/>
  <c r="AL211" i="5"/>
  <c r="AM210" i="5"/>
  <c r="AL210" i="5"/>
  <c r="AM209" i="5"/>
  <c r="AL209" i="5"/>
  <c r="AM208" i="5"/>
  <c r="AL208" i="5"/>
  <c r="AM207" i="5"/>
  <c r="AL207" i="5"/>
  <c r="AM206" i="5"/>
  <c r="AL206" i="5"/>
  <c r="AM205" i="5"/>
  <c r="AL205" i="5"/>
  <c r="AM204" i="5"/>
  <c r="AL204" i="5"/>
  <c r="AM203" i="5"/>
  <c r="AL203" i="5"/>
  <c r="AM202" i="5"/>
  <c r="AL202" i="5"/>
  <c r="AM201" i="5"/>
  <c r="AL201" i="5"/>
  <c r="AM200" i="5"/>
  <c r="AL200" i="5"/>
  <c r="AM199" i="5"/>
  <c r="AL199" i="5"/>
  <c r="AM198" i="5"/>
  <c r="AL198" i="5"/>
  <c r="AM197" i="5"/>
  <c r="AL197" i="5"/>
  <c r="AM196" i="5"/>
  <c r="AL196" i="5"/>
  <c r="AM195" i="5"/>
  <c r="AL195" i="5"/>
  <c r="AM194" i="5"/>
  <c r="AL194" i="5"/>
  <c r="AM193" i="5"/>
  <c r="AL193" i="5"/>
  <c r="AM192" i="5"/>
  <c r="AL192" i="5"/>
  <c r="AM191" i="5"/>
  <c r="AL191" i="5"/>
  <c r="AM190" i="5"/>
  <c r="AL190" i="5"/>
  <c r="AM189" i="5"/>
  <c r="AL189" i="5"/>
  <c r="AM188" i="5"/>
  <c r="AL188" i="5"/>
  <c r="AM187" i="5"/>
  <c r="AL187" i="5"/>
  <c r="AM186" i="5"/>
  <c r="AL186" i="5"/>
  <c r="AM185" i="5"/>
  <c r="AL185" i="5"/>
  <c r="AM184" i="5"/>
  <c r="AL184" i="5"/>
  <c r="AM183" i="5"/>
  <c r="AL183" i="5"/>
  <c r="AM182" i="5"/>
  <c r="AL182" i="5"/>
  <c r="AM181" i="5"/>
  <c r="AL181" i="5"/>
  <c r="AM180" i="5"/>
  <c r="AL180" i="5"/>
  <c r="AM179" i="5"/>
  <c r="AL179" i="5"/>
  <c r="AM178" i="5"/>
  <c r="AL178" i="5"/>
  <c r="AM177" i="5"/>
  <c r="AL177" i="5"/>
  <c r="AM176" i="5"/>
  <c r="AL176" i="5"/>
  <c r="AM175" i="5"/>
  <c r="AL175" i="5"/>
  <c r="AM174" i="5"/>
  <c r="AL174" i="5"/>
  <c r="AM173" i="5"/>
  <c r="AL173" i="5"/>
  <c r="AM172" i="5"/>
  <c r="AL172" i="5"/>
  <c r="AM171" i="5"/>
  <c r="AL171" i="5"/>
  <c r="AM170" i="5"/>
  <c r="AL170" i="5"/>
  <c r="AM169" i="5"/>
  <c r="AL169" i="5"/>
  <c r="AM168" i="5"/>
  <c r="AL168" i="5"/>
  <c r="AM167" i="5"/>
  <c r="AL167" i="5"/>
  <c r="AM166" i="5"/>
  <c r="AL166" i="5"/>
  <c r="AM165" i="5"/>
  <c r="AL165" i="5"/>
  <c r="AM164" i="5"/>
  <c r="AL164" i="5"/>
  <c r="AM163" i="5"/>
  <c r="AL163" i="5"/>
  <c r="AM162" i="5"/>
  <c r="AL162" i="5"/>
  <c r="AM161" i="5"/>
  <c r="AL161" i="5"/>
  <c r="AM160" i="5"/>
  <c r="AL160" i="5"/>
  <c r="AM159" i="5"/>
  <c r="AL159" i="5"/>
  <c r="AM158" i="5"/>
  <c r="AL158" i="5"/>
  <c r="AM157" i="5"/>
  <c r="AL157" i="5"/>
  <c r="AM156" i="5"/>
  <c r="AL156" i="5"/>
  <c r="AM155" i="5"/>
  <c r="AL155" i="5"/>
  <c r="AM154" i="5"/>
  <c r="AL154" i="5"/>
  <c r="AM153" i="5"/>
  <c r="AL153" i="5"/>
  <c r="AM152" i="5"/>
  <c r="AL152" i="5"/>
  <c r="AM151" i="5"/>
  <c r="AL151" i="5"/>
  <c r="AM150" i="5"/>
  <c r="AL150" i="5"/>
  <c r="AM149" i="5"/>
  <c r="AL149" i="5"/>
  <c r="AM148" i="5"/>
  <c r="AL148" i="5"/>
  <c r="AM147" i="5"/>
  <c r="AL147" i="5"/>
  <c r="AM146" i="5"/>
  <c r="AL146" i="5"/>
  <c r="AM145" i="5"/>
  <c r="AL145" i="5"/>
  <c r="AM144" i="5"/>
  <c r="AL144" i="5"/>
  <c r="AM143" i="5"/>
  <c r="AL143" i="5"/>
  <c r="AM142" i="5"/>
  <c r="AL142" i="5"/>
  <c r="AM141" i="5"/>
  <c r="AL141" i="5"/>
  <c r="AM140" i="5"/>
  <c r="AL140" i="5"/>
  <c r="AM139" i="5"/>
  <c r="AL139" i="5"/>
  <c r="AM138" i="5"/>
  <c r="AL138" i="5"/>
  <c r="AM137" i="5"/>
  <c r="AL137" i="5"/>
  <c r="AM136" i="5"/>
  <c r="AL136" i="5"/>
  <c r="AM135" i="5"/>
  <c r="AL135" i="5"/>
  <c r="AM134" i="5"/>
  <c r="AL134" i="5"/>
  <c r="AM133" i="5"/>
  <c r="AL133" i="5"/>
  <c r="AM132" i="5"/>
  <c r="AL132" i="5"/>
  <c r="AM131" i="5"/>
  <c r="AL131" i="5"/>
  <c r="AM130" i="5"/>
  <c r="AL130" i="5"/>
  <c r="AM129" i="5"/>
  <c r="AL129" i="5"/>
  <c r="AM128" i="5"/>
  <c r="AL128" i="5"/>
  <c r="AM127" i="5"/>
  <c r="AL127" i="5"/>
  <c r="AM126" i="5"/>
  <c r="AL126" i="5"/>
  <c r="AM125" i="5"/>
  <c r="AL125" i="5"/>
  <c r="AM124" i="5"/>
  <c r="AL124" i="5"/>
  <c r="AM123" i="5"/>
  <c r="AL123" i="5"/>
  <c r="AM122" i="5"/>
  <c r="AL122" i="5"/>
  <c r="AM121" i="5"/>
  <c r="AL121" i="5"/>
  <c r="AM120" i="5"/>
  <c r="AL120" i="5"/>
  <c r="AM119" i="5"/>
  <c r="AL119" i="5"/>
  <c r="AM118" i="5"/>
  <c r="AL118" i="5"/>
  <c r="AM117" i="5"/>
  <c r="AL117" i="5"/>
  <c r="AM116" i="5"/>
  <c r="AL116" i="5"/>
  <c r="AM115" i="5"/>
  <c r="AL115" i="5"/>
  <c r="AM114" i="5"/>
  <c r="AL114" i="5"/>
  <c r="AM113" i="5"/>
  <c r="AL113" i="5"/>
  <c r="AM112" i="5"/>
  <c r="AL112" i="5"/>
  <c r="AM111" i="5"/>
  <c r="AL111" i="5"/>
  <c r="AM110" i="5"/>
  <c r="AL110" i="5"/>
  <c r="AM109" i="5"/>
  <c r="AL109" i="5"/>
  <c r="AM108" i="5"/>
  <c r="AL108" i="5"/>
  <c r="AM107" i="5"/>
  <c r="AL107" i="5"/>
  <c r="AM106" i="5"/>
  <c r="AL106" i="5"/>
  <c r="AM105" i="5"/>
  <c r="AL105" i="5"/>
  <c r="AM104" i="5"/>
  <c r="AL104" i="5"/>
  <c r="AM103" i="5"/>
  <c r="AL103" i="5"/>
  <c r="AM102" i="5"/>
  <c r="AL102" i="5"/>
  <c r="AM101" i="5"/>
  <c r="AL101" i="5"/>
  <c r="AM100" i="5"/>
  <c r="AL100" i="5"/>
  <c r="AM99" i="5"/>
  <c r="AL99" i="5"/>
  <c r="AM98" i="5"/>
  <c r="AL98" i="5"/>
  <c r="AM97" i="5"/>
  <c r="AL97" i="5"/>
  <c r="AM96" i="5"/>
  <c r="AL96" i="5"/>
  <c r="AM95" i="5"/>
  <c r="AL95" i="5"/>
  <c r="AM94" i="5"/>
  <c r="AL94" i="5"/>
  <c r="AM93" i="5"/>
  <c r="AL93" i="5"/>
  <c r="AM92" i="5"/>
  <c r="AL92" i="5"/>
  <c r="AM91" i="5"/>
  <c r="AL91" i="5"/>
  <c r="AM90" i="5"/>
  <c r="AL90" i="5"/>
  <c r="AM89" i="5"/>
  <c r="AL89" i="5"/>
  <c r="AM88" i="5"/>
  <c r="AL88" i="5"/>
  <c r="AM87" i="5"/>
  <c r="AL87" i="5"/>
  <c r="AM86" i="5"/>
  <c r="AL86" i="5"/>
  <c r="AM85" i="5"/>
  <c r="AL85" i="5"/>
  <c r="AM84" i="5"/>
  <c r="AL84" i="5"/>
  <c r="AM83" i="5"/>
  <c r="AL83" i="5"/>
  <c r="AM82" i="5"/>
  <c r="AL82" i="5"/>
  <c r="AM81" i="5"/>
  <c r="AL81" i="5"/>
  <c r="AM80" i="5"/>
  <c r="AL80" i="5"/>
  <c r="AM79" i="5"/>
  <c r="AL79" i="5"/>
  <c r="AM78" i="5"/>
  <c r="AL78" i="5"/>
  <c r="AM77" i="5"/>
  <c r="AL77" i="5"/>
  <c r="AM76" i="5"/>
  <c r="AL76" i="5"/>
  <c r="AM75" i="5"/>
  <c r="AL75" i="5"/>
  <c r="AM74" i="5"/>
  <c r="AL74" i="5"/>
  <c r="AM73" i="5"/>
  <c r="AL73" i="5"/>
  <c r="AM72" i="5"/>
  <c r="AL72" i="5"/>
  <c r="AM71" i="5"/>
  <c r="AL71" i="5"/>
  <c r="AM70" i="5"/>
  <c r="AL70" i="5"/>
  <c r="AM69" i="5"/>
  <c r="AL69" i="5"/>
  <c r="AM68" i="5"/>
  <c r="AL68" i="5"/>
  <c r="AM67" i="5"/>
  <c r="AL67" i="5"/>
  <c r="AM66" i="5"/>
  <c r="AL66" i="5"/>
  <c r="AM65" i="5"/>
  <c r="AL65" i="5"/>
  <c r="AM64" i="5"/>
  <c r="AL64" i="5"/>
  <c r="AM63" i="5"/>
  <c r="AL63" i="5"/>
  <c r="AM62" i="5"/>
  <c r="AL62" i="5"/>
  <c r="AL61" i="5"/>
  <c r="AL60" i="5"/>
  <c r="AM59" i="5"/>
  <c r="AL59" i="5"/>
  <c r="AM58" i="5"/>
  <c r="AL58" i="5"/>
  <c r="AL57" i="5"/>
  <c r="AM56" i="5"/>
  <c r="AL56" i="5"/>
  <c r="AL55" i="5"/>
  <c r="AL54" i="5"/>
  <c r="AM53" i="5"/>
  <c r="AL53" i="5"/>
  <c r="AL52" i="5"/>
  <c r="AL51" i="5"/>
  <c r="AL50" i="5"/>
  <c r="AL49" i="5"/>
  <c r="AM48" i="5"/>
  <c r="AL48" i="5"/>
  <c r="AM47" i="5"/>
  <c r="AL47" i="5"/>
  <c r="AM46" i="5"/>
  <c r="AL46" i="5"/>
  <c r="AM45" i="5"/>
  <c r="AL45" i="5"/>
  <c r="AM44" i="5"/>
  <c r="AL44" i="5"/>
  <c r="AM43" i="5"/>
  <c r="AL43" i="5"/>
  <c r="AM42" i="5"/>
  <c r="AL42" i="5"/>
  <c r="AM41" i="5"/>
  <c r="AL41" i="5"/>
  <c r="AM40" i="5"/>
  <c r="AL40" i="5"/>
  <c r="AM39" i="5"/>
  <c r="AL39" i="5"/>
  <c r="AM38" i="5"/>
  <c r="AL38" i="5"/>
  <c r="AM37" i="5"/>
  <c r="AL37" i="5"/>
  <c r="AM36" i="5"/>
  <c r="AL36" i="5"/>
  <c r="AM35" i="5"/>
  <c r="AL35" i="5"/>
  <c r="AL34" i="5"/>
  <c r="AM33" i="5"/>
  <c r="AL33" i="5"/>
  <c r="AM32" i="5"/>
  <c r="AL32" i="5"/>
  <c r="AM31" i="5"/>
  <c r="AL31" i="5"/>
  <c r="AM30" i="5"/>
  <c r="AL30" i="5"/>
  <c r="AM29" i="5"/>
  <c r="AL29" i="5"/>
  <c r="AL28" i="5"/>
  <c r="AL27" i="5"/>
  <c r="AL26" i="5"/>
  <c r="AL25" i="5"/>
  <c r="AL24" i="5"/>
  <c r="AM23" i="5"/>
  <c r="AL23" i="5"/>
  <c r="AM22" i="5"/>
  <c r="AL22" i="5"/>
  <c r="AM21" i="5"/>
  <c r="AL21" i="5"/>
  <c r="AM20" i="5"/>
  <c r="AL20" i="5"/>
  <c r="AM19" i="5"/>
  <c r="AL19" i="5"/>
  <c r="AM18" i="5"/>
  <c r="AL18" i="5"/>
  <c r="AM17" i="5"/>
  <c r="AL17" i="5"/>
  <c r="AM16" i="5"/>
  <c r="AL16" i="5"/>
  <c r="AR15" i="5"/>
  <c r="AL15" i="5"/>
  <c r="AR14" i="5"/>
  <c r="AL1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Hatsaya Chonwanit</author>
  </authors>
  <commentList>
    <comment ref="E2096" authorId="0" shapeId="0" xr:uid="{67DD3A2C-632B-4A53-AC56-ECFCF6DB963D}">
      <text>
        <r>
          <rPr>
            <b/>
            <sz val="9"/>
            <color indexed="81"/>
            <rFont val="Tahoma"/>
            <family val="2"/>
          </rPr>
          <t>Hatsaya Chonwanit:
แก้จากเดิม 73031-X7v36
73041-X7v44</t>
        </r>
      </text>
    </comment>
  </commentList>
</comments>
</file>

<file path=xl/sharedStrings.xml><?xml version="1.0" encoding="utf-8"?>
<sst xmlns="http://schemas.openxmlformats.org/spreadsheetml/2006/main" count="35685" uniqueCount="9381">
  <si>
    <t>Level</t>
  </si>
  <si>
    <t>SD Code</t>
  </si>
  <si>
    <t>Part No.</t>
  </si>
  <si>
    <t>Part Name</t>
  </si>
  <si>
    <t>Usage RM</t>
  </si>
  <si>
    <t>Process</t>
  </si>
  <si>
    <t>Line No.</t>
  </si>
  <si>
    <t>Supplier Name</t>
  </si>
  <si>
    <t>Model</t>
  </si>
  <si>
    <t>71848-X7V01</t>
  </si>
  <si>
    <t>71371-X7V22</t>
  </si>
  <si>
    <t>72105-X7V30</t>
  </si>
  <si>
    <t>72111-X7V09</t>
  </si>
  <si>
    <t>89911-X1B04</t>
  </si>
  <si>
    <t>72115-X7V52</t>
  </si>
  <si>
    <t>72284-X7V12</t>
  </si>
  <si>
    <t>72284-X7V13</t>
  </si>
  <si>
    <t>72284-X7V14</t>
  </si>
  <si>
    <t>72285-X7V04</t>
  </si>
  <si>
    <t>78157-X7V61</t>
  </si>
  <si>
    <t>78157-X7V62</t>
  </si>
  <si>
    <t>78157-X7V63</t>
  </si>
  <si>
    <t>78157-X7V64</t>
  </si>
  <si>
    <t>78157-X7V65</t>
  </si>
  <si>
    <t>78157-X7V66</t>
  </si>
  <si>
    <t>78157-X7V67</t>
  </si>
  <si>
    <t>78157-X7V68</t>
  </si>
  <si>
    <t>78157-X7V69</t>
  </si>
  <si>
    <t>78157-X7V70</t>
  </si>
  <si>
    <t>89962-X1061</t>
  </si>
  <si>
    <t>89962-X1062</t>
  </si>
  <si>
    <t>89962-X1063</t>
  </si>
  <si>
    <t>89962-X1064</t>
  </si>
  <si>
    <t>89962-X1065</t>
  </si>
  <si>
    <t>89962-X1066</t>
  </si>
  <si>
    <t>89962-X1067</t>
  </si>
  <si>
    <t>72125-06100</t>
  </si>
  <si>
    <t>72143-X7V26</t>
  </si>
  <si>
    <t>72146-X7V01</t>
  </si>
  <si>
    <t>72205-X7V77</t>
  </si>
  <si>
    <t>71122-X7V80</t>
  </si>
  <si>
    <t>71449-X7V00</t>
  </si>
  <si>
    <t>71810-X7V04</t>
  </si>
  <si>
    <t>89911-X7006</t>
  </si>
  <si>
    <t>72265-06040</t>
  </si>
  <si>
    <t>72277-X7V01</t>
  </si>
  <si>
    <t>72468-X1B00</t>
  </si>
  <si>
    <t>72468-X1B01</t>
  </si>
  <si>
    <t>89911-X7008</t>
  </si>
  <si>
    <t>89911-X7009</t>
  </si>
  <si>
    <t>TPT-09</t>
  </si>
  <si>
    <t>MIT164</t>
  </si>
  <si>
    <t>TTC774</t>
  </si>
  <si>
    <t>KEN120</t>
  </si>
  <si>
    <t>KEN121</t>
  </si>
  <si>
    <t>KEN122</t>
  </si>
  <si>
    <t>KEN119</t>
  </si>
  <si>
    <t>TFC017</t>
  </si>
  <si>
    <t>TFC018</t>
  </si>
  <si>
    <t>TFC019</t>
  </si>
  <si>
    <t>TFC020</t>
  </si>
  <si>
    <t>TFC021</t>
  </si>
  <si>
    <t>TFC022</t>
  </si>
  <si>
    <t>TFC023</t>
  </si>
  <si>
    <t>TFC024</t>
  </si>
  <si>
    <t>TFC025</t>
  </si>
  <si>
    <t>TFC026</t>
  </si>
  <si>
    <t>TFC002</t>
  </si>
  <si>
    <t>TFC003</t>
  </si>
  <si>
    <t>TFC004</t>
  </si>
  <si>
    <t>TFC005</t>
  </si>
  <si>
    <t>TFC006</t>
  </si>
  <si>
    <t>TFC007</t>
  </si>
  <si>
    <t>TFC008</t>
  </si>
  <si>
    <t>KEN126</t>
  </si>
  <si>
    <t>SDI010</t>
  </si>
  <si>
    <t>SDI009</t>
  </si>
  <si>
    <t>TTC771</t>
  </si>
  <si>
    <t>SDI014</t>
  </si>
  <si>
    <t>TTC725</t>
  </si>
  <si>
    <t>TTC723</t>
  </si>
  <si>
    <t>TTC726</t>
  </si>
  <si>
    <t>KEN124</t>
  </si>
  <si>
    <t>TTC695</t>
  </si>
  <si>
    <t>MIT166</t>
  </si>
  <si>
    <t>MIT167</t>
  </si>
  <si>
    <t>TTC707</t>
  </si>
  <si>
    <t>TTC706</t>
  </si>
  <si>
    <t>Inhouse(P)</t>
  </si>
  <si>
    <t>THAI MITCHI</t>
  </si>
  <si>
    <t>V-V</t>
  </si>
  <si>
    <t>SIAM KEN</t>
  </si>
  <si>
    <t>FC-TEC</t>
  </si>
  <si>
    <t>SDI</t>
  </si>
  <si>
    <t>72030-X7V01</t>
  </si>
  <si>
    <t>CAP, SEAT ADJUSTER COVER, FR</t>
  </si>
  <si>
    <t>TRACK SUB-ASSY, FR SEAT, OUTER RH</t>
  </si>
  <si>
    <t>BRACKET, FR SEAT TRACK, FR</t>
  </si>
  <si>
    <t>RAIL SUB-ASSY, FR SEAT TRACK, UPR</t>
  </si>
  <si>
    <t>RAIL, SEAT TRACK, UPR</t>
  </si>
  <si>
    <t>BOLT, WELD</t>
  </si>
  <si>
    <t>RAIL, SEAT TRACK, LWR</t>
  </si>
  <si>
    <t>GUIDE, SEAT TRACK ROLLER, UPR</t>
  </si>
  <si>
    <t>GUIDE, SEAT TRACK ROLLER, LWR</t>
  </si>
  <si>
    <t>BALL</t>
  </si>
  <si>
    <t>COVER, SEAT TRACK, UPR RR</t>
  </si>
  <si>
    <t>BRACKET, FR OUTER SEAT TRACK, LWR RR RH</t>
  </si>
  <si>
    <t>BRACKET, FR INNER SEAT TRACK, LWR FR LH</t>
  </si>
  <si>
    <t>HOUSING SUB-ASSY, POWER SEAT, NO.1</t>
  </si>
  <si>
    <t>HOUSING SUB-ASSY, POWER SEAT, RH</t>
  </si>
  <si>
    <t>WASHER</t>
  </si>
  <si>
    <t>BUSH</t>
  </si>
  <si>
    <t>DAMPER, MOTOR HOUSING</t>
  </si>
  <si>
    <t>BRACKET, FR SEAT CUSHION, LH</t>
  </si>
  <si>
    <t>SLIDE MOTOR ASSY, FR SEAT CUSHION, RH</t>
  </si>
  <si>
    <t>STOPPER</t>
  </si>
  <si>
    <t>BOLT SEAT SET</t>
  </si>
  <si>
    <t>COVER, SEAT TRACK UPR RAIL</t>
  </si>
  <si>
    <t>PIN, VERTICAL ADJUSTER, NO.1</t>
  </si>
  <si>
    <t>TRACK ASSY, FR SEAT, INNER RH</t>
  </si>
  <si>
    <t>Finish Good</t>
  </si>
  <si>
    <t>71848-X7V18</t>
  </si>
  <si>
    <t>CAR005</t>
  </si>
  <si>
    <t>CAR</t>
  </si>
  <si>
    <t>TTC736</t>
  </si>
  <si>
    <t>Back No.</t>
  </si>
  <si>
    <t>11201-X7M02</t>
  </si>
  <si>
    <t>INJ-01</t>
  </si>
  <si>
    <t>Inhouse(Inject)</t>
  </si>
  <si>
    <t>11211-X7A00</t>
  </si>
  <si>
    <t>INJ-03</t>
  </si>
  <si>
    <t>11211-X7A04</t>
  </si>
  <si>
    <t>INJ-06</t>
  </si>
  <si>
    <t>11211-X7A06</t>
  </si>
  <si>
    <t>INJ-08</t>
  </si>
  <si>
    <t>11213-X7A00</t>
  </si>
  <si>
    <t>UCH002</t>
  </si>
  <si>
    <t>UCHIYAMA</t>
  </si>
  <si>
    <t>11213-X7A01</t>
  </si>
  <si>
    <t>UCH003</t>
  </si>
  <si>
    <t>11213-X7A02</t>
  </si>
  <si>
    <t>UCH004</t>
  </si>
  <si>
    <t>11213-X7M01</t>
  </si>
  <si>
    <t>UCH001</t>
  </si>
  <si>
    <t>11213-X7M02</t>
  </si>
  <si>
    <t>UCH005</t>
  </si>
  <si>
    <t>11285-X7A00</t>
  </si>
  <si>
    <t>INJ-04</t>
  </si>
  <si>
    <t>11285-X7A04</t>
  </si>
  <si>
    <t>INJ-05</t>
  </si>
  <si>
    <t>11285-X7M02</t>
  </si>
  <si>
    <t>INJ-02</t>
  </si>
  <si>
    <t>11285-X7M03</t>
  </si>
  <si>
    <t>INJ-07</t>
  </si>
  <si>
    <t>11293-X7M00</t>
  </si>
  <si>
    <t>TTC676</t>
  </si>
  <si>
    <t>12208-X7A00</t>
  </si>
  <si>
    <t>CHC-S1</t>
  </si>
  <si>
    <t>12208-X7A04</t>
  </si>
  <si>
    <t>CHC-S2</t>
  </si>
  <si>
    <t>12238-X7A00</t>
  </si>
  <si>
    <t>YHG002</t>
  </si>
  <si>
    <t>YAHAGI</t>
  </si>
  <si>
    <t>12238-X7A04</t>
  </si>
  <si>
    <t>YHG006</t>
  </si>
  <si>
    <t>12238-X7A05</t>
  </si>
  <si>
    <t>YHG008</t>
  </si>
  <si>
    <t>12238-X7M01</t>
  </si>
  <si>
    <t>YHG001</t>
  </si>
  <si>
    <t>12238-X7M02</t>
  </si>
  <si>
    <t>YHG005</t>
  </si>
  <si>
    <t>12238-X7M03</t>
  </si>
  <si>
    <t>YHG007</t>
  </si>
  <si>
    <t>12238-X7M04</t>
  </si>
  <si>
    <t>YHG011</t>
  </si>
  <si>
    <t>12284-X7A00</t>
  </si>
  <si>
    <t>YHG003</t>
  </si>
  <si>
    <t>12284-X7A01</t>
  </si>
  <si>
    <t>YHG004</t>
  </si>
  <si>
    <t>12284-X7A06</t>
  </si>
  <si>
    <t>YHG009</t>
  </si>
  <si>
    <t>12284-X7A07</t>
  </si>
  <si>
    <t>YHG010</t>
  </si>
  <si>
    <t>46792-X1400</t>
  </si>
  <si>
    <t>MIT131</t>
  </si>
  <si>
    <t>46792-X1401</t>
  </si>
  <si>
    <t>MIT130</t>
  </si>
  <si>
    <t>46798-X1400</t>
  </si>
  <si>
    <t>CHU051</t>
  </si>
  <si>
    <t>CHUYO</t>
  </si>
  <si>
    <t>46798-X1401</t>
  </si>
  <si>
    <t>CHU052</t>
  </si>
  <si>
    <t>46798-X1V01</t>
  </si>
  <si>
    <t>SOB298</t>
  </si>
  <si>
    <t>SOHBI</t>
  </si>
  <si>
    <t>70001-H7074-B</t>
  </si>
  <si>
    <t>SOB344</t>
  </si>
  <si>
    <t>70001-H707Q-A</t>
  </si>
  <si>
    <t>SOB345</t>
  </si>
  <si>
    <t>71038-X7A00</t>
  </si>
  <si>
    <t>YDT028</t>
  </si>
  <si>
    <t>71039-X7A00</t>
  </si>
  <si>
    <t>YDT029</t>
  </si>
  <si>
    <t>71067-0K050-S</t>
  </si>
  <si>
    <t>FF9-01</t>
  </si>
  <si>
    <t>71067-0K050-T</t>
  </si>
  <si>
    <t>FF901T</t>
  </si>
  <si>
    <t>71067-X7A04</t>
  </si>
  <si>
    <t>YDT016</t>
  </si>
  <si>
    <t>71067-X7A05</t>
  </si>
  <si>
    <t>YDT022</t>
  </si>
  <si>
    <t>71068-0K050-S</t>
  </si>
  <si>
    <t>FF9-02</t>
  </si>
  <si>
    <t>71068-0K050-T</t>
  </si>
  <si>
    <t>FF902T</t>
  </si>
  <si>
    <t>71068-X7A05</t>
  </si>
  <si>
    <t>YDT017</t>
  </si>
  <si>
    <t>71068-X7A06</t>
  </si>
  <si>
    <t>YDT023</t>
  </si>
  <si>
    <t>71103-X1V21</t>
  </si>
  <si>
    <t>DUM1</t>
  </si>
  <si>
    <t>71103-X7V04</t>
  </si>
  <si>
    <t>DUM2</t>
  </si>
  <si>
    <t>71104-X1V24</t>
  </si>
  <si>
    <t>DUM3</t>
  </si>
  <si>
    <t>71104-X7V04</t>
  </si>
  <si>
    <t>DUM4</t>
  </si>
  <si>
    <t>71111-X1B01</t>
  </si>
  <si>
    <t>CFS-40</t>
  </si>
  <si>
    <t>71111-X1C00</t>
  </si>
  <si>
    <t>CAP-01</t>
  </si>
  <si>
    <t>71111-X1V07</t>
  </si>
  <si>
    <t>EFS-16</t>
  </si>
  <si>
    <t>71111-X1V09</t>
  </si>
  <si>
    <t>EFS-17</t>
  </si>
  <si>
    <t>71111-X7A01</t>
  </si>
  <si>
    <t>IPA-84</t>
  </si>
  <si>
    <t>71111-X7V07</t>
  </si>
  <si>
    <t>TPC-21</t>
  </si>
  <si>
    <t>71112-X1C00</t>
  </si>
  <si>
    <t>CAP-02</t>
  </si>
  <si>
    <t>71112-X7A01</t>
  </si>
  <si>
    <t>IPA-83</t>
  </si>
  <si>
    <t>71113-X1B00</t>
  </si>
  <si>
    <t>SOB294</t>
  </si>
  <si>
    <t>71118-X7A00</t>
  </si>
  <si>
    <t>MIY044</t>
  </si>
  <si>
    <t>MIYAMA</t>
  </si>
  <si>
    <t>71119-X1V11-00</t>
  </si>
  <si>
    <t>SOB374</t>
  </si>
  <si>
    <t>71119-X1V11</t>
  </si>
  <si>
    <t>ETP-19</t>
  </si>
  <si>
    <t>71119-X7V08</t>
  </si>
  <si>
    <t>SNA038</t>
  </si>
  <si>
    <t>SANIA</t>
  </si>
  <si>
    <t>71119-X7V09</t>
  </si>
  <si>
    <t>SNA037</t>
  </si>
  <si>
    <t>71121-X1M07</t>
  </si>
  <si>
    <t>BTS069</t>
  </si>
  <si>
    <t>BTS</t>
  </si>
  <si>
    <t>71121-X7A00</t>
  </si>
  <si>
    <t>BTS060</t>
  </si>
  <si>
    <t>71121-X7A04</t>
  </si>
  <si>
    <t>BTS123</t>
  </si>
  <si>
    <t>71121-X7V05</t>
  </si>
  <si>
    <t>TTC733</t>
  </si>
  <si>
    <t>71121-X7V29</t>
  </si>
  <si>
    <t>BTS141</t>
  </si>
  <si>
    <t>71121-X7V83</t>
  </si>
  <si>
    <t>SNA036</t>
  </si>
  <si>
    <t>71121-X7V92</t>
  </si>
  <si>
    <t>SDI013</t>
  </si>
  <si>
    <t>71122-X1M05</t>
  </si>
  <si>
    <t>BTS070</t>
  </si>
  <si>
    <t>71122-X7A00</t>
  </si>
  <si>
    <t>BTS061</t>
  </si>
  <si>
    <t>71122-X7A02</t>
  </si>
  <si>
    <t>BTS122</t>
  </si>
  <si>
    <t>71122-X7A30</t>
  </si>
  <si>
    <t>MIY046</t>
  </si>
  <si>
    <t>71122-X7A31</t>
  </si>
  <si>
    <t>MIY047</t>
  </si>
  <si>
    <t>71122-X7V05</t>
  </si>
  <si>
    <t>TTC734</t>
  </si>
  <si>
    <t>71122-X7V29</t>
  </si>
  <si>
    <t>BTS142</t>
  </si>
  <si>
    <t>71151-X1401-10T</t>
  </si>
  <si>
    <t>GP1-10</t>
  </si>
  <si>
    <t>71151-X1401-50T</t>
  </si>
  <si>
    <t>GP1-50</t>
  </si>
  <si>
    <t>71151-X1401</t>
  </si>
  <si>
    <t>GP2-01</t>
  </si>
  <si>
    <t>71151-X1V05</t>
  </si>
  <si>
    <t>CFS-41</t>
  </si>
  <si>
    <t>71151-X1V08</t>
  </si>
  <si>
    <t>CFS-58</t>
  </si>
  <si>
    <t>71151-X7A01</t>
  </si>
  <si>
    <t>AP1-01</t>
  </si>
  <si>
    <t>71151-X7V03</t>
  </si>
  <si>
    <t>IPF-66</t>
  </si>
  <si>
    <t>71151-X7V10</t>
  </si>
  <si>
    <t>TPF-13</t>
  </si>
  <si>
    <t>71151-X7V11</t>
  </si>
  <si>
    <t>TPF-15</t>
  </si>
  <si>
    <t>71151-X7V16</t>
  </si>
  <si>
    <t>TTC756</t>
  </si>
  <si>
    <t>71151-X7V24</t>
  </si>
  <si>
    <t>EPF-44</t>
  </si>
  <si>
    <t>71151-X7V35</t>
  </si>
  <si>
    <t>DPF-68</t>
  </si>
  <si>
    <t>71152-X1400-10T</t>
  </si>
  <si>
    <t>GP2-10</t>
  </si>
  <si>
    <t>71152-X1400-50T</t>
  </si>
  <si>
    <t>GP2-50</t>
  </si>
  <si>
    <t>71152-X1400</t>
  </si>
  <si>
    <t>GP2-02</t>
  </si>
  <si>
    <t>71152-X1V02</t>
  </si>
  <si>
    <t>CFS-42</t>
  </si>
  <si>
    <t>71152-X1V05</t>
  </si>
  <si>
    <t>CFS-59</t>
  </si>
  <si>
    <t>71152-X7A01</t>
  </si>
  <si>
    <t>AP1-02</t>
  </si>
  <si>
    <t>71152-X7V03</t>
  </si>
  <si>
    <t>IPF-65</t>
  </si>
  <si>
    <t>71152-X7V10</t>
  </si>
  <si>
    <t>TPF-14</t>
  </si>
  <si>
    <t>71152-X7V11</t>
  </si>
  <si>
    <t>TPF-16</t>
  </si>
  <si>
    <t>71152-X7V16</t>
  </si>
  <si>
    <t>TTC757</t>
  </si>
  <si>
    <t>71152-X7V24</t>
  </si>
  <si>
    <t>EPF-43</t>
  </si>
  <si>
    <t>71152-X7V35</t>
  </si>
  <si>
    <t>DPF-69</t>
  </si>
  <si>
    <t>71158-X7V01</t>
  </si>
  <si>
    <t>IPF-61</t>
  </si>
  <si>
    <t>71158-X7V28</t>
  </si>
  <si>
    <t>EPF-45</t>
  </si>
  <si>
    <t>71162-X1411</t>
  </si>
  <si>
    <t>FP2-01</t>
  </si>
  <si>
    <t>71162-X1412</t>
  </si>
  <si>
    <t>FP2-02</t>
  </si>
  <si>
    <t>71162-X1V05</t>
  </si>
  <si>
    <t>CFS-39</t>
  </si>
  <si>
    <t>71162-X1V09</t>
  </si>
  <si>
    <t>EFS-15</t>
  </si>
  <si>
    <t>71162-X7V01</t>
  </si>
  <si>
    <t>IPF-60</t>
  </si>
  <si>
    <t>71162-X7V66</t>
  </si>
  <si>
    <t>EPC-46</t>
  </si>
  <si>
    <t>71162-X7V81</t>
  </si>
  <si>
    <t>IPF-99</t>
  </si>
  <si>
    <t>71163-X7A02</t>
  </si>
  <si>
    <t>SNA059</t>
  </si>
  <si>
    <t>71164-X7A02</t>
  </si>
  <si>
    <t>SNA060</t>
  </si>
  <si>
    <t>71167-X7V32</t>
  </si>
  <si>
    <t>SOB375</t>
  </si>
  <si>
    <t>71173-X1402</t>
  </si>
  <si>
    <t>CFS-38</t>
  </si>
  <si>
    <t>71173-X1700</t>
  </si>
  <si>
    <t>OFS-24</t>
  </si>
  <si>
    <t>71186-X1400</t>
  </si>
  <si>
    <t>BTS058</t>
  </si>
  <si>
    <t>71186-X1401</t>
  </si>
  <si>
    <t>BTS059</t>
  </si>
  <si>
    <t>71187-X1400</t>
  </si>
  <si>
    <t>BTS050</t>
  </si>
  <si>
    <t>71187-X1401</t>
  </si>
  <si>
    <t>BTS051</t>
  </si>
  <si>
    <t>71199-X7A03</t>
  </si>
  <si>
    <t>TTC682</t>
  </si>
  <si>
    <t>71199-X7A04</t>
  </si>
  <si>
    <t>TTC681</t>
  </si>
  <si>
    <t>71199-X7A05</t>
  </si>
  <si>
    <t>TTC686</t>
  </si>
  <si>
    <t>71199-X7V09</t>
  </si>
  <si>
    <t>BTS169</t>
  </si>
  <si>
    <t>71199-X7V10</t>
  </si>
  <si>
    <t>BTS170</t>
  </si>
  <si>
    <t>71199-X7V11</t>
  </si>
  <si>
    <t>BTS171</t>
  </si>
  <si>
    <t>71231-X7A05</t>
  </si>
  <si>
    <t>SOB326</t>
  </si>
  <si>
    <t>71231-X7A07</t>
  </si>
  <si>
    <t>SOB323</t>
  </si>
  <si>
    <t>71231-X7A09</t>
  </si>
  <si>
    <t>BTS111</t>
  </si>
  <si>
    <t>71231-X7A11</t>
  </si>
  <si>
    <t>BTS105</t>
  </si>
  <si>
    <t>71232-X7A05</t>
  </si>
  <si>
    <t>SOB325</t>
  </si>
  <si>
    <t>71232-X7A07</t>
  </si>
  <si>
    <t>SOB324</t>
  </si>
  <si>
    <t>71232-X7A09</t>
  </si>
  <si>
    <t>BTS112</t>
  </si>
  <si>
    <t>71232-X7A11</t>
  </si>
  <si>
    <t>BTS106</t>
  </si>
  <si>
    <t>71233-X1E02</t>
  </si>
  <si>
    <t>SNA027</t>
  </si>
  <si>
    <t>71233-X7A04</t>
  </si>
  <si>
    <t>SOB330</t>
  </si>
  <si>
    <t>71233-X7A06</t>
  </si>
  <si>
    <t>SOB327</t>
  </si>
  <si>
    <t>71233-X7A09</t>
  </si>
  <si>
    <t>SOB335</t>
  </si>
  <si>
    <t>71234-X7A04</t>
  </si>
  <si>
    <t>SOB329</t>
  </si>
  <si>
    <t>71234-X7A06</t>
  </si>
  <si>
    <t>SOB328</t>
  </si>
  <si>
    <t>71234-X7A09</t>
  </si>
  <si>
    <t>SOB336</t>
  </si>
  <si>
    <t>71254-X1C06</t>
  </si>
  <si>
    <t>SMP005</t>
  </si>
  <si>
    <t>SMPT</t>
  </si>
  <si>
    <t>71254-X1E07</t>
  </si>
  <si>
    <t>SMP001</t>
  </si>
  <si>
    <t>71254-X1E11</t>
  </si>
  <si>
    <t>HPF-29</t>
  </si>
  <si>
    <t>71254-X1E12</t>
  </si>
  <si>
    <t>HPF-30</t>
  </si>
  <si>
    <t>71254-X7A00</t>
  </si>
  <si>
    <t>AP1-05</t>
  </si>
  <si>
    <t>71254-X7A01</t>
  </si>
  <si>
    <t>AP1-03</t>
  </si>
  <si>
    <t>71254-X7A05</t>
  </si>
  <si>
    <t>IPF-69</t>
  </si>
  <si>
    <t>71255-X1C05</t>
  </si>
  <si>
    <t>SMP006</t>
  </si>
  <si>
    <t>71255-X1E07</t>
  </si>
  <si>
    <t>SMP002</t>
  </si>
  <si>
    <t>71255-X1E08</t>
  </si>
  <si>
    <t>HPF-32</t>
  </si>
  <si>
    <t>71255-X1E09</t>
  </si>
  <si>
    <t>HPF-31</t>
  </si>
  <si>
    <t>71255-X7A00</t>
  </si>
  <si>
    <t>AP1-06</t>
  </si>
  <si>
    <t>71255-X7A01</t>
  </si>
  <si>
    <t>AP1-04</t>
  </si>
  <si>
    <t>71255-X7A05</t>
  </si>
  <si>
    <t>IPF-70</t>
  </si>
  <si>
    <t>71266-X1E05</t>
  </si>
  <si>
    <t>SOB364</t>
  </si>
  <si>
    <t>71301-0K010-S</t>
  </si>
  <si>
    <t>EF9-02</t>
  </si>
  <si>
    <t>71301-0K010-T</t>
  </si>
  <si>
    <t>EF902T</t>
  </si>
  <si>
    <t>71301-0K040-S</t>
  </si>
  <si>
    <t>EF9-04</t>
  </si>
  <si>
    <t>71301-0K040-T</t>
  </si>
  <si>
    <t>EF904T</t>
  </si>
  <si>
    <t>71301-X7A02</t>
  </si>
  <si>
    <t>YDT012</t>
  </si>
  <si>
    <t>71301-X7A04</t>
  </si>
  <si>
    <t>YDT013</t>
  </si>
  <si>
    <t>71302-0K010-S</t>
  </si>
  <si>
    <t>EF9-01</t>
  </si>
  <si>
    <t>71302-0K010-T</t>
  </si>
  <si>
    <t>EF901T</t>
  </si>
  <si>
    <t>71302-0K020-S</t>
  </si>
  <si>
    <t>EF9-03</t>
  </si>
  <si>
    <t>71302-0K020-T</t>
  </si>
  <si>
    <t>EF903T</t>
  </si>
  <si>
    <t>71302-0K060-S</t>
  </si>
  <si>
    <t>EF9-05</t>
  </si>
  <si>
    <t>71302-0K060-T</t>
  </si>
  <si>
    <t>EF905T</t>
  </si>
  <si>
    <t>71302-X7A02</t>
  </si>
  <si>
    <t>YDT014</t>
  </si>
  <si>
    <t>71302-X7A05</t>
  </si>
  <si>
    <t>YDT015</t>
  </si>
  <si>
    <t>71305-X7V18-S</t>
  </si>
  <si>
    <t>TA-S17</t>
  </si>
  <si>
    <t>71305-X7V19-S</t>
  </si>
  <si>
    <t>TA-S15</t>
  </si>
  <si>
    <t>71306-X7V18-S</t>
  </si>
  <si>
    <t>TA-S16</t>
  </si>
  <si>
    <t>71306-X7V19-S</t>
  </si>
  <si>
    <t>TA-S18</t>
  </si>
  <si>
    <t>71308-0K010-S</t>
  </si>
  <si>
    <t>HG9-03</t>
  </si>
  <si>
    <t>71308-0K010-T</t>
  </si>
  <si>
    <t>HG903T</t>
  </si>
  <si>
    <t>71308-X7A04</t>
  </si>
  <si>
    <t>YDT025</t>
  </si>
  <si>
    <t>71309-0K010-S</t>
  </si>
  <si>
    <t>HG9-04</t>
  </si>
  <si>
    <t>71309-0K010-T</t>
  </si>
  <si>
    <t>HG904T</t>
  </si>
  <si>
    <t>71309-X7A01</t>
  </si>
  <si>
    <t>YDT024</t>
  </si>
  <si>
    <t>71311-X7A00</t>
  </si>
  <si>
    <t>MIT183</t>
  </si>
  <si>
    <t>71315-X7A00</t>
  </si>
  <si>
    <t>MIT208</t>
  </si>
  <si>
    <t>71315-X7A08</t>
  </si>
  <si>
    <t>BTS166</t>
  </si>
  <si>
    <t>71321-0K010</t>
  </si>
  <si>
    <t>SOB267</t>
  </si>
  <si>
    <t>71321-0K010-T</t>
  </si>
  <si>
    <t>SOB67T</t>
  </si>
  <si>
    <t>71321-0K050</t>
  </si>
  <si>
    <t>SOB268</t>
  </si>
  <si>
    <t>71321-0K050-T</t>
  </si>
  <si>
    <t>SOB68T</t>
  </si>
  <si>
    <t>71321-X7A02</t>
  </si>
  <si>
    <t>YDT011</t>
  </si>
  <si>
    <t>71331-0K030</t>
  </si>
  <si>
    <t>TTC557</t>
  </si>
  <si>
    <t>71331-0K060</t>
  </si>
  <si>
    <t>TTC579</t>
  </si>
  <si>
    <t>71331-X7A07</t>
  </si>
  <si>
    <t>MIT203</t>
  </si>
  <si>
    <t>71332-0K010</t>
  </si>
  <si>
    <t>TTC580</t>
  </si>
  <si>
    <t>71332-0K020</t>
  </si>
  <si>
    <t>TTC581</t>
  </si>
  <si>
    <t>71332-X7A04</t>
  </si>
  <si>
    <t>TFC012</t>
  </si>
  <si>
    <t>71332-X7A05</t>
  </si>
  <si>
    <t>MIT197</t>
  </si>
  <si>
    <t>71332-X7A07</t>
  </si>
  <si>
    <t>TFC013</t>
  </si>
  <si>
    <t>71336-0K010</t>
  </si>
  <si>
    <t>SAS150</t>
  </si>
  <si>
    <t>71336-0K020</t>
  </si>
  <si>
    <t>SAS151</t>
  </si>
  <si>
    <t>71336-0K030</t>
  </si>
  <si>
    <t>SAS141</t>
  </si>
  <si>
    <t>71356-X7A02</t>
  </si>
  <si>
    <t>BTS118</t>
  </si>
  <si>
    <t>71356-X7A03</t>
  </si>
  <si>
    <t>BTS117</t>
  </si>
  <si>
    <t>71361-X1C07</t>
  </si>
  <si>
    <t>BTS067</t>
  </si>
  <si>
    <t>71362-X1C00</t>
  </si>
  <si>
    <t>BTS068</t>
  </si>
  <si>
    <t>71363-X1C00</t>
  </si>
  <si>
    <t>SOB286</t>
  </si>
  <si>
    <t>71363-X1V04</t>
  </si>
  <si>
    <t>SOB296</t>
  </si>
  <si>
    <t>71364-X1V02</t>
  </si>
  <si>
    <t>SOB297</t>
  </si>
  <si>
    <t>71371-X1F05</t>
  </si>
  <si>
    <t>SAN014</t>
  </si>
  <si>
    <t>SANEI</t>
  </si>
  <si>
    <t>71371-X1F07</t>
  </si>
  <si>
    <t>SAN023</t>
  </si>
  <si>
    <t>71371-X7V00</t>
  </si>
  <si>
    <t>TTC714</t>
  </si>
  <si>
    <t>71371-X7V02</t>
  </si>
  <si>
    <t>71371-X7V17</t>
  </si>
  <si>
    <t>SNA022</t>
  </si>
  <si>
    <t>71371-X7V18</t>
  </si>
  <si>
    <t>SNA023</t>
  </si>
  <si>
    <t>71371-X7V32</t>
  </si>
  <si>
    <t>SNA029</t>
  </si>
  <si>
    <t>71371-X7V34</t>
  </si>
  <si>
    <t>SNA032</t>
  </si>
  <si>
    <t>71371-X7V38</t>
  </si>
  <si>
    <t>TTC772</t>
  </si>
  <si>
    <t>71371-X7V40</t>
  </si>
  <si>
    <t>SNA039</t>
  </si>
  <si>
    <t>71371-X7V41</t>
  </si>
  <si>
    <t>TTC786</t>
  </si>
  <si>
    <t>71372-X7V02</t>
  </si>
  <si>
    <t>SNA033</t>
  </si>
  <si>
    <t>71372-X7V03</t>
  </si>
  <si>
    <t>SNA035</t>
  </si>
  <si>
    <t>71385-0K010</t>
  </si>
  <si>
    <t>BTS038</t>
  </si>
  <si>
    <t>71385-0K020</t>
  </si>
  <si>
    <t>BTS027</t>
  </si>
  <si>
    <t>71385-0K040</t>
  </si>
  <si>
    <t>BTS040</t>
  </si>
  <si>
    <t>71385-0K050</t>
  </si>
  <si>
    <t>BTS028</t>
  </si>
  <si>
    <t>71386-0K010</t>
  </si>
  <si>
    <t>BTS041</t>
  </si>
  <si>
    <t>71386-0K020</t>
  </si>
  <si>
    <t>TST278</t>
  </si>
  <si>
    <t>71386-0K030</t>
  </si>
  <si>
    <t>BTS029</t>
  </si>
  <si>
    <t>71386-0K050</t>
  </si>
  <si>
    <t>BTS042</t>
  </si>
  <si>
    <t>71386-0K060</t>
  </si>
  <si>
    <t>BTS030</t>
  </si>
  <si>
    <t>71397-0K010</t>
  </si>
  <si>
    <t>AOY010</t>
  </si>
  <si>
    <t>AOYAMA</t>
  </si>
  <si>
    <t>71397-X7A00</t>
  </si>
  <si>
    <t>BTS167</t>
  </si>
  <si>
    <t>71397-X7A01</t>
  </si>
  <si>
    <t>BTS168</t>
  </si>
  <si>
    <t>71425-0K060</t>
  </si>
  <si>
    <t>SOB204</t>
  </si>
  <si>
    <t>71452-X7A01</t>
  </si>
  <si>
    <t>SOB338</t>
  </si>
  <si>
    <t>71452-X7A03</t>
  </si>
  <si>
    <t>SOB341</t>
  </si>
  <si>
    <t>71463-0K010</t>
  </si>
  <si>
    <t>TST279</t>
  </si>
  <si>
    <t>71463-X7A03</t>
  </si>
  <si>
    <t>HYS030</t>
  </si>
  <si>
    <t>HAYASHI</t>
  </si>
  <si>
    <t>71463-X7A04</t>
  </si>
  <si>
    <t>HYS035</t>
  </si>
  <si>
    <t>71463-X7A06</t>
  </si>
  <si>
    <t>HYS031</t>
  </si>
  <si>
    <t>71464-0K010</t>
  </si>
  <si>
    <t>TST280</t>
  </si>
  <si>
    <t>71464-X7A03</t>
  </si>
  <si>
    <t>HYS032</t>
  </si>
  <si>
    <t>71464-X7A05</t>
  </si>
  <si>
    <t>HYS036</t>
  </si>
  <si>
    <t>71464-X7A07</t>
  </si>
  <si>
    <t>HYS033</t>
  </si>
  <si>
    <t>71628-X7A01</t>
  </si>
  <si>
    <t>TFC014</t>
  </si>
  <si>
    <t>71709-X1700</t>
  </si>
  <si>
    <t>SOB317</t>
  </si>
  <si>
    <t>71744-X1E02</t>
  </si>
  <si>
    <t>SOB363</t>
  </si>
  <si>
    <t>71779-X7A04</t>
  </si>
  <si>
    <t>TAT701</t>
  </si>
  <si>
    <t>71788-X7201</t>
  </si>
  <si>
    <t>SNA001</t>
  </si>
  <si>
    <t>71795-X1700</t>
  </si>
  <si>
    <t>SOB318</t>
  </si>
  <si>
    <t>71795-X7V04</t>
  </si>
  <si>
    <t>BTS131</t>
  </si>
  <si>
    <t>71796-X7V02</t>
  </si>
  <si>
    <t>BTS132</t>
  </si>
  <si>
    <t>71810-X7V05</t>
  </si>
  <si>
    <t>TTC728</t>
  </si>
  <si>
    <t>71810-X7V13</t>
  </si>
  <si>
    <t>TTC790</t>
  </si>
  <si>
    <t>71810-X7V14</t>
  </si>
  <si>
    <t>TTC792</t>
  </si>
  <si>
    <t>71820-X7V02</t>
  </si>
  <si>
    <t>TTC722</t>
  </si>
  <si>
    <t>71820-X7V03</t>
  </si>
  <si>
    <t>TTC727</t>
  </si>
  <si>
    <t>71820-X7V09</t>
  </si>
  <si>
    <t>TTC789</t>
  </si>
  <si>
    <t>71820-X7V10</t>
  </si>
  <si>
    <t>TTC791</t>
  </si>
  <si>
    <t>71821-X1401</t>
  </si>
  <si>
    <t>SAS158</t>
  </si>
  <si>
    <t>71821-X1402</t>
  </si>
  <si>
    <t>SAS161</t>
  </si>
  <si>
    <t>71821-X1403</t>
  </si>
  <si>
    <t>SAS160</t>
  </si>
  <si>
    <t>71821-X1404</t>
  </si>
  <si>
    <t>SAS162</t>
  </si>
  <si>
    <t>71821-X1405</t>
  </si>
  <si>
    <t>SAS163</t>
  </si>
  <si>
    <t>71821-X1F00</t>
  </si>
  <si>
    <t>SOB278</t>
  </si>
  <si>
    <t>71821-X1F01</t>
  </si>
  <si>
    <t>SOB279</t>
  </si>
  <si>
    <t>71821-X7A00</t>
  </si>
  <si>
    <t>SOB263</t>
  </si>
  <si>
    <t>71823-X7A00</t>
  </si>
  <si>
    <t>SOB264</t>
  </si>
  <si>
    <t>71848-X7V20</t>
  </si>
  <si>
    <t>CAR007</t>
  </si>
  <si>
    <t>71875-X1401</t>
  </si>
  <si>
    <t>SOB272</t>
  </si>
  <si>
    <t>71875-X7A00</t>
  </si>
  <si>
    <t>SNA063</t>
  </si>
  <si>
    <t>AP1-20</t>
  </si>
  <si>
    <t>71876-X1401</t>
  </si>
  <si>
    <t>SOB273</t>
  </si>
  <si>
    <t>71876-X7A00</t>
  </si>
  <si>
    <t>SNA064</t>
  </si>
  <si>
    <t>AP1-21</t>
  </si>
  <si>
    <t>71897-X7A01</t>
  </si>
  <si>
    <t>BTS010</t>
  </si>
  <si>
    <t>71897-X7A07</t>
  </si>
  <si>
    <t>SOB337</t>
  </si>
  <si>
    <t>71898-X1E42</t>
  </si>
  <si>
    <t>SMP013</t>
  </si>
  <si>
    <t>71898-X1E43</t>
  </si>
  <si>
    <t>SMP014</t>
  </si>
  <si>
    <t>71918-X1K00</t>
  </si>
  <si>
    <t>HYS009</t>
  </si>
  <si>
    <t>71918-X7A00</t>
  </si>
  <si>
    <t>HYS068</t>
  </si>
  <si>
    <t>71918-X7V06</t>
  </si>
  <si>
    <t>HYS051</t>
  </si>
  <si>
    <t>71918-X7V11</t>
  </si>
  <si>
    <t>HYS057</t>
  </si>
  <si>
    <t>72010-X1446</t>
  </si>
  <si>
    <t>DUM5</t>
  </si>
  <si>
    <t>72010-X7V03</t>
  </si>
  <si>
    <t>DUM6</t>
  </si>
  <si>
    <t>72010-X7V04</t>
  </si>
  <si>
    <t>DUM7</t>
  </si>
  <si>
    <t>72010-X7V51</t>
  </si>
  <si>
    <t>TTC689</t>
  </si>
  <si>
    <t>72010-X7V64</t>
  </si>
  <si>
    <t>TTC737</t>
  </si>
  <si>
    <t>72015-X1414-T</t>
  </si>
  <si>
    <t>CTO10T</t>
  </si>
  <si>
    <t>72015-X7A04</t>
  </si>
  <si>
    <t>DUM8</t>
  </si>
  <si>
    <t>72015-X7A05</t>
  </si>
  <si>
    <t>DUM9</t>
  </si>
  <si>
    <t>72017-X7A02-S</t>
  </si>
  <si>
    <t>CG9-02</t>
  </si>
  <si>
    <t>72017-X7A02-T</t>
  </si>
  <si>
    <t>CG902T</t>
  </si>
  <si>
    <t>72017-X7A03-S</t>
  </si>
  <si>
    <t>CG9-04</t>
  </si>
  <si>
    <t>72017-X7A03-T</t>
  </si>
  <si>
    <t>CG904T</t>
  </si>
  <si>
    <t>72017-X7A15-S</t>
  </si>
  <si>
    <t>IT1S-1</t>
  </si>
  <si>
    <t>72017-X7A15-T</t>
  </si>
  <si>
    <t>IT1S1T</t>
  </si>
  <si>
    <t>72017-X7A16-S</t>
  </si>
  <si>
    <t>IT1S-3</t>
  </si>
  <si>
    <t>72017-X7A16-T</t>
  </si>
  <si>
    <t>IT1S3T</t>
  </si>
  <si>
    <t>72018-X7A02-S</t>
  </si>
  <si>
    <t>CG9-03</t>
  </si>
  <si>
    <t>72018-X7A02-T</t>
  </si>
  <si>
    <t>CG903T</t>
  </si>
  <si>
    <t>72018-X7A12-S</t>
  </si>
  <si>
    <t>IT1S-2</t>
  </si>
  <si>
    <t>72018-X7A12-T</t>
  </si>
  <si>
    <t>IT1S2T</t>
  </si>
  <si>
    <t>72018-X7A13-S</t>
  </si>
  <si>
    <t>IT1S-4</t>
  </si>
  <si>
    <t>72018-X7A13-T</t>
  </si>
  <si>
    <t>IT1S4T</t>
  </si>
  <si>
    <t>72020-X1432</t>
  </si>
  <si>
    <t>DUM10</t>
  </si>
  <si>
    <t>72020-X7V03</t>
  </si>
  <si>
    <t>DUM11</t>
  </si>
  <si>
    <t>72020-X7V04</t>
  </si>
  <si>
    <t>DUM12</t>
  </si>
  <si>
    <t>72020-X7V44</t>
  </si>
  <si>
    <t>TTC690</t>
  </si>
  <si>
    <t>72020-X7V62</t>
  </si>
  <si>
    <t>TTC738</t>
  </si>
  <si>
    <t>72051-X7A01</t>
  </si>
  <si>
    <t>DUM13</t>
  </si>
  <si>
    <t>72051-X7A02</t>
  </si>
  <si>
    <t>DUM14</t>
  </si>
  <si>
    <t>72052-X7A01</t>
  </si>
  <si>
    <t>DUM15</t>
  </si>
  <si>
    <t>72055-X7A02</t>
  </si>
  <si>
    <t>DUM16</t>
  </si>
  <si>
    <t>72055-X7A04</t>
  </si>
  <si>
    <t>DUM17</t>
  </si>
  <si>
    <t>72056-X7A03</t>
  </si>
  <si>
    <t>DUM18</t>
  </si>
  <si>
    <t>72056-X7A04</t>
  </si>
  <si>
    <t>DUM19</t>
  </si>
  <si>
    <t>72065-0K020</t>
  </si>
  <si>
    <t>MIY008</t>
  </si>
  <si>
    <t>72065-0K040</t>
  </si>
  <si>
    <t>MIY001</t>
  </si>
  <si>
    <t>72065-0K050</t>
  </si>
  <si>
    <t>MIY002</t>
  </si>
  <si>
    <t>72065-0K060</t>
  </si>
  <si>
    <t>TTC560</t>
  </si>
  <si>
    <t>72093-0K020</t>
  </si>
  <si>
    <t>SAS142</t>
  </si>
  <si>
    <t>72093-0K020-T</t>
  </si>
  <si>
    <t>SAS42T</t>
  </si>
  <si>
    <t>72093-X7A00</t>
  </si>
  <si>
    <t>SHI191</t>
  </si>
  <si>
    <t>SHIROKI</t>
  </si>
  <si>
    <t>72094-0K020</t>
  </si>
  <si>
    <t>SAS143</t>
  </si>
  <si>
    <t>72094-0K020-T</t>
  </si>
  <si>
    <t>SAS43T</t>
  </si>
  <si>
    <t>72094-X7A00</t>
  </si>
  <si>
    <t>SHI192</t>
  </si>
  <si>
    <t>72101-X1403-S</t>
  </si>
  <si>
    <t>ST2-01</t>
  </si>
  <si>
    <t>72101-X1403-T</t>
  </si>
  <si>
    <t>ST201T</t>
  </si>
  <si>
    <t>72101-X1404-S</t>
  </si>
  <si>
    <t>ST2-05</t>
  </si>
  <si>
    <t>72101-X1405-S</t>
  </si>
  <si>
    <t>ST3-05</t>
  </si>
  <si>
    <t>72101-X1405-T</t>
  </si>
  <si>
    <t>ST305T</t>
  </si>
  <si>
    <t>72101-X1701-S</t>
  </si>
  <si>
    <t>ST5-01</t>
  </si>
  <si>
    <t>72101-X1701-T</t>
  </si>
  <si>
    <t>ST501T</t>
  </si>
  <si>
    <t>72101-X1703-S</t>
  </si>
  <si>
    <t>ST5-15</t>
  </si>
  <si>
    <t>72101-X1704-S</t>
  </si>
  <si>
    <t>ST5-05</t>
  </si>
  <si>
    <t>72101-X1704-T</t>
  </si>
  <si>
    <t>ST505T</t>
  </si>
  <si>
    <t>72101-X1706-S</t>
  </si>
  <si>
    <t>ST5-22</t>
  </si>
  <si>
    <t>72101-X1706-T</t>
  </si>
  <si>
    <t>ST522T</t>
  </si>
  <si>
    <t>72101-X1710-S</t>
  </si>
  <si>
    <t>ST5-21</t>
  </si>
  <si>
    <t>72101-X1710-T</t>
  </si>
  <si>
    <t>ST521T</t>
  </si>
  <si>
    <t>72101-X1711-S</t>
  </si>
  <si>
    <t>OT-S1</t>
  </si>
  <si>
    <t>72101-X1711-T</t>
  </si>
  <si>
    <t>OT-S1T</t>
  </si>
  <si>
    <t>72101-X1713-S</t>
  </si>
  <si>
    <t>OT-S2</t>
  </si>
  <si>
    <t>72101-X1713-T</t>
  </si>
  <si>
    <t>OT-S2T</t>
  </si>
  <si>
    <t>72101-X1F08-S</t>
  </si>
  <si>
    <t>ST4-01</t>
  </si>
  <si>
    <t>72101-X1F08-T</t>
  </si>
  <si>
    <t>ST401T</t>
  </si>
  <si>
    <t>72101-X1V16-S</t>
  </si>
  <si>
    <t>ET-S1</t>
  </si>
  <si>
    <t>72101-X1V16-T</t>
  </si>
  <si>
    <t>ET-S1T</t>
  </si>
  <si>
    <t>72101-X1V17-S</t>
  </si>
  <si>
    <t>ET-S3</t>
  </si>
  <si>
    <t>72101-X1V17-T</t>
  </si>
  <si>
    <t>ET-S3T</t>
  </si>
  <si>
    <t>72101-X7A00-S</t>
  </si>
  <si>
    <t>CF9-01</t>
  </si>
  <si>
    <t>72101-X7A00-T</t>
  </si>
  <si>
    <t>CF901T</t>
  </si>
  <si>
    <t>72101-X7A02-S</t>
  </si>
  <si>
    <t>CF9-04</t>
  </si>
  <si>
    <t>72101-X7A02-T</t>
  </si>
  <si>
    <t>CF904T</t>
  </si>
  <si>
    <t>72101-X7A04-S</t>
  </si>
  <si>
    <t>ST6-05</t>
  </si>
  <si>
    <t>72101-X7A05</t>
  </si>
  <si>
    <t>ST6-01</t>
  </si>
  <si>
    <t>72101-X7A05-S</t>
  </si>
  <si>
    <t>ST601S</t>
  </si>
  <si>
    <t>72101-X7A05-T</t>
  </si>
  <si>
    <t>ST601T</t>
  </si>
  <si>
    <t>72101-X7A10</t>
  </si>
  <si>
    <t>DUM20</t>
  </si>
  <si>
    <t>72101-X7A20</t>
  </si>
  <si>
    <t>SDI017</t>
  </si>
  <si>
    <t>72101-X7A21</t>
  </si>
  <si>
    <t>SDI020</t>
  </si>
  <si>
    <t>72102-X1403-S</t>
  </si>
  <si>
    <t>ST2-02</t>
  </si>
  <si>
    <t>72102-X1403-T</t>
  </si>
  <si>
    <t>ST202T</t>
  </si>
  <si>
    <t>72102-X1404-S</t>
  </si>
  <si>
    <t>ST2-06</t>
  </si>
  <si>
    <t>72102-X1405-S</t>
  </si>
  <si>
    <t>ST3-06</t>
  </si>
  <si>
    <t>72102-X1405-T</t>
  </si>
  <si>
    <t>ST306T</t>
  </si>
  <si>
    <t>72102-X1702-S</t>
  </si>
  <si>
    <t>ST5-02</t>
  </si>
  <si>
    <t>72102-X1702-T</t>
  </si>
  <si>
    <t>ST502T</t>
  </si>
  <si>
    <t>72102-X1703-S</t>
  </si>
  <si>
    <t>ST5-16</t>
  </si>
  <si>
    <t>72102-X1704-S</t>
  </si>
  <si>
    <t>ST5-06</t>
  </si>
  <si>
    <t>72102-X1704-T</t>
  </si>
  <si>
    <t>ST506T</t>
  </si>
  <si>
    <t>72102-X1709-S</t>
  </si>
  <si>
    <t>OT-S3</t>
  </si>
  <si>
    <t>72102-X1709-T</t>
  </si>
  <si>
    <t>OT-S3T</t>
  </si>
  <si>
    <t>72102-X1710-S</t>
  </si>
  <si>
    <t>OT-S4</t>
  </si>
  <si>
    <t>72102-X1710-T</t>
  </si>
  <si>
    <t>OT-S4T</t>
  </si>
  <si>
    <t>72102-X1F05-S</t>
  </si>
  <si>
    <t>ST4-02</t>
  </si>
  <si>
    <t>72102-X1F05-T</t>
  </si>
  <si>
    <t>ST402T</t>
  </si>
  <si>
    <t>72102-X1V13-S</t>
  </si>
  <si>
    <t>ET-S2</t>
  </si>
  <si>
    <t>72102-X1V13-T</t>
  </si>
  <si>
    <t>ET-S2T</t>
  </si>
  <si>
    <t>72102-X1V14-S</t>
  </si>
  <si>
    <t>ET-S4</t>
  </si>
  <si>
    <t>72102-X1V14-T</t>
  </si>
  <si>
    <t>ET-S4T</t>
  </si>
  <si>
    <t>72102-X7A00-S</t>
  </si>
  <si>
    <t>CF9-06</t>
  </si>
  <si>
    <t>72102-X7A00-T</t>
  </si>
  <si>
    <t>CF906T</t>
  </si>
  <si>
    <t>72102-X7A02-S</t>
  </si>
  <si>
    <t>ST6-06</t>
  </si>
  <si>
    <t>72102-X7A03</t>
  </si>
  <si>
    <t>ST6-02</t>
  </si>
  <si>
    <t>72102-X7A03-S</t>
  </si>
  <si>
    <t>ST602S</t>
  </si>
  <si>
    <t>72102-X7A03-T</t>
  </si>
  <si>
    <t>ST602T</t>
  </si>
  <si>
    <t>72102-X7A08</t>
  </si>
  <si>
    <t>SDI018</t>
  </si>
  <si>
    <t>72102-X7A09</t>
  </si>
  <si>
    <t>SDI021</t>
  </si>
  <si>
    <t>72102-X7A10</t>
  </si>
  <si>
    <t>SDI019</t>
  </si>
  <si>
    <t>72103-X1403-S</t>
  </si>
  <si>
    <t>ST2-03</t>
  </si>
  <si>
    <t>72103-X1403-T</t>
  </si>
  <si>
    <t>ST203T</t>
  </si>
  <si>
    <t>72103-X1404-S</t>
  </si>
  <si>
    <t>ST2-07</t>
  </si>
  <si>
    <t>72103-X1405-S</t>
  </si>
  <si>
    <t>ST3-07</t>
  </si>
  <si>
    <t>72103-X1405-T</t>
  </si>
  <si>
    <t>ST307T</t>
  </si>
  <si>
    <t>72103-X1700-S</t>
  </si>
  <si>
    <t>ST5-03</t>
  </si>
  <si>
    <t>72103-X1700-T</t>
  </si>
  <si>
    <t>ST503T</t>
  </si>
  <si>
    <t>72103-X1701-S</t>
  </si>
  <si>
    <t>ST5-17</t>
  </si>
  <si>
    <t>72103-X1708-S</t>
  </si>
  <si>
    <t>ST5-07</t>
  </si>
  <si>
    <t>72103-X1708-T</t>
  </si>
  <si>
    <t>ST507T</t>
  </si>
  <si>
    <t>72103-X1F06-S</t>
  </si>
  <si>
    <t>ST4-03</t>
  </si>
  <si>
    <t>72103-X1F06-T</t>
  </si>
  <si>
    <t>ST403T</t>
  </si>
  <si>
    <t>72103-X1F09-S</t>
  </si>
  <si>
    <t>ST4-21</t>
  </si>
  <si>
    <t>72103-X1F09-T</t>
  </si>
  <si>
    <t>ST421T</t>
  </si>
  <si>
    <t>72103-X7A00-S</t>
  </si>
  <si>
    <t>CF9-02</t>
  </si>
  <si>
    <t>72103-X7A00-T</t>
  </si>
  <si>
    <t>CF902T</t>
  </si>
  <si>
    <t>72103-X7A03-S</t>
  </si>
  <si>
    <t>CF9-05</t>
  </si>
  <si>
    <t>72103-X7A03-T</t>
  </si>
  <si>
    <t>CF905T</t>
  </si>
  <si>
    <t>72103-X7A04-S</t>
  </si>
  <si>
    <t>ST6-07</t>
  </si>
  <si>
    <t>72103-X7A05</t>
  </si>
  <si>
    <t>ST6-03</t>
  </si>
  <si>
    <t>72103-X7A05-S</t>
  </si>
  <si>
    <t>ST603S</t>
  </si>
  <si>
    <t>72103-X7A05-T</t>
  </si>
  <si>
    <t>ST603T</t>
  </si>
  <si>
    <t>72103-X7A06-S</t>
  </si>
  <si>
    <t>IT-S1</t>
  </si>
  <si>
    <t>72103-X7A06-T</t>
  </si>
  <si>
    <t>IT-S1T</t>
  </si>
  <si>
    <t>72103-X7A07-S</t>
  </si>
  <si>
    <t>IT-S4</t>
  </si>
  <si>
    <t>72103-X7A07-T</t>
  </si>
  <si>
    <t>IT-S4T</t>
  </si>
  <si>
    <t>72103-X7A12-S</t>
  </si>
  <si>
    <t>IT-S7</t>
  </si>
  <si>
    <t>72103-X7A12-T</t>
  </si>
  <si>
    <t>IT-S19</t>
  </si>
  <si>
    <t>72103-X7A15-S</t>
  </si>
  <si>
    <t>IT-S9</t>
  </si>
  <si>
    <t>72103-X7A15-T</t>
  </si>
  <si>
    <t>IT-S21</t>
  </si>
  <si>
    <t>72103-X7A26</t>
  </si>
  <si>
    <t>SDI015</t>
  </si>
  <si>
    <t>72103-X7V10-S</t>
  </si>
  <si>
    <t>TTL-S1</t>
  </si>
  <si>
    <t>72103-X7V10-T</t>
  </si>
  <si>
    <t>TTLS1T</t>
  </si>
  <si>
    <t>72103-X7V14-S</t>
  </si>
  <si>
    <t>TTL-S2</t>
  </si>
  <si>
    <t>72103-X7V14-T</t>
  </si>
  <si>
    <t>TTLS2T</t>
  </si>
  <si>
    <t>72103-X7V23-S</t>
  </si>
  <si>
    <t>TTL-S4</t>
  </si>
  <si>
    <t>72103-X7V23-T</t>
  </si>
  <si>
    <t>TTLS4T</t>
  </si>
  <si>
    <t>72103-X7V24-S</t>
  </si>
  <si>
    <t>TTL-S5</t>
  </si>
  <si>
    <t>72103-X7V24-T</t>
  </si>
  <si>
    <t>TTLS5T</t>
  </si>
  <si>
    <t>72103-X7V46-S</t>
  </si>
  <si>
    <t>HTLS1</t>
  </si>
  <si>
    <t>72103-X7V46-T</t>
  </si>
  <si>
    <t>HTLT1</t>
  </si>
  <si>
    <t>72103-X7V55-S</t>
  </si>
  <si>
    <t>HTLS2</t>
  </si>
  <si>
    <t>72103-X7V55-T</t>
  </si>
  <si>
    <t>HTLT2</t>
  </si>
  <si>
    <t>72103-X7V56-S</t>
  </si>
  <si>
    <t>ELR-S1</t>
  </si>
  <si>
    <t>72104-X1403-S</t>
  </si>
  <si>
    <t>ST2-04</t>
  </si>
  <si>
    <t>72104-X1403-T</t>
  </si>
  <si>
    <t>ST204T</t>
  </si>
  <si>
    <t>72104-X1404-S</t>
  </si>
  <si>
    <t>ST2-08</t>
  </si>
  <si>
    <t>72104-X1405-S</t>
  </si>
  <si>
    <t>ST3-08</t>
  </si>
  <si>
    <t>72104-X1405-T</t>
  </si>
  <si>
    <t>ST308T</t>
  </si>
  <si>
    <t>72104-X1706-S</t>
  </si>
  <si>
    <t>ST5-04</t>
  </si>
  <si>
    <t>72104-X1706-T</t>
  </si>
  <si>
    <t>ST504T</t>
  </si>
  <si>
    <t>72104-X1707-S</t>
  </si>
  <si>
    <t>ST5-18</t>
  </si>
  <si>
    <t>72104-X1708-S</t>
  </si>
  <si>
    <t>ST5-08</t>
  </si>
  <si>
    <t>72104-X1708-T</t>
  </si>
  <si>
    <t>ST508T</t>
  </si>
  <si>
    <t>72104-X1F06-S</t>
  </si>
  <si>
    <t>ST4-04</t>
  </si>
  <si>
    <t>72104-X1F06-T</t>
  </si>
  <si>
    <t>ST404T</t>
  </si>
  <si>
    <t>72104-X1F11-S</t>
  </si>
  <si>
    <t>ST4-22</t>
  </si>
  <si>
    <t>72104-X1F11-T</t>
  </si>
  <si>
    <t>ST422T</t>
  </si>
  <si>
    <t>72104-X1V10-S</t>
  </si>
  <si>
    <t>ET-S5</t>
  </si>
  <si>
    <t>72104-X1V10-T</t>
  </si>
  <si>
    <t>ET-S5T</t>
  </si>
  <si>
    <t>72104-X7A00-S</t>
  </si>
  <si>
    <t>CF9-03</t>
  </si>
  <si>
    <t>72104-X7A00-T</t>
  </si>
  <si>
    <t>CF903T</t>
  </si>
  <si>
    <t>72104-X7A02-S</t>
  </si>
  <si>
    <t>CF9-07</t>
  </si>
  <si>
    <t>72104-X7A02-T</t>
  </si>
  <si>
    <t>CF907T</t>
  </si>
  <si>
    <t>72104-X7A04-S</t>
  </si>
  <si>
    <t>ST6-08</t>
  </si>
  <si>
    <t>72104-X7A05</t>
  </si>
  <si>
    <t>ST6-04</t>
  </si>
  <si>
    <t>72104-X7A05-S</t>
  </si>
  <si>
    <t>ST604S</t>
  </si>
  <si>
    <t>72104-X7A05-T</t>
  </si>
  <si>
    <t>ST604T</t>
  </si>
  <si>
    <t>72104-X7A06-S</t>
  </si>
  <si>
    <t>IT-S2</t>
  </si>
  <si>
    <t>72104-X7A06-T</t>
  </si>
  <si>
    <t>IT-S2T</t>
  </si>
  <si>
    <t>72104-X7A07-S</t>
  </si>
  <si>
    <t>IT-S3</t>
  </si>
  <si>
    <t>72104-X7A07-T</t>
  </si>
  <si>
    <t>IT-S3T</t>
  </si>
  <si>
    <t>72104-X7A08-S</t>
  </si>
  <si>
    <t>IT-S5</t>
  </si>
  <si>
    <t>72104-X7A08-T</t>
  </si>
  <si>
    <t>IT-S5T</t>
  </si>
  <si>
    <t>72104-X7A09-S</t>
  </si>
  <si>
    <t>IT-S6</t>
  </si>
  <si>
    <t>72104-X7A09-T</t>
  </si>
  <si>
    <t>IT-S6T</t>
  </si>
  <si>
    <t>72104-X7A14-S</t>
  </si>
  <si>
    <t>IT-S8</t>
  </si>
  <si>
    <t>72104-X7A14-T</t>
  </si>
  <si>
    <t>IT-S20</t>
  </si>
  <si>
    <t>72104-X7A15-S</t>
  </si>
  <si>
    <t>IT-S10</t>
  </si>
  <si>
    <t>72104-X7A15-T</t>
  </si>
  <si>
    <t>IT-S22</t>
  </si>
  <si>
    <t>72104-X7A31</t>
  </si>
  <si>
    <t>SDI016</t>
  </si>
  <si>
    <t>72104-X7V08-S</t>
  </si>
  <si>
    <t>TTL-S3</t>
  </si>
  <si>
    <t>72104-X7V08-T</t>
  </si>
  <si>
    <t>TTLS3T</t>
  </si>
  <si>
    <t>72104-X7V12-S</t>
  </si>
  <si>
    <t>TTL-S6</t>
  </si>
  <si>
    <t>72104-X7V12-T</t>
  </si>
  <si>
    <t>TTLS6T</t>
  </si>
  <si>
    <t>72104-X7V27-S</t>
  </si>
  <si>
    <t>ELR-S2</t>
  </si>
  <si>
    <t>72105-X1405-T</t>
  </si>
  <si>
    <t>ST209T</t>
  </si>
  <si>
    <t>72105-X1407-T</t>
  </si>
  <si>
    <t>ST214T</t>
  </si>
  <si>
    <t>72105-X1412-EFC</t>
  </si>
  <si>
    <t>TUS03E</t>
  </si>
  <si>
    <t>72105-X1412-IMV</t>
  </si>
  <si>
    <t>TUS03I</t>
  </si>
  <si>
    <t>72105-X1412-T</t>
  </si>
  <si>
    <t>CTI12T</t>
  </si>
  <si>
    <t>72105-X1413-EFC</t>
  </si>
  <si>
    <t>TUS10E</t>
  </si>
  <si>
    <t>72105-X1413-IMV</t>
  </si>
  <si>
    <t>TUS10I</t>
  </si>
  <si>
    <t>72105-X1413-T</t>
  </si>
  <si>
    <t>CTO11T</t>
  </si>
  <si>
    <t>72105-X1414-EFC</t>
  </si>
  <si>
    <t>TUS08E</t>
  </si>
  <si>
    <t>72105-X1414-IMV</t>
  </si>
  <si>
    <t>TUS08I</t>
  </si>
  <si>
    <t>72105-X1415-EFC</t>
  </si>
  <si>
    <t>TUS07E</t>
  </si>
  <si>
    <t>72105-X1415-IMV</t>
  </si>
  <si>
    <t>TUS07I</t>
  </si>
  <si>
    <t>72105-X1415-T</t>
  </si>
  <si>
    <t>CTO13T</t>
  </si>
  <si>
    <t>72105-X1701-T</t>
  </si>
  <si>
    <t>ST512T</t>
  </si>
  <si>
    <t>72105-X1709</t>
  </si>
  <si>
    <t>TUS14E</t>
  </si>
  <si>
    <t>72105-X1710</t>
  </si>
  <si>
    <t>TUS15E</t>
  </si>
  <si>
    <t>72105-X1711</t>
  </si>
  <si>
    <t>TUS17E</t>
  </si>
  <si>
    <t>72105-X1F01-S</t>
  </si>
  <si>
    <t>ST4-05</t>
  </si>
  <si>
    <t>72105-X1F01-T</t>
  </si>
  <si>
    <t>ST405T</t>
  </si>
  <si>
    <t>72105-X1F03-S</t>
  </si>
  <si>
    <t>ST4-06</t>
  </si>
  <si>
    <t>72105-X1F03-T</t>
  </si>
  <si>
    <t>ST406T</t>
  </si>
  <si>
    <t>72105-X1F08-S</t>
  </si>
  <si>
    <t>ST4-13</t>
  </si>
  <si>
    <t>72105-X1F08-T</t>
  </si>
  <si>
    <t>ST413T</t>
  </si>
  <si>
    <t>72105-X1F09-S</t>
  </si>
  <si>
    <t>ST4-14</t>
  </si>
  <si>
    <t>72105-X1F09-T</t>
  </si>
  <si>
    <t>ST414T</t>
  </si>
  <si>
    <t>72105-X7A04</t>
  </si>
  <si>
    <t>DUM21</t>
  </si>
  <si>
    <t>72105-X7A14</t>
  </si>
  <si>
    <t>TUS24I</t>
  </si>
  <si>
    <t>72105-X7A20</t>
  </si>
  <si>
    <t>DTT004</t>
  </si>
  <si>
    <t>DOWA</t>
  </si>
  <si>
    <t>72105-X7A21</t>
  </si>
  <si>
    <t>SDI022</t>
  </si>
  <si>
    <t>72105-X7A21-00</t>
  </si>
  <si>
    <t>DTT005</t>
  </si>
  <si>
    <t>72105-X7V20-S3</t>
  </si>
  <si>
    <t>TTU-S3</t>
  </si>
  <si>
    <t>72105-X7V21-S2</t>
  </si>
  <si>
    <t>TTU-S2</t>
  </si>
  <si>
    <t>72105-X7V30-S</t>
  </si>
  <si>
    <t>TTU-S4</t>
  </si>
  <si>
    <t>72105-X7V39-S</t>
  </si>
  <si>
    <t>HTU-S1</t>
  </si>
  <si>
    <t>72105-X7V40-S</t>
  </si>
  <si>
    <t>EUR-S3</t>
  </si>
  <si>
    <t>72105-X7V41-S</t>
  </si>
  <si>
    <t>EUR-S6</t>
  </si>
  <si>
    <t>72105-X7V42-S</t>
  </si>
  <si>
    <t>EUR-S4</t>
  </si>
  <si>
    <t>72105-X7V43-S</t>
  </si>
  <si>
    <t>EUR-S5</t>
  </si>
  <si>
    <t>72106-X1404-T</t>
  </si>
  <si>
    <t>ST212T</t>
  </si>
  <si>
    <t>72106-X1407-T</t>
  </si>
  <si>
    <t>ST213T</t>
  </si>
  <si>
    <t>72106-X1411-T</t>
  </si>
  <si>
    <t>ST511T</t>
  </si>
  <si>
    <t>72106-X1413-CAM</t>
  </si>
  <si>
    <t>TLS05C</t>
  </si>
  <si>
    <t>72106-X1413-CED</t>
  </si>
  <si>
    <t>TLS4CT</t>
  </si>
  <si>
    <t>72106-X1413-IMV</t>
  </si>
  <si>
    <t>TLS05I</t>
  </si>
  <si>
    <t>72106-X1413-T</t>
  </si>
  <si>
    <t>CTUS5T</t>
  </si>
  <si>
    <t>72106-X1414-CAM</t>
  </si>
  <si>
    <t>TLS03C</t>
  </si>
  <si>
    <t>72106-X1414-CED</t>
  </si>
  <si>
    <t>TLS6CT</t>
  </si>
  <si>
    <t>72106-X1414-IMV</t>
  </si>
  <si>
    <t>TLS03I</t>
  </si>
  <si>
    <t>72106-X1414-T</t>
  </si>
  <si>
    <t>CTUS3T</t>
  </si>
  <si>
    <t>72106-X1F01-S</t>
  </si>
  <si>
    <t>ST4-07</t>
  </si>
  <si>
    <t>72106-X1F01-T</t>
  </si>
  <si>
    <t>ST407T</t>
  </si>
  <si>
    <t>72106-X1F03-S</t>
  </si>
  <si>
    <t>ST4-08</t>
  </si>
  <si>
    <t>72106-X1F03-T</t>
  </si>
  <si>
    <t>ST408T</t>
  </si>
  <si>
    <t>72106-X1F08-S</t>
  </si>
  <si>
    <t>ST4-15</t>
  </si>
  <si>
    <t>72106-X1F08-T</t>
  </si>
  <si>
    <t>ST415T</t>
  </si>
  <si>
    <t>72106-X1F09-S</t>
  </si>
  <si>
    <t>ST4-16</t>
  </si>
  <si>
    <t>72106-X1F09-T</t>
  </si>
  <si>
    <t>ST416T</t>
  </si>
  <si>
    <t>72106-X7A07</t>
  </si>
  <si>
    <t>DUM22</t>
  </si>
  <si>
    <t>72106-X7A11</t>
  </si>
  <si>
    <t>TUS26I</t>
  </si>
  <si>
    <t>72107-X1404-T</t>
  </si>
  <si>
    <t>ST210T</t>
  </si>
  <si>
    <t>72107-X1409-T</t>
  </si>
  <si>
    <t>ST215T</t>
  </si>
  <si>
    <t>72107-X1417-EFC</t>
  </si>
  <si>
    <t>TUS04E</t>
  </si>
  <si>
    <t>72107-X1417-IMV</t>
  </si>
  <si>
    <t>TUS04I</t>
  </si>
  <si>
    <t>72107-X1417-T</t>
  </si>
  <si>
    <t>CTO12T</t>
  </si>
  <si>
    <t>72107-X1419-EFC</t>
  </si>
  <si>
    <t>TUS06E</t>
  </si>
  <si>
    <t>72107-X1419-IMV</t>
  </si>
  <si>
    <t>TUS06I</t>
  </si>
  <si>
    <t>72107-X1419-T</t>
  </si>
  <si>
    <t>CTI10T</t>
  </si>
  <si>
    <t>72107-X1420-EFC</t>
  </si>
  <si>
    <t>TUS09E</t>
  </si>
  <si>
    <t>72107-X1420-IMV</t>
  </si>
  <si>
    <t>TUS09I</t>
  </si>
  <si>
    <t>72107-X1420-T</t>
  </si>
  <si>
    <t>CTI11T</t>
  </si>
  <si>
    <t>72107-X1421-EFC</t>
  </si>
  <si>
    <t>TUS11E</t>
  </si>
  <si>
    <t>72107-X1421-IMV</t>
  </si>
  <si>
    <t>TUS05I</t>
  </si>
  <si>
    <t>72107-X1421-T</t>
  </si>
  <si>
    <t>CTI13T</t>
  </si>
  <si>
    <t>72107-X1701-T</t>
  </si>
  <si>
    <t>ST510T</t>
  </si>
  <si>
    <t>72107-X1711</t>
  </si>
  <si>
    <t>TUS16E</t>
  </si>
  <si>
    <t>72107-X1712</t>
  </si>
  <si>
    <t>TUS13E</t>
  </si>
  <si>
    <t>72107-X1713</t>
  </si>
  <si>
    <t>TUS18E</t>
  </si>
  <si>
    <t>72107-X1F00-S</t>
  </si>
  <si>
    <t>ST4-09</t>
  </si>
  <si>
    <t>72107-X1F00-T</t>
  </si>
  <si>
    <t>ST409T</t>
  </si>
  <si>
    <t>72107-X1F01-S</t>
  </si>
  <si>
    <t>ST4-10</t>
  </si>
  <si>
    <t>72107-X1F01-T</t>
  </si>
  <si>
    <t>ST410T</t>
  </si>
  <si>
    <t>72107-X1F07-S</t>
  </si>
  <si>
    <t>ST4-17</t>
  </si>
  <si>
    <t>72107-X1F07-T</t>
  </si>
  <si>
    <t>ST417T</t>
  </si>
  <si>
    <t>72107-X1F08-S</t>
  </si>
  <si>
    <t>ST4-18</t>
  </si>
  <si>
    <t>72107-X1F08-T</t>
  </si>
  <si>
    <t>ST418T</t>
  </si>
  <si>
    <t>72107-X7A03-S</t>
  </si>
  <si>
    <t>CG9-01</t>
  </si>
  <si>
    <t>72107-X7A03-T</t>
  </si>
  <si>
    <t>CG901T</t>
  </si>
  <si>
    <t>72107-X7A07-EFC</t>
  </si>
  <si>
    <t>TUS02E</t>
  </si>
  <si>
    <t>72107-X7A07-IMV</t>
  </si>
  <si>
    <t>TUS02I</t>
  </si>
  <si>
    <t>72107-X7A11-EFC</t>
  </si>
  <si>
    <t>TUS01E</t>
  </si>
  <si>
    <t>72107-X7A11-IMV</t>
  </si>
  <si>
    <t>TUS01I</t>
  </si>
  <si>
    <t>72107-X7A15</t>
  </si>
  <si>
    <t>TUS23I</t>
  </si>
  <si>
    <t>72107-X7A22</t>
  </si>
  <si>
    <t>SDI023</t>
  </si>
  <si>
    <t>72107-X7A22-00</t>
  </si>
  <si>
    <t>DTT006</t>
  </si>
  <si>
    <t>72107-X7A23</t>
  </si>
  <si>
    <t>DTT007</t>
  </si>
  <si>
    <t>72108-X1403-T</t>
  </si>
  <si>
    <t>ST211T</t>
  </si>
  <si>
    <t>72108-X1408-T</t>
  </si>
  <si>
    <t>ST513T</t>
  </si>
  <si>
    <t>72108-X1409-T</t>
  </si>
  <si>
    <t>ST216T</t>
  </si>
  <si>
    <t>72108-X1416-CAM</t>
  </si>
  <si>
    <t>TLS06C</t>
  </si>
  <si>
    <t>72108-X1416-CED</t>
  </si>
  <si>
    <t>TLS5CT</t>
  </si>
  <si>
    <t>72108-X1416-IMV</t>
  </si>
  <si>
    <t>TLS06I</t>
  </si>
  <si>
    <t>72108-X1416-T</t>
  </si>
  <si>
    <t>CTUS6T</t>
  </si>
  <si>
    <t>72108-X1421-CAM</t>
  </si>
  <si>
    <t>TLS04C</t>
  </si>
  <si>
    <t>72108-X1421-CED</t>
  </si>
  <si>
    <t>TLS3CT</t>
  </si>
  <si>
    <t>72108-X1421-IMV</t>
  </si>
  <si>
    <t>TLS04I</t>
  </si>
  <si>
    <t>72108-X1421-T</t>
  </si>
  <si>
    <t>CTUS4T</t>
  </si>
  <si>
    <t>72108-X1701-T</t>
  </si>
  <si>
    <t>ST509T</t>
  </si>
  <si>
    <t>72108-X1F01-S</t>
  </si>
  <si>
    <t>ST4-11</t>
  </si>
  <si>
    <t>72108-X1F01-T</t>
  </si>
  <si>
    <t>ST411T</t>
  </si>
  <si>
    <t>72108-X1F03-S</t>
  </si>
  <si>
    <t>ST4-12</t>
  </si>
  <si>
    <t>72108-X1F03-T</t>
  </si>
  <si>
    <t>ST412T</t>
  </si>
  <si>
    <t>72108-X1F10-S</t>
  </si>
  <si>
    <t>ST4-19</t>
  </si>
  <si>
    <t>72108-X1F10-T</t>
  </si>
  <si>
    <t>ST419T</t>
  </si>
  <si>
    <t>72108-X1F11-S</t>
  </si>
  <si>
    <t>ST4-20</t>
  </si>
  <si>
    <t>72108-X1F11-T</t>
  </si>
  <si>
    <t>ST420T</t>
  </si>
  <si>
    <t>72108-X7A03</t>
  </si>
  <si>
    <t>TUS25I</t>
  </si>
  <si>
    <t>72111-X1402</t>
  </si>
  <si>
    <t>DP2-01</t>
  </si>
  <si>
    <t>72111-X1403</t>
  </si>
  <si>
    <t>DP2-02</t>
  </si>
  <si>
    <t>72111-X1404</t>
  </si>
  <si>
    <t>CTP-30</t>
  </si>
  <si>
    <t>72111-X1703</t>
  </si>
  <si>
    <t>OTP-07</t>
  </si>
  <si>
    <t>72111-X7A00</t>
  </si>
  <si>
    <t>CP1-01</t>
  </si>
  <si>
    <t>72111-X7A02</t>
  </si>
  <si>
    <t>IPT-94</t>
  </si>
  <si>
    <t>72111-X7V08</t>
  </si>
  <si>
    <t>TPT-08</t>
  </si>
  <si>
    <t>72111-X7V08-S1</t>
  </si>
  <si>
    <t>TTU-S1</t>
  </si>
  <si>
    <t>72111-X7V19</t>
  </si>
  <si>
    <t>DPT-08</t>
  </si>
  <si>
    <t>72111-X7V23</t>
  </si>
  <si>
    <t>DPT-10</t>
  </si>
  <si>
    <t>72112-X7A00</t>
  </si>
  <si>
    <t>CP1-02</t>
  </si>
  <si>
    <t>72113-X1405</t>
  </si>
  <si>
    <t>CTP-31</t>
  </si>
  <si>
    <t>72113-X1704</t>
  </si>
  <si>
    <t>OTP-06</t>
  </si>
  <si>
    <t>72113-X7A00</t>
  </si>
  <si>
    <t>CP1-03</t>
  </si>
  <si>
    <t>72113-X7A02</t>
  </si>
  <si>
    <t>IPT-92</t>
  </si>
  <si>
    <t>72114-X1405</t>
  </si>
  <si>
    <t>CTP-28</t>
  </si>
  <si>
    <t>72114-X1704</t>
  </si>
  <si>
    <t>OTP-05</t>
  </si>
  <si>
    <t>72114-X7A00</t>
  </si>
  <si>
    <t>CP1-04</t>
  </si>
  <si>
    <t>72114-X7A02</t>
  </si>
  <si>
    <t>IPT-93</t>
  </si>
  <si>
    <t>72115-X1400</t>
  </si>
  <si>
    <t>DP2-03</t>
  </si>
  <si>
    <t>72115-X1401</t>
  </si>
  <si>
    <t>DP2-04</t>
  </si>
  <si>
    <t>72115-X1402</t>
  </si>
  <si>
    <t>CTP-24</t>
  </si>
  <si>
    <t>72115-X1403</t>
  </si>
  <si>
    <t>CTP-27</t>
  </si>
  <si>
    <t>72115-X1403-T</t>
  </si>
  <si>
    <t>CTP27T</t>
  </si>
  <si>
    <t>72115-X1404</t>
  </si>
  <si>
    <t>CTP-26</t>
  </si>
  <si>
    <t>72115-X1405</t>
  </si>
  <si>
    <t>CTP-29</t>
  </si>
  <si>
    <t>72115-X1405-T</t>
  </si>
  <si>
    <t>CTP29T</t>
  </si>
  <si>
    <t>72115-X1704</t>
  </si>
  <si>
    <t>OTP-08</t>
  </si>
  <si>
    <t>72115-X1705</t>
  </si>
  <si>
    <t>OTP-09</t>
  </si>
  <si>
    <t>72115-X1706-SL</t>
  </si>
  <si>
    <t>OTO39</t>
  </si>
  <si>
    <t>72115-X1F04</t>
  </si>
  <si>
    <t>DP3-01</t>
  </si>
  <si>
    <t>72115-X1F05</t>
  </si>
  <si>
    <t>DP3-02</t>
  </si>
  <si>
    <t>72115-X7A02</t>
  </si>
  <si>
    <t>CP1-05</t>
  </si>
  <si>
    <t>72115-X7A03</t>
  </si>
  <si>
    <t>DP5-01</t>
  </si>
  <si>
    <t>72115-X7A04</t>
  </si>
  <si>
    <t>IPT-88</t>
  </si>
  <si>
    <t>72115-X7A05</t>
  </si>
  <si>
    <t>IPT-89</t>
  </si>
  <si>
    <t>72115-X7V08</t>
  </si>
  <si>
    <t>TPT-10</t>
  </si>
  <si>
    <t>72115-X7V09</t>
  </si>
  <si>
    <t>TPT-11</t>
  </si>
  <si>
    <t>72115-X7V15</t>
  </si>
  <si>
    <t>SHI214</t>
  </si>
  <si>
    <t>72115-X7V27</t>
  </si>
  <si>
    <t>SHI215</t>
  </si>
  <si>
    <t>72115-X7V31</t>
  </si>
  <si>
    <t>EPT-51</t>
  </si>
  <si>
    <t>72115-X7V40</t>
  </si>
  <si>
    <t>IPT-08</t>
  </si>
  <si>
    <t>72115-X7V45</t>
  </si>
  <si>
    <t>DPT-05</t>
  </si>
  <si>
    <t>72115-X7V50</t>
  </si>
  <si>
    <t>DPT-09</t>
  </si>
  <si>
    <t>72116-X1701-SL</t>
  </si>
  <si>
    <t>OTO40</t>
  </si>
  <si>
    <t>72117-X1704-SL</t>
  </si>
  <si>
    <t>OTI37</t>
  </si>
  <si>
    <t>72117-X1V09</t>
  </si>
  <si>
    <t>ETP-04</t>
  </si>
  <si>
    <t>72117-X7A02</t>
  </si>
  <si>
    <t>CP1-06</t>
  </si>
  <si>
    <t>72118-X1700-SL</t>
  </si>
  <si>
    <t>OTI38</t>
  </si>
  <si>
    <t>72120-X7A18-S</t>
  </si>
  <si>
    <t>OTO42S</t>
  </si>
  <si>
    <t>72123-26030</t>
  </si>
  <si>
    <t>SHI218</t>
  </si>
  <si>
    <t>72125-06090</t>
  </si>
  <si>
    <t>KEN125</t>
  </si>
  <si>
    <t>72125-0D120</t>
  </si>
  <si>
    <t>KEN132</t>
  </si>
  <si>
    <t>72129-BZ060</t>
  </si>
  <si>
    <t>KEN137</t>
  </si>
  <si>
    <t>72129-BZ070</t>
  </si>
  <si>
    <t>KEN136</t>
  </si>
  <si>
    <t>72129-X1F01</t>
  </si>
  <si>
    <t>KEN097</t>
  </si>
  <si>
    <t>72129-X1V11</t>
  </si>
  <si>
    <t>EAT003</t>
  </si>
  <si>
    <t>ECHO</t>
  </si>
  <si>
    <t>72129-X7A00</t>
  </si>
  <si>
    <t>KEN090</t>
  </si>
  <si>
    <t>72131-X1402</t>
  </si>
  <si>
    <t>SOB232</t>
  </si>
  <si>
    <t>72131-X1404</t>
  </si>
  <si>
    <t>CTP-33</t>
  </si>
  <si>
    <t>72131-X1405</t>
  </si>
  <si>
    <t>CTP-35</t>
  </si>
  <si>
    <t>72131-X7A00</t>
  </si>
  <si>
    <t>SAN003</t>
  </si>
  <si>
    <t>72131-X7A01</t>
  </si>
  <si>
    <t>SAN005</t>
  </si>
  <si>
    <t>72131-X7V17</t>
  </si>
  <si>
    <t>SOB355</t>
  </si>
  <si>
    <t>72131-X7V18</t>
  </si>
  <si>
    <t>SOB353</t>
  </si>
  <si>
    <t>72131-X7V19</t>
  </si>
  <si>
    <t>YDT030</t>
  </si>
  <si>
    <t>72131-X7V20</t>
  </si>
  <si>
    <t>BTS129</t>
  </si>
  <si>
    <t>72131-X7V32</t>
  </si>
  <si>
    <t>SHI211</t>
  </si>
  <si>
    <t>72131-X7V38</t>
  </si>
  <si>
    <t>SHI204</t>
  </si>
  <si>
    <t>72131-X7V52</t>
  </si>
  <si>
    <t>SOB371</t>
  </si>
  <si>
    <t>72131-X7V53</t>
  </si>
  <si>
    <t>SNA030</t>
  </si>
  <si>
    <t>72131-X7V67</t>
  </si>
  <si>
    <t>DPT-06</t>
  </si>
  <si>
    <t>72131-X7V75</t>
  </si>
  <si>
    <t>SNA049</t>
  </si>
  <si>
    <t>72131-X7V76</t>
  </si>
  <si>
    <t>SNA048</t>
  </si>
  <si>
    <t>72132-X1402</t>
  </si>
  <si>
    <t>SOB233</t>
  </si>
  <si>
    <t>72132-X1403</t>
  </si>
  <si>
    <t>CTP-34</t>
  </si>
  <si>
    <t>72132-X1404</t>
  </si>
  <si>
    <t>CTP-32</t>
  </si>
  <si>
    <t>72132-X7A00</t>
  </si>
  <si>
    <t>SAN004</t>
  </si>
  <si>
    <t>72132-X7A01</t>
  </si>
  <si>
    <t>SAN006</t>
  </si>
  <si>
    <t>72132-X7A05</t>
  </si>
  <si>
    <t>MIY049</t>
  </si>
  <si>
    <t>72132-X7V10</t>
  </si>
  <si>
    <t>SOB354</t>
  </si>
  <si>
    <t>72132-X7V17</t>
  </si>
  <si>
    <t>SOB356</t>
  </si>
  <si>
    <t>72132-X7V18</t>
  </si>
  <si>
    <t>YDT031</t>
  </si>
  <si>
    <t>72132-X7V19</t>
  </si>
  <si>
    <t>BTS130</t>
  </si>
  <si>
    <t>72132-X7V31</t>
  </si>
  <si>
    <t>TTC778</t>
  </si>
  <si>
    <t>72132-X7V33</t>
  </si>
  <si>
    <t>TTC777</t>
  </si>
  <si>
    <t>72132-X7V36</t>
  </si>
  <si>
    <t>SHI205</t>
  </si>
  <si>
    <t>72132-X7V51</t>
  </si>
  <si>
    <t>SNA031</t>
  </si>
  <si>
    <t>72132-X7V58</t>
  </si>
  <si>
    <t>DPT-07</t>
  </si>
  <si>
    <t>72133-X1403</t>
  </si>
  <si>
    <t>DP2-05</t>
  </si>
  <si>
    <t>72133-X1F02</t>
  </si>
  <si>
    <t>DP3-03</t>
  </si>
  <si>
    <t>72133-X1F03</t>
  </si>
  <si>
    <t>DP4-01</t>
  </si>
  <si>
    <t>72133-X7A00</t>
  </si>
  <si>
    <t>SOB259</t>
  </si>
  <si>
    <t>72133-X7A01</t>
  </si>
  <si>
    <t>SAN001</t>
  </si>
  <si>
    <t>72133-X7V09</t>
  </si>
  <si>
    <t>BTS136</t>
  </si>
  <si>
    <t>72133-X7V10</t>
  </si>
  <si>
    <t>YDT033</t>
  </si>
  <si>
    <t>72133-X7V12</t>
  </si>
  <si>
    <t>BTS134</t>
  </si>
  <si>
    <t>72133-X7V17</t>
  </si>
  <si>
    <t>SHI213</t>
  </si>
  <si>
    <t>72133-X7V38</t>
  </si>
  <si>
    <t>SNA040</t>
  </si>
  <si>
    <t>72133-X7V43</t>
  </si>
  <si>
    <t>SNA053</t>
  </si>
  <si>
    <t>72134-X1403</t>
  </si>
  <si>
    <t>DP2-06</t>
  </si>
  <si>
    <t>72134-X1F02</t>
  </si>
  <si>
    <t>DP3-04</t>
  </si>
  <si>
    <t>72134-X1F03</t>
  </si>
  <si>
    <t>DP4-02</t>
  </si>
  <si>
    <t>72134-X7A00</t>
  </si>
  <si>
    <t>SOB260</t>
  </si>
  <si>
    <t>72134-X7A01</t>
  </si>
  <si>
    <t>SAN002</t>
  </si>
  <si>
    <t>72134-X7V20</t>
  </si>
  <si>
    <t>BTS135</t>
  </si>
  <si>
    <t>72134-X7V21</t>
  </si>
  <si>
    <t>YDT032</t>
  </si>
  <si>
    <t>72134-X7V22</t>
  </si>
  <si>
    <t>BTS133</t>
  </si>
  <si>
    <t>72134-X7V31</t>
  </si>
  <si>
    <t>SHI210</t>
  </si>
  <si>
    <t>72134-X7V51</t>
  </si>
  <si>
    <t>SOB372</t>
  </si>
  <si>
    <t>72134-X7V68</t>
  </si>
  <si>
    <t>SNA041</t>
  </si>
  <si>
    <t>72134-X7V81</t>
  </si>
  <si>
    <t>SNA052</t>
  </si>
  <si>
    <t>72137-26120</t>
  </si>
  <si>
    <t>SHI219</t>
  </si>
  <si>
    <t>72137-BZ080</t>
  </si>
  <si>
    <t>KEN133</t>
  </si>
  <si>
    <t>72140-X7A19-S</t>
  </si>
  <si>
    <t>OTI41S</t>
  </si>
  <si>
    <t>72141-X1401</t>
  </si>
  <si>
    <t>DP2-07</t>
  </si>
  <si>
    <t>72141-X1404</t>
  </si>
  <si>
    <t>CTP-15</t>
  </si>
  <si>
    <t>72141-X1406</t>
  </si>
  <si>
    <t>CTP-17</t>
  </si>
  <si>
    <t>72141-X1701</t>
  </si>
  <si>
    <t>SAN019</t>
  </si>
  <si>
    <t>72141-X1704</t>
  </si>
  <si>
    <t>OTP-03</t>
  </si>
  <si>
    <t>72141-X1F07</t>
  </si>
  <si>
    <t>SOB239</t>
  </si>
  <si>
    <t>72141-X1V08</t>
  </si>
  <si>
    <t>ETP-07</t>
  </si>
  <si>
    <t>72141-X1V08-T</t>
  </si>
  <si>
    <t>ETP07T</t>
  </si>
  <si>
    <t>72141-X7A00</t>
  </si>
  <si>
    <t>MIZ-02</t>
  </si>
  <si>
    <t>72141-X7A03</t>
  </si>
  <si>
    <t>SOB283</t>
  </si>
  <si>
    <t>72141-X7A05</t>
  </si>
  <si>
    <t>IPT-87</t>
  </si>
  <si>
    <t>72141-X7A06</t>
  </si>
  <si>
    <t>TTC680</t>
  </si>
  <si>
    <t>72141-X7V01</t>
  </si>
  <si>
    <t>IPT-03</t>
  </si>
  <si>
    <t>72141-X7V02</t>
  </si>
  <si>
    <t>YDT042</t>
  </si>
  <si>
    <t>72141-X7V06</t>
  </si>
  <si>
    <t>SDI001</t>
  </si>
  <si>
    <t>72141-X7V08</t>
  </si>
  <si>
    <t>SDI006</t>
  </si>
  <si>
    <t>72141-X7V13</t>
  </si>
  <si>
    <t>SOB378</t>
  </si>
  <si>
    <t>72142-X1400</t>
  </si>
  <si>
    <t>DP2-08</t>
  </si>
  <si>
    <t>72142-X1403</t>
  </si>
  <si>
    <t>CTP-14</t>
  </si>
  <si>
    <t>72142-X1405</t>
  </si>
  <si>
    <t>CTP-16</t>
  </si>
  <si>
    <t>72142-X1701</t>
  </si>
  <si>
    <t>SAN020</t>
  </si>
  <si>
    <t>72142-X1705</t>
  </si>
  <si>
    <t>OTP-04</t>
  </si>
  <si>
    <t>72142-X1F02</t>
  </si>
  <si>
    <t>SOB240</t>
  </si>
  <si>
    <t>72142-X1V08</t>
  </si>
  <si>
    <t>ETP-08</t>
  </si>
  <si>
    <t>72142-X7A01</t>
  </si>
  <si>
    <t>SOB284</t>
  </si>
  <si>
    <t>72142-X7V00</t>
  </si>
  <si>
    <t>SDI007</t>
  </si>
  <si>
    <t>72143-X1401</t>
  </si>
  <si>
    <t>DP2-09</t>
  </si>
  <si>
    <t>72143-X1403</t>
  </si>
  <si>
    <t>CTP-23</t>
  </si>
  <si>
    <t>72143-X1701</t>
  </si>
  <si>
    <t>SAN025</t>
  </si>
  <si>
    <t>72143-X1704</t>
  </si>
  <si>
    <t>SOB313</t>
  </si>
  <si>
    <t>72143-X1704-T</t>
  </si>
  <si>
    <t>SOB31T</t>
  </si>
  <si>
    <t>72143-X1F05</t>
  </si>
  <si>
    <t>DP3-05</t>
  </si>
  <si>
    <t>72143-X1V09</t>
  </si>
  <si>
    <t>ETP-09</t>
  </si>
  <si>
    <t>72143-X1V09-T</t>
  </si>
  <si>
    <t>ETP09T</t>
  </si>
  <si>
    <t>72143-X1V12</t>
  </si>
  <si>
    <t>EAT005</t>
  </si>
  <si>
    <t>72143-X7A00</t>
  </si>
  <si>
    <t>SOB258</t>
  </si>
  <si>
    <t>72143-X7A03</t>
  </si>
  <si>
    <t>SOB248</t>
  </si>
  <si>
    <t>72143-X7A05</t>
  </si>
  <si>
    <t>IPT-91</t>
  </si>
  <si>
    <t>72143-X7A06</t>
  </si>
  <si>
    <t>TTC684</t>
  </si>
  <si>
    <t>72143-X7V05</t>
  </si>
  <si>
    <t>SOB359</t>
  </si>
  <si>
    <t>72143-X7V10</t>
  </si>
  <si>
    <t>SOB369</t>
  </si>
  <si>
    <t>72143-X7V14</t>
  </si>
  <si>
    <t>SOB373</t>
  </si>
  <si>
    <t>72143-X7V15</t>
  </si>
  <si>
    <t>IPT-07</t>
  </si>
  <si>
    <t>72143-X7V19</t>
  </si>
  <si>
    <t>SOB376</t>
  </si>
  <si>
    <t>72143-X7V28</t>
  </si>
  <si>
    <t>SOB379</t>
  </si>
  <si>
    <t>72144-X1400</t>
  </si>
  <si>
    <t>DP2-10</t>
  </si>
  <si>
    <t>72144-X1701</t>
  </si>
  <si>
    <t>SAN026</t>
  </si>
  <si>
    <t>72144-X1704</t>
  </si>
  <si>
    <t>SOB314</t>
  </si>
  <si>
    <t>72144-X1704-T</t>
  </si>
  <si>
    <t>SOB14T</t>
  </si>
  <si>
    <t>72144-X1F01</t>
  </si>
  <si>
    <t>DP3-06</t>
  </si>
  <si>
    <t>72144-X1V07</t>
  </si>
  <si>
    <t>ETP-10</t>
  </si>
  <si>
    <t>72144-X1V07-T</t>
  </si>
  <si>
    <t>ETP10T</t>
  </si>
  <si>
    <t>72144-X7A01</t>
  </si>
  <si>
    <t>SOB249</t>
  </si>
  <si>
    <t>72145-X1401</t>
  </si>
  <si>
    <t>DP2-11</t>
  </si>
  <si>
    <t>72145-X1404</t>
  </si>
  <si>
    <t>CTP-19</t>
  </si>
  <si>
    <t>72145-X1406</t>
  </si>
  <si>
    <t>CTP-21</t>
  </si>
  <si>
    <t>72145-X1703</t>
  </si>
  <si>
    <t>SAN021</t>
  </si>
  <si>
    <t>72145-X1706</t>
  </si>
  <si>
    <t>OTP-01</t>
  </si>
  <si>
    <t>72145-X1F02</t>
  </si>
  <si>
    <t>SOB238</t>
  </si>
  <si>
    <t>72145-X1V04</t>
  </si>
  <si>
    <t>ETP-05</t>
  </si>
  <si>
    <t>72145-X7A00</t>
  </si>
  <si>
    <t>MIZ-03</t>
  </si>
  <si>
    <t>72145-X7A03</t>
  </si>
  <si>
    <t>SOB281</t>
  </si>
  <si>
    <t>72145-X7A05</t>
  </si>
  <si>
    <t>IPT-85</t>
  </si>
  <si>
    <t>72145-X7A06</t>
  </si>
  <si>
    <t>TTC679</t>
  </si>
  <si>
    <t>72145-X7V00</t>
  </si>
  <si>
    <t>IPT-04</t>
  </si>
  <si>
    <t>72145-X7V01</t>
  </si>
  <si>
    <t>YDT043</t>
  </si>
  <si>
    <t>72145-X7V04</t>
  </si>
  <si>
    <t>SDI003</t>
  </si>
  <si>
    <t>72145-X7V05</t>
  </si>
  <si>
    <t>SDI002</t>
  </si>
  <si>
    <t>72145-X7V06</t>
  </si>
  <si>
    <t>SDI008</t>
  </si>
  <si>
    <t>72145-X7V08</t>
  </si>
  <si>
    <t>SOB380</t>
  </si>
  <si>
    <t>72146-X1400</t>
  </si>
  <si>
    <t>DP2-12</t>
  </si>
  <si>
    <t>72146-X1403</t>
  </si>
  <si>
    <t>CTP-18</t>
  </si>
  <si>
    <t>72146-X1405</t>
  </si>
  <si>
    <t>CTP-20</t>
  </si>
  <si>
    <t>72146-X1702</t>
  </si>
  <si>
    <t>SAN022</t>
  </si>
  <si>
    <t>72146-X1704</t>
  </si>
  <si>
    <t>OTP-02</t>
  </si>
  <si>
    <t>72146-X1F02</t>
  </si>
  <si>
    <t>SOB241</t>
  </si>
  <si>
    <t>72146-X1V06</t>
  </si>
  <si>
    <t>ETP-06</t>
  </si>
  <si>
    <t>72146-X7A00</t>
  </si>
  <si>
    <t>MIZ-04</t>
  </si>
  <si>
    <t>72146-X7A02</t>
  </si>
  <si>
    <t>SOB282</t>
  </si>
  <si>
    <t>72146-X7A04</t>
  </si>
  <si>
    <t>IPT-86</t>
  </si>
  <si>
    <t>72146-X7A05</t>
  </si>
  <si>
    <t>TTC685</t>
  </si>
  <si>
    <t>72146-X7V00</t>
  </si>
  <si>
    <t>IPT-05</t>
  </si>
  <si>
    <t>72146-X7V03</t>
  </si>
  <si>
    <t>SOB381</t>
  </si>
  <si>
    <t>72147-X1401</t>
  </si>
  <si>
    <t>DP2-13</t>
  </si>
  <si>
    <t>72147-X1402</t>
  </si>
  <si>
    <t>CTP-25</t>
  </si>
  <si>
    <t>72147-X1705</t>
  </si>
  <si>
    <t>SOB244</t>
  </si>
  <si>
    <t>72147-X1708</t>
  </si>
  <si>
    <t>SOB315</t>
  </si>
  <si>
    <t>72147-X1708-T</t>
  </si>
  <si>
    <t>SOB15T</t>
  </si>
  <si>
    <t>72147-X1F03</t>
  </si>
  <si>
    <t>SOB275</t>
  </si>
  <si>
    <t>72147-X1V03</t>
  </si>
  <si>
    <t>SNA061</t>
  </si>
  <si>
    <t>ETP-03</t>
  </si>
  <si>
    <t>72147-X7A00</t>
  </si>
  <si>
    <t>SOB222</t>
  </si>
  <si>
    <t>72147-X7A03</t>
  </si>
  <si>
    <t>SOB246</t>
  </si>
  <si>
    <t>72147-X7A05</t>
  </si>
  <si>
    <t>IPT-90</t>
  </si>
  <si>
    <t>72147-X7A06</t>
  </si>
  <si>
    <t>TTC683</t>
  </si>
  <si>
    <t>72147-X7V03</t>
  </si>
  <si>
    <t>SOB358</t>
  </si>
  <si>
    <t>72147-X7V10</t>
  </si>
  <si>
    <t>IPT-06</t>
  </si>
  <si>
    <t>72147-X7V17</t>
  </si>
  <si>
    <t>SDI004</t>
  </si>
  <si>
    <t>72147-X7V18</t>
  </si>
  <si>
    <t>SDI005</t>
  </si>
  <si>
    <t>72147-X7V21</t>
  </si>
  <si>
    <t>SDI011</t>
  </si>
  <si>
    <t>72147-X7V24</t>
  </si>
  <si>
    <t>SOB382</t>
  </si>
  <si>
    <t>72148-X1401</t>
  </si>
  <si>
    <t>DP2-14</t>
  </si>
  <si>
    <t>72148-X1403</t>
  </si>
  <si>
    <t>CTP-22</t>
  </si>
  <si>
    <t>72148-X1704</t>
  </si>
  <si>
    <t>SOB245</t>
  </si>
  <si>
    <t>72148-X1707</t>
  </si>
  <si>
    <t>SOB316</t>
  </si>
  <si>
    <t>72148-X1707-T</t>
  </si>
  <si>
    <t>SOB16T</t>
  </si>
  <si>
    <t>72148-X7A00</t>
  </si>
  <si>
    <t>SOB247</t>
  </si>
  <si>
    <t>72148-X7V04</t>
  </si>
  <si>
    <t>SOB357</t>
  </si>
  <si>
    <t>72149-X1401</t>
  </si>
  <si>
    <t>MIT121</t>
  </si>
  <si>
    <t>72149-X1403</t>
  </si>
  <si>
    <t>MIT165</t>
  </si>
  <si>
    <t>72149-X1702</t>
  </si>
  <si>
    <t>MIT144</t>
  </si>
  <si>
    <t>72149-X1707</t>
  </si>
  <si>
    <t>MIT179</t>
  </si>
  <si>
    <t>72149-X1F08</t>
  </si>
  <si>
    <t>MIT143</t>
  </si>
  <si>
    <t>72149-X1V09</t>
  </si>
  <si>
    <t>MIT170</t>
  </si>
  <si>
    <t>72149-X1V10</t>
  </si>
  <si>
    <t>MIT171</t>
  </si>
  <si>
    <t>72149-X7A00</t>
  </si>
  <si>
    <t>TTC532</t>
  </si>
  <si>
    <t>72149-X7V06</t>
  </si>
  <si>
    <t>MIT212</t>
  </si>
  <si>
    <t>72155-X1400</t>
  </si>
  <si>
    <t>DP2-15</t>
  </si>
  <si>
    <t>72155-X1B01</t>
  </si>
  <si>
    <t>SOB290</t>
  </si>
  <si>
    <t>72155-X1V05</t>
  </si>
  <si>
    <t>SOB299</t>
  </si>
  <si>
    <t>72155-X1V05-THD</t>
  </si>
  <si>
    <t>THD299</t>
  </si>
  <si>
    <t>72155-X7A00</t>
  </si>
  <si>
    <t>SAS138</t>
  </si>
  <si>
    <t>72155-X7A02</t>
  </si>
  <si>
    <t>TTC552</t>
  </si>
  <si>
    <t>72155-X7A02-00</t>
  </si>
  <si>
    <t>ETT003</t>
  </si>
  <si>
    <t>EMHART</t>
  </si>
  <si>
    <t>72155-X7V03</t>
  </si>
  <si>
    <t>TPT-12</t>
  </si>
  <si>
    <t>72156-X1400</t>
  </si>
  <si>
    <t>DP2-16</t>
  </si>
  <si>
    <t>72156-X1B00</t>
  </si>
  <si>
    <t>SOB291</t>
  </si>
  <si>
    <t>72156-X1V04</t>
  </si>
  <si>
    <t>SOB300</t>
  </si>
  <si>
    <t>72156-X1V04-THD</t>
  </si>
  <si>
    <t>THD300</t>
  </si>
  <si>
    <t>72156-X7A00</t>
  </si>
  <si>
    <t>SAS139</t>
  </si>
  <si>
    <t>72157-BZ140</t>
  </si>
  <si>
    <t>KEN134</t>
  </si>
  <si>
    <t>72161-X7A03-10T</t>
  </si>
  <si>
    <t>CP1-10</t>
  </si>
  <si>
    <t>72161-X7A03-50T</t>
  </si>
  <si>
    <t>CP1-50</t>
  </si>
  <si>
    <t>72161-X7A03</t>
  </si>
  <si>
    <t>CP2-01</t>
  </si>
  <si>
    <t>72161-X7A03-T</t>
  </si>
  <si>
    <t>CP201T</t>
  </si>
  <si>
    <t>72161-X7A04-10T</t>
  </si>
  <si>
    <t>CP2-10</t>
  </si>
  <si>
    <t>72161-X7A04-50T</t>
  </si>
  <si>
    <t>CP2-50</t>
  </si>
  <si>
    <t>72161-X7A04</t>
  </si>
  <si>
    <t>CP2-02</t>
  </si>
  <si>
    <t>72161-X7A04-T</t>
  </si>
  <si>
    <t>CP202T</t>
  </si>
  <si>
    <t>72165-X7A02-10T</t>
  </si>
  <si>
    <t>CP4-10</t>
  </si>
  <si>
    <t>72165-X7A02-50T</t>
  </si>
  <si>
    <t>CP4-50</t>
  </si>
  <si>
    <t>72165-X7A02</t>
  </si>
  <si>
    <t>CP2-04</t>
  </si>
  <si>
    <t>72169-X7A02</t>
  </si>
  <si>
    <t>TFC016</t>
  </si>
  <si>
    <t>72181-X7A00</t>
  </si>
  <si>
    <t>BTS023</t>
  </si>
  <si>
    <t>72181-X7A01</t>
  </si>
  <si>
    <t>BTS090</t>
  </si>
  <si>
    <t>72182-X7A01</t>
  </si>
  <si>
    <t>BTS024</t>
  </si>
  <si>
    <t>72182-X7A02</t>
  </si>
  <si>
    <t>BTS091</t>
  </si>
  <si>
    <t>72187-X7A04</t>
  </si>
  <si>
    <t>YDT009</t>
  </si>
  <si>
    <t>72188-X7A01</t>
  </si>
  <si>
    <t>YDT010</t>
  </si>
  <si>
    <t>72202-X7A00</t>
  </si>
  <si>
    <t>SNA056</t>
  </si>
  <si>
    <t>72202-X7A01</t>
  </si>
  <si>
    <t>SNA057</t>
  </si>
  <si>
    <t>72203-X1400</t>
  </si>
  <si>
    <t>TTC606</t>
  </si>
  <si>
    <t>72203-X1B01</t>
  </si>
  <si>
    <t>SHI187</t>
  </si>
  <si>
    <t>72203-X7A00</t>
  </si>
  <si>
    <t>SHI182</t>
  </si>
  <si>
    <t>72204-X1400</t>
  </si>
  <si>
    <t>TTC607</t>
  </si>
  <si>
    <t>72204-X1B00</t>
  </si>
  <si>
    <t>SHI188</t>
  </si>
  <si>
    <t>72204-X7A00</t>
  </si>
  <si>
    <t>SHI183</t>
  </si>
  <si>
    <t>72205-X7A05</t>
  </si>
  <si>
    <t>SNA054</t>
  </si>
  <si>
    <t>72205-X7A06</t>
  </si>
  <si>
    <t>SNA055</t>
  </si>
  <si>
    <t>72205-X7V32-S</t>
  </si>
  <si>
    <t>TTM-NR</t>
  </si>
  <si>
    <t>72205-X7V33-S</t>
  </si>
  <si>
    <t>TTM-MR</t>
  </si>
  <si>
    <t>72205-X7V50</t>
  </si>
  <si>
    <t>TTC763</t>
  </si>
  <si>
    <t>72205-X7V51</t>
  </si>
  <si>
    <t>TTC764</t>
  </si>
  <si>
    <t>72205-X7V76</t>
  </si>
  <si>
    <t>TTC770</t>
  </si>
  <si>
    <t>72206-X7V28-S</t>
  </si>
  <si>
    <t>TTM-NL</t>
  </si>
  <si>
    <t>72206-X7V29-S</t>
  </si>
  <si>
    <t>TTM-ML</t>
  </si>
  <si>
    <t>7220A-X7V01</t>
  </si>
  <si>
    <t>TTC788</t>
  </si>
  <si>
    <t>7220A-X7V02</t>
  </si>
  <si>
    <t>TTC787</t>
  </si>
  <si>
    <t>72211-06020-T</t>
  </si>
  <si>
    <t>GC004T</t>
  </si>
  <si>
    <t>72211-06110-T</t>
  </si>
  <si>
    <t>CHTS1T</t>
  </si>
  <si>
    <t>72211-06150-ED</t>
  </si>
  <si>
    <t>THT-33</t>
  </si>
  <si>
    <t>N.A. INTER</t>
  </si>
  <si>
    <t>72211-06150-T</t>
  </si>
  <si>
    <t>THT33T</t>
  </si>
  <si>
    <t>72211-0D040-00</t>
  </si>
  <si>
    <t>HKE002</t>
  </si>
  <si>
    <t>72211-0D060-00</t>
  </si>
  <si>
    <t>HKE001</t>
  </si>
  <si>
    <t>72211-0D160-ED</t>
  </si>
  <si>
    <t>EHT-13</t>
  </si>
  <si>
    <t>72211-0D160-T</t>
  </si>
  <si>
    <t>EHT13T</t>
  </si>
  <si>
    <t>72211-0D320-ED</t>
  </si>
  <si>
    <t>THT-34</t>
  </si>
  <si>
    <t>72211-0D320-T</t>
  </si>
  <si>
    <t>THT34T</t>
  </si>
  <si>
    <t>72211-0K010-T</t>
  </si>
  <si>
    <t>GA001T</t>
  </si>
  <si>
    <t>72211-0K040-T</t>
  </si>
  <si>
    <t>GB001T</t>
  </si>
  <si>
    <t>72211-0K050-ED</t>
  </si>
  <si>
    <t>GB0-02</t>
  </si>
  <si>
    <t>72211-0K050-T</t>
  </si>
  <si>
    <t>GB002T</t>
  </si>
  <si>
    <t>72211-0K200-ED</t>
  </si>
  <si>
    <t>IHT-35</t>
  </si>
  <si>
    <t>72211-BZ180-ED</t>
  </si>
  <si>
    <t>DHT-72</t>
  </si>
  <si>
    <t>72213-X7A00</t>
  </si>
  <si>
    <t>KEN141</t>
  </si>
  <si>
    <t>72219-X7V26</t>
  </si>
  <si>
    <t>CAR006</t>
  </si>
  <si>
    <t>72226-X1405</t>
  </si>
  <si>
    <t>TTC672</t>
  </si>
  <si>
    <t>72226-X1B04</t>
  </si>
  <si>
    <t>TTC760</t>
  </si>
  <si>
    <t>72226-X7A01</t>
  </si>
  <si>
    <t>TTC785</t>
  </si>
  <si>
    <t>72227-X1C02</t>
  </si>
  <si>
    <t>SOB293</t>
  </si>
  <si>
    <t>72227-X1V07</t>
  </si>
  <si>
    <t>SOB302</t>
  </si>
  <si>
    <t>72232-X7A00</t>
  </si>
  <si>
    <t>HYS013</t>
  </si>
  <si>
    <t>72232-X7A01</t>
  </si>
  <si>
    <t>HYS014</t>
  </si>
  <si>
    <t>72235-X7A00</t>
  </si>
  <si>
    <t>TST270</t>
  </si>
  <si>
    <t>72235-X7A01</t>
  </si>
  <si>
    <t>TST276</t>
  </si>
  <si>
    <t>72235-X7A01-00</t>
  </si>
  <si>
    <t>HYS041</t>
  </si>
  <si>
    <t>72236-X7A00</t>
  </si>
  <si>
    <t>TST271</t>
  </si>
  <si>
    <t>72236-X7A01</t>
  </si>
  <si>
    <t>TST277</t>
  </si>
  <si>
    <t>72236-X7A01-00</t>
  </si>
  <si>
    <t>HYS042</t>
  </si>
  <si>
    <t>72241-X7A03</t>
  </si>
  <si>
    <t>SOB377</t>
  </si>
  <si>
    <t>72261-X1404-S</t>
  </si>
  <si>
    <t>TS0-05</t>
  </si>
  <si>
    <t>72261-X1405</t>
  </si>
  <si>
    <t>SOB231</t>
  </si>
  <si>
    <t>72261-X1409</t>
  </si>
  <si>
    <t>SOB234</t>
  </si>
  <si>
    <t>72261-X1F04-S</t>
  </si>
  <si>
    <t>TS1-03</t>
  </si>
  <si>
    <t>72261-X1F05</t>
  </si>
  <si>
    <t>SOB274</t>
  </si>
  <si>
    <t>72261-X1F07</t>
  </si>
  <si>
    <t>SOB285</t>
  </si>
  <si>
    <t>72261-X1F13</t>
  </si>
  <si>
    <t>SOB280</t>
  </si>
  <si>
    <t>72261-X1V05</t>
  </si>
  <si>
    <t>SOB301</t>
  </si>
  <si>
    <t>72265-06060</t>
  </si>
  <si>
    <t>KEN123</t>
  </si>
  <si>
    <t>72265-0K020</t>
  </si>
  <si>
    <t>KEN114</t>
  </si>
  <si>
    <t>72265-BZ060</t>
  </si>
  <si>
    <t>KEN135</t>
  </si>
  <si>
    <t>72265-X1400</t>
  </si>
  <si>
    <t>EAT001</t>
  </si>
  <si>
    <t>72265-X1403</t>
  </si>
  <si>
    <t>KEN116</t>
  </si>
  <si>
    <t>72265-X1404</t>
  </si>
  <si>
    <t>KEN117</t>
  </si>
  <si>
    <t>72265-X1405</t>
  </si>
  <si>
    <t>KEN118</t>
  </si>
  <si>
    <t>72265-X1V16</t>
  </si>
  <si>
    <t>EAT004</t>
  </si>
  <si>
    <t>72265-X7A01</t>
  </si>
  <si>
    <t>KEN092</t>
  </si>
  <si>
    <t>72265-X7A02</t>
  </si>
  <si>
    <t>KEN093</t>
  </si>
  <si>
    <t>72265-X7A06</t>
  </si>
  <si>
    <t>EAT002</t>
  </si>
  <si>
    <t>72265-X7A07</t>
  </si>
  <si>
    <t>KEN115</t>
  </si>
  <si>
    <t>72265-X7A08</t>
  </si>
  <si>
    <t>KEN106</t>
  </si>
  <si>
    <t>72271-0K020</t>
  </si>
  <si>
    <t>BTS025</t>
  </si>
  <si>
    <t>72272-0K020</t>
  </si>
  <si>
    <t>TTC566</t>
  </si>
  <si>
    <t>72272-0K030</t>
  </si>
  <si>
    <t>TTC567</t>
  </si>
  <si>
    <t>72272-0K040</t>
  </si>
  <si>
    <t>BTS026</t>
  </si>
  <si>
    <t>72272-0K050</t>
  </si>
  <si>
    <t>TTC593</t>
  </si>
  <si>
    <t>72275-X1F00</t>
  </si>
  <si>
    <t>SOB276</t>
  </si>
  <si>
    <t>72275-X1F00-T</t>
  </si>
  <si>
    <t>SOB76T</t>
  </si>
  <si>
    <t>72275-X1F04-T</t>
  </si>
  <si>
    <t>SOB77T</t>
  </si>
  <si>
    <t>72277-X1404</t>
  </si>
  <si>
    <t>TTC634</t>
  </si>
  <si>
    <t>72277-X1408-S</t>
  </si>
  <si>
    <t>CTA-S1</t>
  </si>
  <si>
    <t>72277-X1409</t>
  </si>
  <si>
    <t>TTC673</t>
  </si>
  <si>
    <t>72277-X1F01</t>
  </si>
  <si>
    <t>TTC658</t>
  </si>
  <si>
    <t>72283-X1400</t>
  </si>
  <si>
    <t>MIT129</t>
  </si>
  <si>
    <t>72283-X7A00</t>
  </si>
  <si>
    <t>TTC533</t>
  </si>
  <si>
    <t>72283-X7A01</t>
  </si>
  <si>
    <t>TTC534</t>
  </si>
  <si>
    <t>72284-X7V12-TG</t>
  </si>
  <si>
    <t>TG120</t>
  </si>
  <si>
    <t>72284-X7V13-TG</t>
  </si>
  <si>
    <t>TG121</t>
  </si>
  <si>
    <t>72284-X7V14-TG</t>
  </si>
  <si>
    <t>TG122</t>
  </si>
  <si>
    <t>72284-X7V36</t>
  </si>
  <si>
    <t>KEN138</t>
  </si>
  <si>
    <t>72284-X7V36-TG</t>
  </si>
  <si>
    <t>TG138</t>
  </si>
  <si>
    <t>72284-X7V45</t>
  </si>
  <si>
    <t>KEN140</t>
  </si>
  <si>
    <t>72285-X7V10</t>
  </si>
  <si>
    <t>KEN131</t>
  </si>
  <si>
    <t>72285-X7V10-TG</t>
  </si>
  <si>
    <t>TG131</t>
  </si>
  <si>
    <t>72285-X7V13</t>
  </si>
  <si>
    <t>KEN139</t>
  </si>
  <si>
    <t>72285-X7V13-TG</t>
  </si>
  <si>
    <t>TG139</t>
  </si>
  <si>
    <t>72287-X7A00</t>
  </si>
  <si>
    <t>BTS046</t>
  </si>
  <si>
    <t>72288-X7A00</t>
  </si>
  <si>
    <t>BTS047</t>
  </si>
  <si>
    <t>72291-X7A00</t>
  </si>
  <si>
    <t>BTS016</t>
  </si>
  <si>
    <t>72291-X7A01</t>
  </si>
  <si>
    <t>SOB202</t>
  </si>
  <si>
    <t>72291-X7A02</t>
  </si>
  <si>
    <t>BTS017</t>
  </si>
  <si>
    <t>72292-X7A00</t>
  </si>
  <si>
    <t>SOB203</t>
  </si>
  <si>
    <t>72292-X7A01</t>
  </si>
  <si>
    <t>BTS018</t>
  </si>
  <si>
    <t>72292-X7A02</t>
  </si>
  <si>
    <t>BTS019</t>
  </si>
  <si>
    <t>72296-X7A00</t>
  </si>
  <si>
    <t>BTS020</t>
  </si>
  <si>
    <t>72296-X7A01</t>
  </si>
  <si>
    <t>BTS021</t>
  </si>
  <si>
    <t>72297-X7A00</t>
  </si>
  <si>
    <t>TTC535</t>
  </si>
  <si>
    <t>72297-X7A01</t>
  </si>
  <si>
    <t>TTC536</t>
  </si>
  <si>
    <t>72306-X7V12-S</t>
  </si>
  <si>
    <t>TA-S12</t>
  </si>
  <si>
    <t>72306-X7V13-S</t>
  </si>
  <si>
    <t>TA-S8</t>
  </si>
  <si>
    <t>72306-X7V14-S</t>
  </si>
  <si>
    <t>TA-S6</t>
  </si>
  <si>
    <t>72306-X7V33-S</t>
  </si>
  <si>
    <t>HA-S11</t>
  </si>
  <si>
    <t>72307-X7V11-S</t>
  </si>
  <si>
    <t>TA-S11</t>
  </si>
  <si>
    <t>72307-X7V12-S</t>
  </si>
  <si>
    <t>TA-S7</t>
  </si>
  <si>
    <t>72307-X7V13-S</t>
  </si>
  <si>
    <t>TA-S5</t>
  </si>
  <si>
    <t>72307-X7V28-S</t>
  </si>
  <si>
    <t>HA-S10</t>
  </si>
  <si>
    <t>72308-X7V15-S</t>
  </si>
  <si>
    <t>TA-S3</t>
  </si>
  <si>
    <t>72308-X7V16-S</t>
  </si>
  <si>
    <t>TA-S10</t>
  </si>
  <si>
    <t>72308-X7V17</t>
  </si>
  <si>
    <t>TA-S25</t>
  </si>
  <si>
    <t>72308-X7V17-S</t>
  </si>
  <si>
    <t>TA-S1</t>
  </si>
  <si>
    <t>72308-X7V31-S</t>
  </si>
  <si>
    <t>HA-S8</t>
  </si>
  <si>
    <t>72309-X7V20-S</t>
  </si>
  <si>
    <t>TA-S4</t>
  </si>
  <si>
    <t>72309-X7V21-S</t>
  </si>
  <si>
    <t>TA-S9</t>
  </si>
  <si>
    <t>72309-X7V22</t>
  </si>
  <si>
    <t>TA-S26</t>
  </si>
  <si>
    <t>72309-X7V22-S</t>
  </si>
  <si>
    <t>TA-S2</t>
  </si>
  <si>
    <t>72309-X7V45-S</t>
  </si>
  <si>
    <t>HA-S9</t>
  </si>
  <si>
    <t>72319-X7M00</t>
  </si>
  <si>
    <t>AOY012</t>
  </si>
  <si>
    <t>72342-X1E07</t>
  </si>
  <si>
    <t>SMP009</t>
  </si>
  <si>
    <t>72345-X7V02</t>
  </si>
  <si>
    <t>DUM23</t>
  </si>
  <si>
    <t>72356-X1400</t>
  </si>
  <si>
    <t>SOB235</t>
  </si>
  <si>
    <t>72356-X1401</t>
  </si>
  <si>
    <t>TTC674</t>
  </si>
  <si>
    <t>72395-X1E09</t>
  </si>
  <si>
    <t>BTS147</t>
  </si>
  <si>
    <t>72395-X1E10</t>
  </si>
  <si>
    <t>SOB361</t>
  </si>
  <si>
    <t>72396-X1E05</t>
  </si>
  <si>
    <t>BTS148</t>
  </si>
  <si>
    <t>72396-X1E06</t>
  </si>
  <si>
    <t>SOB362</t>
  </si>
  <si>
    <t>72401-X1403</t>
  </si>
  <si>
    <t>TTC608</t>
  </si>
  <si>
    <t>72401-X1404</t>
  </si>
  <si>
    <t>SHI184</t>
  </si>
  <si>
    <t>72401-X1F02</t>
  </si>
  <si>
    <t>SHI185</t>
  </si>
  <si>
    <t>72401-X7A02</t>
  </si>
  <si>
    <t>SAC003</t>
  </si>
  <si>
    <t>SANAC</t>
  </si>
  <si>
    <t>72401-X7A03</t>
  </si>
  <si>
    <t>SAC004</t>
  </si>
  <si>
    <t>72401-X7A04</t>
  </si>
  <si>
    <t>SAC005</t>
  </si>
  <si>
    <t>72401-X7A05</t>
  </si>
  <si>
    <t>TTC545</t>
  </si>
  <si>
    <t>72401-X7A06</t>
  </si>
  <si>
    <t>TTC546</t>
  </si>
  <si>
    <t>72401-X7A07</t>
  </si>
  <si>
    <t>TTC547</t>
  </si>
  <si>
    <t>72401-X7A08</t>
  </si>
  <si>
    <t>TTC548</t>
  </si>
  <si>
    <t>72401-X7A09</t>
  </si>
  <si>
    <t>TTC549</t>
  </si>
  <si>
    <t>72401-X7A10</t>
  </si>
  <si>
    <t>TTC550</t>
  </si>
  <si>
    <t>72401-X7A13</t>
  </si>
  <si>
    <t>SHI180</t>
  </si>
  <si>
    <t>72401-X7A14</t>
  </si>
  <si>
    <t>SHI181</t>
  </si>
  <si>
    <t>72401-X7A16</t>
  </si>
  <si>
    <t>SAC002</t>
  </si>
  <si>
    <t>72401-X7A17</t>
  </si>
  <si>
    <t>SHI222</t>
  </si>
  <si>
    <t>72401-X7A18</t>
  </si>
  <si>
    <t>SHI224</t>
  </si>
  <si>
    <t>72401-X7V02</t>
  </si>
  <si>
    <t>SHI193</t>
  </si>
  <si>
    <t>72401-X7V22</t>
  </si>
  <si>
    <t>TTC698</t>
  </si>
  <si>
    <t>72401-X7V23</t>
  </si>
  <si>
    <t>TTC729</t>
  </si>
  <si>
    <t>72401-X7V24</t>
  </si>
  <si>
    <t>TTC702</t>
  </si>
  <si>
    <t>72401-X7V25</t>
  </si>
  <si>
    <t>TTC741</t>
  </si>
  <si>
    <t>72401-X7V26</t>
  </si>
  <si>
    <t>TTC781</t>
  </si>
  <si>
    <t>72401-X7V47</t>
  </si>
  <si>
    <t>SHI195</t>
  </si>
  <si>
    <t>72401-X7V58</t>
  </si>
  <si>
    <t>SHI220</t>
  </si>
  <si>
    <t>72402-X1F00</t>
  </si>
  <si>
    <t>SHI186</t>
  </si>
  <si>
    <t>72402-X7A00</t>
  </si>
  <si>
    <t>SHI223</t>
  </si>
  <si>
    <t>72402-X7A01</t>
  </si>
  <si>
    <t>SHI225</t>
  </si>
  <si>
    <t>72402-X7V02</t>
  </si>
  <si>
    <t>SHI194</t>
  </si>
  <si>
    <t>72402-X7V30</t>
  </si>
  <si>
    <t>TTC699</t>
  </si>
  <si>
    <t>72402-X7V31</t>
  </si>
  <si>
    <t>TTC730</t>
  </si>
  <si>
    <t>72402-X7V32</t>
  </si>
  <si>
    <t>TTC703</t>
  </si>
  <si>
    <t>72402-X7V33</t>
  </si>
  <si>
    <t>TTC742</t>
  </si>
  <si>
    <t>72402-X7V56</t>
  </si>
  <si>
    <t>SHI196</t>
  </si>
  <si>
    <t>72402-X7V67</t>
  </si>
  <si>
    <t>SHI221</t>
  </si>
  <si>
    <t>72403-X1400-S</t>
  </si>
  <si>
    <t>TS0-03</t>
  </si>
  <si>
    <t>72403-X1401-S</t>
  </si>
  <si>
    <t>TS0-04</t>
  </si>
  <si>
    <t>72403-X1402-S</t>
  </si>
  <si>
    <t>TS0-06</t>
  </si>
  <si>
    <t>72403-X1403-S</t>
  </si>
  <si>
    <t>TS0-07</t>
  </si>
  <si>
    <t>72403-X1F00-S</t>
  </si>
  <si>
    <t>ST5-19</t>
  </si>
  <si>
    <t>72403-X1F01-S</t>
  </si>
  <si>
    <t>ST5-20</t>
  </si>
  <si>
    <t>72404-X1400</t>
  </si>
  <si>
    <t>MIT135</t>
  </si>
  <si>
    <t>72404-X1408</t>
  </si>
  <si>
    <t>MIT145</t>
  </si>
  <si>
    <t>72404-X1409</t>
  </si>
  <si>
    <t>MIT146</t>
  </si>
  <si>
    <t>72404-X7A00-S</t>
  </si>
  <si>
    <t>CF9-10</t>
  </si>
  <si>
    <t>72404-X7A01-S</t>
  </si>
  <si>
    <t>CF9-11</t>
  </si>
  <si>
    <t>72405-X7V05</t>
  </si>
  <si>
    <t>TTC700</t>
  </si>
  <si>
    <t>72405-X7V06</t>
  </si>
  <si>
    <t>TTC731</t>
  </si>
  <si>
    <t>72406-X7V07</t>
  </si>
  <si>
    <t>TTC701</t>
  </si>
  <si>
    <t>72406-X7V08</t>
  </si>
  <si>
    <t>TTC732</t>
  </si>
  <si>
    <t>72409-X7A00</t>
  </si>
  <si>
    <t>MIT111</t>
  </si>
  <si>
    <t>72409-X7A01</t>
  </si>
  <si>
    <t>MIT112</t>
  </si>
  <si>
    <t>72411-X1401</t>
  </si>
  <si>
    <t>TTC635</t>
  </si>
  <si>
    <t>72411-X1B00</t>
  </si>
  <si>
    <t>KEN102</t>
  </si>
  <si>
    <t>72411-X1B00-TG</t>
  </si>
  <si>
    <t>TG102</t>
  </si>
  <si>
    <t>72411-X1B01</t>
  </si>
  <si>
    <t>KEN103</t>
  </si>
  <si>
    <t>72411-X1B01-TG</t>
  </si>
  <si>
    <t>TG103</t>
  </si>
  <si>
    <t>72411-X1F00</t>
  </si>
  <si>
    <t>TTC648</t>
  </si>
  <si>
    <t>72411-X7A05</t>
  </si>
  <si>
    <t>SNA058</t>
  </si>
  <si>
    <t>72419-X1402</t>
  </si>
  <si>
    <t>TTC633</t>
  </si>
  <si>
    <t>72425-X1403</t>
  </si>
  <si>
    <t>BTS157</t>
  </si>
  <si>
    <t>72425-X1404</t>
  </si>
  <si>
    <t>BTS073</t>
  </si>
  <si>
    <t>72425-X1405</t>
  </si>
  <si>
    <t>BTS159</t>
  </si>
  <si>
    <t>72425-X1B02</t>
  </si>
  <si>
    <t>BTS075</t>
  </si>
  <si>
    <t>72425-X7V00</t>
  </si>
  <si>
    <t>TTC691</t>
  </si>
  <si>
    <t>72425-X7V08</t>
  </si>
  <si>
    <t>TTC773</t>
  </si>
  <si>
    <t>72425-X7V08-D</t>
  </si>
  <si>
    <t>OKA001</t>
  </si>
  <si>
    <t>OKAMOTA</t>
  </si>
  <si>
    <t>72426-X1404</t>
  </si>
  <si>
    <t>BTS158</t>
  </si>
  <si>
    <t>72426-X1405</t>
  </si>
  <si>
    <t>BTS072</t>
  </si>
  <si>
    <t>72426-X1406</t>
  </si>
  <si>
    <t>BTS160</t>
  </si>
  <si>
    <t>72426-X1B02</t>
  </si>
  <si>
    <t>BTS074</t>
  </si>
  <si>
    <t>72429-X1401</t>
  </si>
  <si>
    <t>BTS143</t>
  </si>
  <si>
    <t>72429-X1F02</t>
  </si>
  <si>
    <t>BTS066</t>
  </si>
  <si>
    <t>72429-X7A00</t>
  </si>
  <si>
    <t>SOB200</t>
  </si>
  <si>
    <t>72429-X7A01</t>
  </si>
  <si>
    <t>SOB201</t>
  </si>
  <si>
    <t>72429-X7V14</t>
  </si>
  <si>
    <t>BTS139</t>
  </si>
  <si>
    <t>72429-X7V18</t>
  </si>
  <si>
    <t>MIY042</t>
  </si>
  <si>
    <t>72439-X1402</t>
  </si>
  <si>
    <t>BTS144</t>
  </si>
  <si>
    <t>72439-X1C00</t>
  </si>
  <si>
    <t>BTS065</t>
  </si>
  <si>
    <t>72439-X1F00</t>
  </si>
  <si>
    <t>BTS064</t>
  </si>
  <si>
    <t>72439-X7V17</t>
  </si>
  <si>
    <t>BTS137</t>
  </si>
  <si>
    <t>72439-X7V18</t>
  </si>
  <si>
    <t>BTS138</t>
  </si>
  <si>
    <t>72439-X7V23</t>
  </si>
  <si>
    <t>MIY043</t>
  </si>
  <si>
    <t>72440-X1401</t>
  </si>
  <si>
    <t>MIT134</t>
  </si>
  <si>
    <t>72441-X1B01</t>
  </si>
  <si>
    <t>SOB252</t>
  </si>
  <si>
    <t>72441-X1C01</t>
  </si>
  <si>
    <t>SOB253</t>
  </si>
  <si>
    <t>72441-X1C02</t>
  </si>
  <si>
    <t>SOB254</t>
  </si>
  <si>
    <t>72441-X7A00</t>
  </si>
  <si>
    <t>BTS015</t>
  </si>
  <si>
    <t>72441-X7A01</t>
  </si>
  <si>
    <t>SAS134</t>
  </si>
  <si>
    <t>72441-X7V13</t>
  </si>
  <si>
    <t>MIY035</t>
  </si>
  <si>
    <t>72441-X7V14</t>
  </si>
  <si>
    <t>SNA021</t>
  </si>
  <si>
    <t>72441-X7V16</t>
  </si>
  <si>
    <t>SHI206</t>
  </si>
  <si>
    <t>72441-X7V18</t>
  </si>
  <si>
    <t>MIY036</t>
  </si>
  <si>
    <t>72441-X7V26</t>
  </si>
  <si>
    <t>BTS154</t>
  </si>
  <si>
    <t>72441-X7V50</t>
  </si>
  <si>
    <t>BTS163</t>
  </si>
  <si>
    <t>72442-X7A00</t>
  </si>
  <si>
    <t>SAS135</t>
  </si>
  <si>
    <t>72442-X7A01</t>
  </si>
  <si>
    <t>SAS140</t>
  </si>
  <si>
    <t>72442-X7V13</t>
  </si>
  <si>
    <t>SOB346</t>
  </si>
  <si>
    <t>72442-X7V14</t>
  </si>
  <si>
    <t>SOB351</t>
  </si>
  <si>
    <t>72442-X7V15</t>
  </si>
  <si>
    <t>SOB349</t>
  </si>
  <si>
    <t>72442-X7V18</t>
  </si>
  <si>
    <t>SHI208</t>
  </si>
  <si>
    <t>72442-X7V26</t>
  </si>
  <si>
    <t>SHI199</t>
  </si>
  <si>
    <t>72442-X7V27</t>
  </si>
  <si>
    <t>SHI200</t>
  </si>
  <si>
    <t>72442-X7V28</t>
  </si>
  <si>
    <t>TTC779</t>
  </si>
  <si>
    <t>72443-X1C00</t>
  </si>
  <si>
    <t>MIY020</t>
  </si>
  <si>
    <t>72443-X1F02</t>
  </si>
  <si>
    <t>MIY019</t>
  </si>
  <si>
    <t>72443-X1M01</t>
  </si>
  <si>
    <t>MIY021</t>
  </si>
  <si>
    <t>72443-X7A03</t>
  </si>
  <si>
    <t>MIY017</t>
  </si>
  <si>
    <t>72443-X7A04</t>
  </si>
  <si>
    <t>MIY018</t>
  </si>
  <si>
    <t>72443-X7V18</t>
  </si>
  <si>
    <t>MIY037</t>
  </si>
  <si>
    <t>72443-X7V30</t>
  </si>
  <si>
    <t>MIY038</t>
  </si>
  <si>
    <t>72443-X7V31</t>
  </si>
  <si>
    <t>MIY039</t>
  </si>
  <si>
    <t>72443-X7V32</t>
  </si>
  <si>
    <t>SOB350</t>
  </si>
  <si>
    <t>72443-X7V33</t>
  </si>
  <si>
    <t>MIY040</t>
  </si>
  <si>
    <t>72443-X7V35-S</t>
  </si>
  <si>
    <t>TA-S19</t>
  </si>
  <si>
    <t>72443-X7V36</t>
  </si>
  <si>
    <t>MIY041</t>
  </si>
  <si>
    <t>72443-X7V37</t>
  </si>
  <si>
    <t>SOB348</t>
  </si>
  <si>
    <t>72443-X7V38-S</t>
  </si>
  <si>
    <t>TA-S20</t>
  </si>
  <si>
    <t>72443-X7V43</t>
  </si>
  <si>
    <t>TTC780</t>
  </si>
  <si>
    <t>72443-X7V44</t>
  </si>
  <si>
    <t>SHI207</t>
  </si>
  <si>
    <t>72443-X7V69-S</t>
  </si>
  <si>
    <t>HA-S6</t>
  </si>
  <si>
    <t>72443-X7V75</t>
  </si>
  <si>
    <t>BTS155</t>
  </si>
  <si>
    <t>72443-X7V76</t>
  </si>
  <si>
    <t>MIY051</t>
  </si>
  <si>
    <t>72443-X7V80</t>
  </si>
  <si>
    <t>MIY052</t>
  </si>
  <si>
    <t>72443-X7V96</t>
  </si>
  <si>
    <t>MIY056</t>
  </si>
  <si>
    <t>72443-X7V97</t>
  </si>
  <si>
    <t>MIY057</t>
  </si>
  <si>
    <t>72444-X1C00</t>
  </si>
  <si>
    <t>MIY022</t>
  </si>
  <si>
    <t>72445-X7V02</t>
  </si>
  <si>
    <t>MIY054</t>
  </si>
  <si>
    <t>72445-X7V03</t>
  </si>
  <si>
    <t>BTS162</t>
  </si>
  <si>
    <t>72446-X1B00</t>
  </si>
  <si>
    <t>SOB255</t>
  </si>
  <si>
    <t>72446-X7V13</t>
  </si>
  <si>
    <t>SOB352</t>
  </si>
  <si>
    <t>72446-X7V14</t>
  </si>
  <si>
    <t>SOB347</t>
  </si>
  <si>
    <t>72446-X7V15</t>
  </si>
  <si>
    <t>SHI201</t>
  </si>
  <si>
    <t>72446-X7V16</t>
  </si>
  <si>
    <t>SHI209</t>
  </si>
  <si>
    <t>72446-X7V17</t>
  </si>
  <si>
    <t>SHI202</t>
  </si>
  <si>
    <t>72446-X7V34</t>
  </si>
  <si>
    <t>BTS156</t>
  </si>
  <si>
    <t>72446-X7V48</t>
  </si>
  <si>
    <t>BTS161</t>
  </si>
  <si>
    <t>72447-X1B01</t>
  </si>
  <si>
    <t>MIT152</t>
  </si>
  <si>
    <t>72447-X1F02</t>
  </si>
  <si>
    <t>MIT160</t>
  </si>
  <si>
    <t>72447-X7V12</t>
  </si>
  <si>
    <t>MIT211</t>
  </si>
  <si>
    <t>72447-X7V22</t>
  </si>
  <si>
    <t>MIT221</t>
  </si>
  <si>
    <t>72447-X7V23</t>
  </si>
  <si>
    <t>MIT222</t>
  </si>
  <si>
    <t>72448-X1B01</t>
  </si>
  <si>
    <t>MIT153</t>
  </si>
  <si>
    <t>72448-X1C01</t>
  </si>
  <si>
    <t>MIT154</t>
  </si>
  <si>
    <t>72448-X7A00</t>
  </si>
  <si>
    <t>TTC517</t>
  </si>
  <si>
    <t>72449-X1C00</t>
  </si>
  <si>
    <t>MIT156</t>
  </si>
  <si>
    <t>72449-X1F00</t>
  </si>
  <si>
    <t>MIT155</t>
  </si>
  <si>
    <t>72451-X1403</t>
  </si>
  <si>
    <t>SOB229</t>
  </si>
  <si>
    <t>72451-X7V00</t>
  </si>
  <si>
    <t>MIT230</t>
  </si>
  <si>
    <t>72452-X1400</t>
  </si>
  <si>
    <t>SOB230</t>
  </si>
  <si>
    <t>72455-X1400</t>
  </si>
  <si>
    <t>SAN007</t>
  </si>
  <si>
    <t>72455-X1401</t>
  </si>
  <si>
    <t>SAN008</t>
  </si>
  <si>
    <t>72455-X1F01</t>
  </si>
  <si>
    <t>MIZ-21</t>
  </si>
  <si>
    <t>72455-X1F02</t>
  </si>
  <si>
    <t>MIZ-22</t>
  </si>
  <si>
    <t>72455-X1F04</t>
  </si>
  <si>
    <t>SAN017</t>
  </si>
  <si>
    <t>72455-X1F05</t>
  </si>
  <si>
    <t>SAN018</t>
  </si>
  <si>
    <t>72456-X1400</t>
  </si>
  <si>
    <t>BTS055</t>
  </si>
  <si>
    <t>72456-X1402</t>
  </si>
  <si>
    <t>BTS054</t>
  </si>
  <si>
    <t>72456-X1F01</t>
  </si>
  <si>
    <t>MIZ-19</t>
  </si>
  <si>
    <t>72456-X1F02</t>
  </si>
  <si>
    <t>MIZ-20</t>
  </si>
  <si>
    <t>72456-X1F04-S</t>
  </si>
  <si>
    <t>SO243S</t>
  </si>
  <si>
    <t>72456-X1F05-S</t>
  </si>
  <si>
    <t>SO242S</t>
  </si>
  <si>
    <t>72468-X1701</t>
  </si>
  <si>
    <t>MIT182</t>
  </si>
  <si>
    <t>72468-X1B02</t>
  </si>
  <si>
    <t>ETT001</t>
  </si>
  <si>
    <t>72468-X1C00</t>
  </si>
  <si>
    <t>MIT157</t>
  </si>
  <si>
    <t>72468-X7200</t>
  </si>
  <si>
    <t>ETT002</t>
  </si>
  <si>
    <t>72468-X7V01</t>
  </si>
  <si>
    <t>MIT226</t>
  </si>
  <si>
    <t>72468-X7V02</t>
  </si>
  <si>
    <t>MIT227</t>
  </si>
  <si>
    <t>72468-X7V03</t>
  </si>
  <si>
    <t>MIT237</t>
  </si>
  <si>
    <t>72468-X7V04</t>
  </si>
  <si>
    <t>MIT240</t>
  </si>
  <si>
    <t>72469-X1C00</t>
  </si>
  <si>
    <t>MIT158</t>
  </si>
  <si>
    <t>72469-X1C01</t>
  </si>
  <si>
    <t>MIT159</t>
  </si>
  <si>
    <t>72469-X7A00</t>
  </si>
  <si>
    <t>TTC518</t>
  </si>
  <si>
    <t>72469-X7A01</t>
  </si>
  <si>
    <t>TTC555</t>
  </si>
  <si>
    <t>72477-X7V00</t>
  </si>
  <si>
    <t>TTC719</t>
  </si>
  <si>
    <t>72477-X7V01</t>
  </si>
  <si>
    <t>TTC715</t>
  </si>
  <si>
    <t>72477-X7V03</t>
  </si>
  <si>
    <t>TTC716</t>
  </si>
  <si>
    <t>72477-X7V04</t>
  </si>
  <si>
    <t>TTC720</t>
  </si>
  <si>
    <t>72477-X7V05</t>
  </si>
  <si>
    <t>TTC717</t>
  </si>
  <si>
    <t>72477-X7V07</t>
  </si>
  <si>
    <t>TTC718</t>
  </si>
  <si>
    <t>72477-X7V25</t>
  </si>
  <si>
    <t>TFC027</t>
  </si>
  <si>
    <t>72477-X7V26</t>
  </si>
  <si>
    <t>TFC028</t>
  </si>
  <si>
    <t>72477-X7V27</t>
  </si>
  <si>
    <t>TFC029</t>
  </si>
  <si>
    <t>72477-X7V28</t>
  </si>
  <si>
    <t>SAC011</t>
  </si>
  <si>
    <t>72477-X7V29</t>
  </si>
  <si>
    <t>SAC012</t>
  </si>
  <si>
    <t>72477-X7V30</t>
  </si>
  <si>
    <t>SAC013</t>
  </si>
  <si>
    <t>72477-X7V31</t>
  </si>
  <si>
    <t>MIT213</t>
  </si>
  <si>
    <t>72477-X7V50</t>
  </si>
  <si>
    <t>TTC765</t>
  </si>
  <si>
    <t>72478-X1B02</t>
  </si>
  <si>
    <t>OIL001</t>
  </si>
  <si>
    <t>OILES</t>
  </si>
  <si>
    <t>72478-X1B03</t>
  </si>
  <si>
    <t>OIL002</t>
  </si>
  <si>
    <t>72478-X1B04</t>
  </si>
  <si>
    <t>OIL003</t>
  </si>
  <si>
    <t>72478-X1C02</t>
  </si>
  <si>
    <t>OIL004</t>
  </si>
  <si>
    <t>72478-X7A02</t>
  </si>
  <si>
    <t>KEN110</t>
  </si>
  <si>
    <t>72478-X7A03</t>
  </si>
  <si>
    <t>KEN111</t>
  </si>
  <si>
    <t>72478-X7A04</t>
  </si>
  <si>
    <t>KEN112</t>
  </si>
  <si>
    <t>72478-X7V17</t>
  </si>
  <si>
    <t>SGB001</t>
  </si>
  <si>
    <t>SAINT GOBAIN</t>
  </si>
  <si>
    <t>72478-X7V18</t>
  </si>
  <si>
    <t>SGB002</t>
  </si>
  <si>
    <t>72478-X7V19</t>
  </si>
  <si>
    <t>SGB003</t>
  </si>
  <si>
    <t>72478-X7V20</t>
  </si>
  <si>
    <t>SGB004</t>
  </si>
  <si>
    <t>72478-X7V21</t>
  </si>
  <si>
    <t>SGB005</t>
  </si>
  <si>
    <t>72478-X7V38</t>
  </si>
  <si>
    <t>SGB006</t>
  </si>
  <si>
    <t>72478-X7V39</t>
  </si>
  <si>
    <t>SGB007</t>
  </si>
  <si>
    <t>72478-X7V44</t>
  </si>
  <si>
    <t>SGB008</t>
  </si>
  <si>
    <t>72485-X7A00</t>
  </si>
  <si>
    <t>SAS136</t>
  </si>
  <si>
    <t>72486-X7A00</t>
  </si>
  <si>
    <t>SAS137</t>
  </si>
  <si>
    <t>72498-42010</t>
  </si>
  <si>
    <t>KEN129</t>
  </si>
  <si>
    <t>72498-42020</t>
  </si>
  <si>
    <t>KEN130</t>
  </si>
  <si>
    <t>72503-X1402-S</t>
  </si>
  <si>
    <t>BD005S</t>
  </si>
  <si>
    <t>72503-X1F03-S</t>
  </si>
  <si>
    <t>YB003S</t>
  </si>
  <si>
    <t>72503-X7A02-S</t>
  </si>
  <si>
    <t>15015S</t>
  </si>
  <si>
    <t>72503-X7V39-S</t>
  </si>
  <si>
    <t>HAP-S2</t>
  </si>
  <si>
    <t>72503-X7V40-S</t>
  </si>
  <si>
    <t>HAP-S1</t>
  </si>
  <si>
    <t>72504-X1402-S</t>
  </si>
  <si>
    <t>BD007S</t>
  </si>
  <si>
    <t>72504-X1F03-S</t>
  </si>
  <si>
    <t>YB004S</t>
  </si>
  <si>
    <t>72504-X7A01-S</t>
  </si>
  <si>
    <t>15014S</t>
  </si>
  <si>
    <t>72505-X7A00</t>
  </si>
  <si>
    <t>SOB304</t>
  </si>
  <si>
    <t>72505-X7A01</t>
  </si>
  <si>
    <t>SOB306</t>
  </si>
  <si>
    <t>72506-X7A00</t>
  </si>
  <si>
    <t>SOB305</t>
  </si>
  <si>
    <t>72506-X7A01</t>
  </si>
  <si>
    <t>SOB307</t>
  </si>
  <si>
    <t>72506-X7V17-S</t>
  </si>
  <si>
    <t>TAP-S2</t>
  </si>
  <si>
    <t>72507-0K010-B0</t>
  </si>
  <si>
    <t>CBT012</t>
  </si>
  <si>
    <t>C.B.TACT</t>
  </si>
  <si>
    <t>72507-0K010-E0</t>
  </si>
  <si>
    <t>CBT007</t>
  </si>
  <si>
    <t>72507-0K010-FG</t>
  </si>
  <si>
    <t>CBT002</t>
  </si>
  <si>
    <t>72507-0K010-FI</t>
  </si>
  <si>
    <t>CBT001</t>
  </si>
  <si>
    <t>72510-X1302</t>
  </si>
  <si>
    <t>TTC668</t>
  </si>
  <si>
    <t>72510-X1401</t>
  </si>
  <si>
    <t>TTC656</t>
  </si>
  <si>
    <t>72510-X1403</t>
  </si>
  <si>
    <t>TTC595</t>
  </si>
  <si>
    <t>72510-X1C09</t>
  </si>
  <si>
    <t>TTC693</t>
  </si>
  <si>
    <t>72510-X1M15</t>
  </si>
  <si>
    <t>AR0-01</t>
  </si>
  <si>
    <t>72510-X1T15</t>
  </si>
  <si>
    <t>TTC748</t>
  </si>
  <si>
    <t>72510-X1V00</t>
  </si>
  <si>
    <t>TTC744</t>
  </si>
  <si>
    <t>72510-X7V04</t>
  </si>
  <si>
    <t>TTC739</t>
  </si>
  <si>
    <t>72510-X7V45</t>
  </si>
  <si>
    <t>TGR-01</t>
  </si>
  <si>
    <t>72511-X7V08</t>
  </si>
  <si>
    <t>YDT034</t>
  </si>
  <si>
    <t>72511-X7V32</t>
  </si>
  <si>
    <t>SDI012</t>
  </si>
  <si>
    <t>72512-X7V08</t>
  </si>
  <si>
    <t>YDT035</t>
  </si>
  <si>
    <t>72512-X7V09</t>
  </si>
  <si>
    <t>TTC776</t>
  </si>
  <si>
    <t>72513-X1F00</t>
  </si>
  <si>
    <t>N32-27</t>
  </si>
  <si>
    <t>72513-X1F00-R3</t>
  </si>
  <si>
    <t>N32AR3</t>
  </si>
  <si>
    <t>72513-X1F00-W</t>
  </si>
  <si>
    <t>N3227W</t>
  </si>
  <si>
    <t>72515-X1400</t>
  </si>
  <si>
    <t>SOB225</t>
  </si>
  <si>
    <t>72515-X1400-00</t>
  </si>
  <si>
    <t>YDT002</t>
  </si>
  <si>
    <t>72515-X1F02</t>
  </si>
  <si>
    <t>SOB236</t>
  </si>
  <si>
    <t>72515-X1F02-00</t>
  </si>
  <si>
    <t>YDT007</t>
  </si>
  <si>
    <t>72515-X7A00</t>
  </si>
  <si>
    <t>SAS130</t>
  </si>
  <si>
    <t>72515-X7A01</t>
  </si>
  <si>
    <t>SAS131</t>
  </si>
  <si>
    <t>72515-X7V15</t>
  </si>
  <si>
    <t>TGP-01</t>
  </si>
  <si>
    <t>72516-X1400</t>
  </si>
  <si>
    <t>SOB226</t>
  </si>
  <si>
    <t>72516-X1400-00</t>
  </si>
  <si>
    <t>YDT001</t>
  </si>
  <si>
    <t>72516-X1F02</t>
  </si>
  <si>
    <t>SOB237</t>
  </si>
  <si>
    <t>72516-X1F02-00</t>
  </si>
  <si>
    <t>YDT008</t>
  </si>
  <si>
    <t>72516-X7A00</t>
  </si>
  <si>
    <t>SAS132</t>
  </si>
  <si>
    <t>72516-X7A01</t>
  </si>
  <si>
    <t>SAS133</t>
  </si>
  <si>
    <t>72517-X1701</t>
  </si>
  <si>
    <t>MIT214</t>
  </si>
  <si>
    <t>72517-X1K00</t>
  </si>
  <si>
    <t>SOB288</t>
  </si>
  <si>
    <t>72517-X7V01</t>
  </si>
  <si>
    <t>IPF-73</t>
  </si>
  <si>
    <t>72517-X7V07</t>
  </si>
  <si>
    <t>TPF-17</t>
  </si>
  <si>
    <t>72518-X1K00</t>
  </si>
  <si>
    <t>SOB289</t>
  </si>
  <si>
    <t>72518-X7V01</t>
  </si>
  <si>
    <t>IPF-74</t>
  </si>
  <si>
    <t>72518-X7V07</t>
  </si>
  <si>
    <t>TPF-18</t>
  </si>
  <si>
    <t>72519-X1E23</t>
  </si>
  <si>
    <t>TTC753</t>
  </si>
  <si>
    <t>72519-X1E24</t>
  </si>
  <si>
    <t>TTC754</t>
  </si>
  <si>
    <t>72519-X1F06</t>
  </si>
  <si>
    <t>MIT142</t>
  </si>
  <si>
    <t>72519-X1F07</t>
  </si>
  <si>
    <t>MIT141</t>
  </si>
  <si>
    <t>72519-X1K03</t>
  </si>
  <si>
    <t>MIT161</t>
  </si>
  <si>
    <t>72519-X1K04</t>
  </si>
  <si>
    <t>MIT162</t>
  </si>
  <si>
    <t>72519-X1M39</t>
  </si>
  <si>
    <t>TTC746</t>
  </si>
  <si>
    <t>72519-X1V18</t>
  </si>
  <si>
    <t>MIT209</t>
  </si>
  <si>
    <t>72519-X7A00</t>
  </si>
  <si>
    <t>MIT147</t>
  </si>
  <si>
    <t>72519-X7A01</t>
  </si>
  <si>
    <t>MIT148</t>
  </si>
  <si>
    <t>72519-X7A09</t>
  </si>
  <si>
    <t>MIT196</t>
  </si>
  <si>
    <t>72519-X7A10</t>
  </si>
  <si>
    <t>MIT195</t>
  </si>
  <si>
    <t>72519-X7A11</t>
  </si>
  <si>
    <t>MIT186</t>
  </si>
  <si>
    <t>72519-X7A12</t>
  </si>
  <si>
    <t>MIT184</t>
  </si>
  <si>
    <t>72519-X7A18</t>
  </si>
  <si>
    <t>MIT250</t>
  </si>
  <si>
    <t>72519-X7V03</t>
  </si>
  <si>
    <t>MIT210</t>
  </si>
  <si>
    <t>72519-X7V10</t>
  </si>
  <si>
    <t>MIT225</t>
  </si>
  <si>
    <t>72520-X1401</t>
  </si>
  <si>
    <t>TTC657</t>
  </si>
  <si>
    <t>72520-X1402</t>
  </si>
  <si>
    <t>TTC596</t>
  </si>
  <si>
    <t>72520-X1C07</t>
  </si>
  <si>
    <t>TTC694</t>
  </si>
  <si>
    <t>72520-X1M16</t>
  </si>
  <si>
    <t>AR0-02</t>
  </si>
  <si>
    <t>72520-X1T14</t>
  </si>
  <si>
    <t>TTC749</t>
  </si>
  <si>
    <t>72520-X1V00</t>
  </si>
  <si>
    <t>TTC745</t>
  </si>
  <si>
    <t>72520-X7V02</t>
  </si>
  <si>
    <t>TTC740</t>
  </si>
  <si>
    <t>72520-X7V26</t>
  </si>
  <si>
    <t>TGL-02</t>
  </si>
  <si>
    <t>72521-X1400</t>
  </si>
  <si>
    <t>EP2-01</t>
  </si>
  <si>
    <t>72521-X1401</t>
  </si>
  <si>
    <t>EP2-02</t>
  </si>
  <si>
    <t>72521-X1404</t>
  </si>
  <si>
    <t>CAP-03</t>
  </si>
  <si>
    <t>72521-X1B05</t>
  </si>
  <si>
    <t>CAP-05</t>
  </si>
  <si>
    <t>72521-X1C03</t>
  </si>
  <si>
    <t>CAP-07</t>
  </si>
  <si>
    <t>72521-X1V12</t>
  </si>
  <si>
    <t>EAP-02</t>
  </si>
  <si>
    <t>72521-X7A00</t>
  </si>
  <si>
    <t>BP1-01</t>
  </si>
  <si>
    <t>72521-X7A01</t>
  </si>
  <si>
    <t>BP1-03</t>
  </si>
  <si>
    <t>72521-X7A02</t>
  </si>
  <si>
    <t>AP1-12</t>
  </si>
  <si>
    <t>72521-X7A04</t>
  </si>
  <si>
    <t>IPA-82</t>
  </si>
  <si>
    <t>72521-X7A11</t>
  </si>
  <si>
    <t>IPA-86</t>
  </si>
  <si>
    <t>72521-X7V15-N</t>
  </si>
  <si>
    <t>TAP-P1</t>
  </si>
  <si>
    <t>72521-X7V15</t>
  </si>
  <si>
    <t>TPA-01</t>
  </si>
  <si>
    <t>72521-X7V16-N</t>
  </si>
  <si>
    <t>TAP-P3</t>
  </si>
  <si>
    <t>72521-X7V16</t>
  </si>
  <si>
    <t>TPA-03</t>
  </si>
  <si>
    <t>72521-X7V17-N</t>
  </si>
  <si>
    <t>TAP-P7</t>
  </si>
  <si>
    <t>72521-X7V17</t>
  </si>
  <si>
    <t>TPA-04</t>
  </si>
  <si>
    <t>72521-X7V18-N</t>
  </si>
  <si>
    <t>TAP-P5</t>
  </si>
  <si>
    <t>72521-X7V18</t>
  </si>
  <si>
    <t>TPA-06</t>
  </si>
  <si>
    <t>72521-X7V41-N</t>
  </si>
  <si>
    <t>HNA-35</t>
  </si>
  <si>
    <t>72521-X7V41</t>
  </si>
  <si>
    <t>HPA-35</t>
  </si>
  <si>
    <t>72521-X7V43-N</t>
  </si>
  <si>
    <t>HNA-36</t>
  </si>
  <si>
    <t>72521-X7V43</t>
  </si>
  <si>
    <t>HPA-36</t>
  </si>
  <si>
    <t>72521-X7V45</t>
  </si>
  <si>
    <t>EPA-50</t>
  </si>
  <si>
    <t>72521-X7V47</t>
  </si>
  <si>
    <t>EPA-48</t>
  </si>
  <si>
    <t>72521-X7V74</t>
  </si>
  <si>
    <t>DPA-02</t>
  </si>
  <si>
    <t>72521-X7V75</t>
  </si>
  <si>
    <t>DPA-04</t>
  </si>
  <si>
    <t>72522-X1400</t>
  </si>
  <si>
    <t>EP2-03</t>
  </si>
  <si>
    <t>72522-X1401</t>
  </si>
  <si>
    <t>EP2-04</t>
  </si>
  <si>
    <t>72522-X1403</t>
  </si>
  <si>
    <t>CAP-04</t>
  </si>
  <si>
    <t>72522-X1B02</t>
  </si>
  <si>
    <t>CAP-06</t>
  </si>
  <si>
    <t>72522-X1C02</t>
  </si>
  <si>
    <t>CAP-08</t>
  </si>
  <si>
    <t>72522-X1E03</t>
  </si>
  <si>
    <t>SMP015</t>
  </si>
  <si>
    <t>72522-X1V12</t>
  </si>
  <si>
    <t>EAP-01</t>
  </si>
  <si>
    <t>72522-X7A00</t>
  </si>
  <si>
    <t>BP1-02</t>
  </si>
  <si>
    <t>72522-X7A01</t>
  </si>
  <si>
    <t>BP1-04</t>
  </si>
  <si>
    <t>72522-X7A02</t>
  </si>
  <si>
    <t>AP1-13</t>
  </si>
  <si>
    <t>72522-X7A04</t>
  </si>
  <si>
    <t>IPA-81</t>
  </si>
  <si>
    <t>72522-X7A11</t>
  </si>
  <si>
    <t>IPA-85</t>
  </si>
  <si>
    <t>72522-X7V01</t>
  </si>
  <si>
    <t>TTC735</t>
  </si>
  <si>
    <t>72522-X7V01-N</t>
  </si>
  <si>
    <t>TAP-P4</t>
  </si>
  <si>
    <t>72522-X7V15-N</t>
  </si>
  <si>
    <t>TAP-P2</t>
  </si>
  <si>
    <t>72522-X7V15</t>
  </si>
  <si>
    <t>TPA-02</t>
  </si>
  <si>
    <t>72522-X7V17-N</t>
  </si>
  <si>
    <t>TAP-06</t>
  </si>
  <si>
    <t>72522-X7V17</t>
  </si>
  <si>
    <t>TPA-07</t>
  </si>
  <si>
    <t>72522-X7V18-N</t>
  </si>
  <si>
    <t>TAP-P8</t>
  </si>
  <si>
    <t>72522-X7V18</t>
  </si>
  <si>
    <t>TPA-05</t>
  </si>
  <si>
    <t>72522-X7V24</t>
  </si>
  <si>
    <t>SHI203</t>
  </si>
  <si>
    <t>72522-X7V43</t>
  </si>
  <si>
    <t>EPA-49</t>
  </si>
  <si>
    <t>72522-X7V44</t>
  </si>
  <si>
    <t>EPA-47</t>
  </si>
  <si>
    <t>72522-X7V72</t>
  </si>
  <si>
    <t>DPA-01</t>
  </si>
  <si>
    <t>72522-X7V73</t>
  </si>
  <si>
    <t>DPA-03</t>
  </si>
  <si>
    <t>72523-X1404</t>
  </si>
  <si>
    <t>FP2-22</t>
  </si>
  <si>
    <t>72523-X1407</t>
  </si>
  <si>
    <t>CFP-09</t>
  </si>
  <si>
    <t>72523-X1C01</t>
  </si>
  <si>
    <t>CFP-11</t>
  </si>
  <si>
    <t>72523-X1E04</t>
  </si>
  <si>
    <t>SOB367</t>
  </si>
  <si>
    <t>72523-X1M06-G1</t>
  </si>
  <si>
    <t>N32AR1</t>
  </si>
  <si>
    <t>72523-X1M06-G2</t>
  </si>
  <si>
    <t>N32AR2</t>
  </si>
  <si>
    <t>72523-X1M06</t>
  </si>
  <si>
    <t>N32-18</t>
  </si>
  <si>
    <t>72523-X1M06-W</t>
  </si>
  <si>
    <t>N3218W</t>
  </si>
  <si>
    <t>72523-X7A01</t>
  </si>
  <si>
    <t>FP2-25</t>
  </si>
  <si>
    <t>72523-X7A05</t>
  </si>
  <si>
    <t>MIY064</t>
  </si>
  <si>
    <t>72523-X7V03</t>
  </si>
  <si>
    <t>IPF-72</t>
  </si>
  <si>
    <t>72523-X7V04</t>
  </si>
  <si>
    <t>IPF-67</t>
  </si>
  <si>
    <t>72523-X7V20</t>
  </si>
  <si>
    <t>TPF-19</t>
  </si>
  <si>
    <t>72523-X7V31</t>
  </si>
  <si>
    <t>HPF-33</t>
  </si>
  <si>
    <t>72523-X7V38</t>
  </si>
  <si>
    <t>IPA-01</t>
  </si>
  <si>
    <t>72523-X7V47</t>
  </si>
  <si>
    <t>TGP-03</t>
  </si>
  <si>
    <t>72524-X1404</t>
  </si>
  <si>
    <t>FP2-24</t>
  </si>
  <si>
    <t>72524-X1408</t>
  </si>
  <si>
    <t>CFP-10</t>
  </si>
  <si>
    <t>72524-X1C01</t>
  </si>
  <si>
    <t>CFP-12</t>
  </si>
  <si>
    <t>72524-X1E05</t>
  </si>
  <si>
    <t>SOB368</t>
  </si>
  <si>
    <t>72524-X7A01</t>
  </si>
  <si>
    <t>FP2-26</t>
  </si>
  <si>
    <t>72524-X7A05</t>
  </si>
  <si>
    <t>MIY065</t>
  </si>
  <si>
    <t>72524-X7V03</t>
  </si>
  <si>
    <t>IPF-71</t>
  </si>
  <si>
    <t>72524-X7V04</t>
  </si>
  <si>
    <t>IPF-68</t>
  </si>
  <si>
    <t>72524-X7V19</t>
  </si>
  <si>
    <t>TPF-20</t>
  </si>
  <si>
    <t>72524-X7V29</t>
  </si>
  <si>
    <t>HPF-34</t>
  </si>
  <si>
    <t>72524-X7V35</t>
  </si>
  <si>
    <t>IPA-02</t>
  </si>
  <si>
    <t>72524-X7V44</t>
  </si>
  <si>
    <t>TGP-02</t>
  </si>
  <si>
    <t>72529-X1E00</t>
  </si>
  <si>
    <t>TTC755</t>
  </si>
  <si>
    <t>72529-X7A00</t>
  </si>
  <si>
    <t>MIT185</t>
  </si>
  <si>
    <t>72531-X1C02-H1</t>
  </si>
  <si>
    <t>N32-H1</t>
  </si>
  <si>
    <t>72531-X1C02-H2</t>
  </si>
  <si>
    <t>N32-H2</t>
  </si>
  <si>
    <t>72531-X1C02</t>
  </si>
  <si>
    <t>N32-02</t>
  </si>
  <si>
    <t>72531-X1C02-W</t>
  </si>
  <si>
    <t>N3202W</t>
  </si>
  <si>
    <t>72531-X7V13</t>
  </si>
  <si>
    <t>TGP-05</t>
  </si>
  <si>
    <t>72531-X7V16</t>
  </si>
  <si>
    <t>TGP-04</t>
  </si>
  <si>
    <t>72533-X1Y02</t>
  </si>
  <si>
    <t>DTT001</t>
  </si>
  <si>
    <t>N32-28</t>
  </si>
  <si>
    <t>72533-X7V10</t>
  </si>
  <si>
    <t>DTT019</t>
  </si>
  <si>
    <t>72533-X7V10-00</t>
  </si>
  <si>
    <t>AKT003</t>
  </si>
  <si>
    <t>AIKO</t>
  </si>
  <si>
    <t>TGP-07</t>
  </si>
  <si>
    <t>72533-X7V11</t>
  </si>
  <si>
    <t>DTT021</t>
  </si>
  <si>
    <t>72533-X7V11-00</t>
  </si>
  <si>
    <t>AKT005</t>
  </si>
  <si>
    <t>TGP-09</t>
  </si>
  <si>
    <t>72534-X1Y02</t>
  </si>
  <si>
    <t>DTT002</t>
  </si>
  <si>
    <t>N32-29</t>
  </si>
  <si>
    <t>72534-X7V10</t>
  </si>
  <si>
    <t>DTT020</t>
  </si>
  <si>
    <t>72534-X7V10-00</t>
  </si>
  <si>
    <t>AKT004</t>
  </si>
  <si>
    <t>TGP-06</t>
  </si>
  <si>
    <t>72534-X7V11</t>
  </si>
  <si>
    <t>DTT022</t>
  </si>
  <si>
    <t>72534-X7V11-00</t>
  </si>
  <si>
    <t>AKT006</t>
  </si>
  <si>
    <t>TGP-08</t>
  </si>
  <si>
    <t>72535-X7V01</t>
  </si>
  <si>
    <t>DTT017</t>
  </si>
  <si>
    <t>72535-X7V01-00</t>
  </si>
  <si>
    <t>AKT001</t>
  </si>
  <si>
    <t>TGP-11</t>
  </si>
  <si>
    <t>72537-X1404</t>
  </si>
  <si>
    <t>TTC601</t>
  </si>
  <si>
    <t>72537-X1C02</t>
  </si>
  <si>
    <t>TTC669</t>
  </si>
  <si>
    <t>72537-X1F00</t>
  </si>
  <si>
    <t>DTT003</t>
  </si>
  <si>
    <t>N32-05</t>
  </si>
  <si>
    <t>72537-X1M11</t>
  </si>
  <si>
    <t>MIT169</t>
  </si>
  <si>
    <t>72537-X7V10</t>
  </si>
  <si>
    <t>DTT018</t>
  </si>
  <si>
    <t>72537-X7V10-00</t>
  </si>
  <si>
    <t>AKT002</t>
  </si>
  <si>
    <t>TGP-10</t>
  </si>
  <si>
    <t>72541-X1E13</t>
  </si>
  <si>
    <t>SOB365</t>
  </si>
  <si>
    <t>72541-X1E14</t>
  </si>
  <si>
    <t>BTS150</t>
  </si>
  <si>
    <t>72542-X1E04</t>
  </si>
  <si>
    <t>SMP020</t>
  </si>
  <si>
    <t>72542-X1E07</t>
  </si>
  <si>
    <t>SOB366</t>
  </si>
  <si>
    <t>72548-X7A00</t>
  </si>
  <si>
    <t>TTC506</t>
  </si>
  <si>
    <t>72555-X1700</t>
  </si>
  <si>
    <t>SOB321</t>
  </si>
  <si>
    <t>72555-X7V11</t>
  </si>
  <si>
    <t>MIT224</t>
  </si>
  <si>
    <t>72558-X1701</t>
  </si>
  <si>
    <t>BTS083</t>
  </si>
  <si>
    <t>72558-X1702</t>
  </si>
  <si>
    <t>BTS084</t>
  </si>
  <si>
    <t>72558-X1C02</t>
  </si>
  <si>
    <t>TTC747</t>
  </si>
  <si>
    <t>72558-X1E16</t>
  </si>
  <si>
    <t>SMP016</t>
  </si>
  <si>
    <t>72558-X1E24</t>
  </si>
  <si>
    <t>BTS151</t>
  </si>
  <si>
    <t>72558-X7A00</t>
  </si>
  <si>
    <t>BTS011</t>
  </si>
  <si>
    <t>72558-X7A01</t>
  </si>
  <si>
    <t>BTS012</t>
  </si>
  <si>
    <t>72558-X7A06</t>
  </si>
  <si>
    <t>BTS085</t>
  </si>
  <si>
    <t>72558-X7A07</t>
  </si>
  <si>
    <t>BTS100</t>
  </si>
  <si>
    <t>72558-X7A09</t>
  </si>
  <si>
    <t>BTS120</t>
  </si>
  <si>
    <t>72559-X7A01</t>
  </si>
  <si>
    <t>MIT199</t>
  </si>
  <si>
    <t>72567-X7A01</t>
  </si>
  <si>
    <t>BTS086</t>
  </si>
  <si>
    <t>72568-X7A05</t>
  </si>
  <si>
    <t>BTS101</t>
  </si>
  <si>
    <t>72568-X7A13</t>
  </si>
  <si>
    <t>BTS124</t>
  </si>
  <si>
    <t>72569-X7A03</t>
  </si>
  <si>
    <t>BTS102</t>
  </si>
  <si>
    <t>72576-X7A00</t>
  </si>
  <si>
    <t>TST272</t>
  </si>
  <si>
    <t>72576-X7A01</t>
  </si>
  <si>
    <t>TST273</t>
  </si>
  <si>
    <t>72576-X7A02</t>
  </si>
  <si>
    <t>TST274</t>
  </si>
  <si>
    <t>72576-X7A03</t>
  </si>
  <si>
    <t>TST275</t>
  </si>
  <si>
    <t>72577-X1401</t>
  </si>
  <si>
    <t>BTS048</t>
  </si>
  <si>
    <t>72577-X1402</t>
  </si>
  <si>
    <t>BTS049</t>
  </si>
  <si>
    <t>72577-X1B00</t>
  </si>
  <si>
    <t>SOB256</t>
  </si>
  <si>
    <t>72577-X1B01</t>
  </si>
  <si>
    <t>SOB257</t>
  </si>
  <si>
    <t>72577-X7A00</t>
  </si>
  <si>
    <t>SOB261</t>
  </si>
  <si>
    <t>72577-X7V10</t>
  </si>
  <si>
    <t>BTS152</t>
  </si>
  <si>
    <t>72577-X7V11</t>
  </si>
  <si>
    <t>SOB370</t>
  </si>
  <si>
    <t>72578-X7A00</t>
  </si>
  <si>
    <t>SOB262</t>
  </si>
  <si>
    <t>72578-X7V01</t>
  </si>
  <si>
    <t>BTS153</t>
  </si>
  <si>
    <t>72579-X1700</t>
  </si>
  <si>
    <t>SOB322</t>
  </si>
  <si>
    <t>72595-X7A01</t>
  </si>
  <si>
    <t>BTS097</t>
  </si>
  <si>
    <t>72596-X7A01</t>
  </si>
  <si>
    <t>BTS095</t>
  </si>
  <si>
    <t>72611-0K010</t>
  </si>
  <si>
    <t>SAS152</t>
  </si>
  <si>
    <t>72611-0K060</t>
  </si>
  <si>
    <t>SOB206</t>
  </si>
  <si>
    <t>72611-0K060-T</t>
  </si>
  <si>
    <t>SOB06T</t>
  </si>
  <si>
    <t>72611-0K090</t>
  </si>
  <si>
    <t>SOB207</t>
  </si>
  <si>
    <t>72611-0K100</t>
  </si>
  <si>
    <t>SOB208</t>
  </si>
  <si>
    <t>72611-0K110</t>
  </si>
  <si>
    <t>SOB209</t>
  </si>
  <si>
    <t>72611-0K110-T</t>
  </si>
  <si>
    <t>SOB09T</t>
  </si>
  <si>
    <t>72611-X7A09</t>
  </si>
  <si>
    <t>YDT018</t>
  </si>
  <si>
    <t>72611-X7A17</t>
  </si>
  <si>
    <t>YDT021</t>
  </si>
  <si>
    <t>72612-0K010</t>
  </si>
  <si>
    <t>SAS153</t>
  </si>
  <si>
    <t>72612-0K060</t>
  </si>
  <si>
    <t>SOB210</t>
  </si>
  <si>
    <t>72612-0K060-T</t>
  </si>
  <si>
    <t>SOB10T</t>
  </si>
  <si>
    <t>72612-0K090</t>
  </si>
  <si>
    <t>SOB211</t>
  </si>
  <si>
    <t>72612-0K100</t>
  </si>
  <si>
    <t>SOB212</t>
  </si>
  <si>
    <t>72612-0K110</t>
  </si>
  <si>
    <t>SOB213</t>
  </si>
  <si>
    <t>72612-0K110-T</t>
  </si>
  <si>
    <t>SOB13T</t>
  </si>
  <si>
    <t>72612-X7A07</t>
  </si>
  <si>
    <t>YDT020</t>
  </si>
  <si>
    <t>72612-X7A10</t>
  </si>
  <si>
    <t>YDT019</t>
  </si>
  <si>
    <t>72630-02180</t>
  </si>
  <si>
    <t>TRL-34</t>
  </si>
  <si>
    <t>72630-47050</t>
  </si>
  <si>
    <t>TTC704</t>
  </si>
  <si>
    <t>72630-X1T07</t>
  </si>
  <si>
    <t>TTC769</t>
  </si>
  <si>
    <t>72633-0K010</t>
  </si>
  <si>
    <t>SOB214</t>
  </si>
  <si>
    <t>72634-0K010</t>
  </si>
  <si>
    <t>SOB215</t>
  </si>
  <si>
    <t>72637-X1705</t>
  </si>
  <si>
    <t>HYS015</t>
  </si>
  <si>
    <t>72638-X1704</t>
  </si>
  <si>
    <t>HYS011</t>
  </si>
  <si>
    <t>72638-X1705</t>
  </si>
  <si>
    <t>HYS012</t>
  </si>
  <si>
    <t>72640-02190</t>
  </si>
  <si>
    <t>TRL-35</t>
  </si>
  <si>
    <t>72640-47050</t>
  </si>
  <si>
    <t>TTC705</t>
  </si>
  <si>
    <t>72640-X1T04</t>
  </si>
  <si>
    <t>TTC768</t>
  </si>
  <si>
    <t>72641-0K020</t>
  </si>
  <si>
    <t>AOY001</t>
  </si>
  <si>
    <t>72641-0K050</t>
  </si>
  <si>
    <t>TTC558</t>
  </si>
  <si>
    <t>72641-0K060</t>
  </si>
  <si>
    <t>FUJ062</t>
  </si>
  <si>
    <t>FUJITA</t>
  </si>
  <si>
    <t>72641-0K070</t>
  </si>
  <si>
    <t>FUJ063</t>
  </si>
  <si>
    <t>72641-0K080</t>
  </si>
  <si>
    <t>FUJ064</t>
  </si>
  <si>
    <t>72641-X7A09</t>
  </si>
  <si>
    <t>MIT190</t>
  </si>
  <si>
    <t>72641-X7A11</t>
  </si>
  <si>
    <t>MIT189</t>
  </si>
  <si>
    <t>72641-X7A12</t>
  </si>
  <si>
    <t>MIT191</t>
  </si>
  <si>
    <t>72641-X7A13</t>
  </si>
  <si>
    <t>MIT192</t>
  </si>
  <si>
    <t>72641-X7A14</t>
  </si>
  <si>
    <t>MIT193</t>
  </si>
  <si>
    <t>72641-X7A17</t>
  </si>
  <si>
    <t>MIT198</t>
  </si>
  <si>
    <t>72642-0K010</t>
  </si>
  <si>
    <t>TTC569</t>
  </si>
  <si>
    <t>72642-X7A00</t>
  </si>
  <si>
    <t>MIT194</t>
  </si>
  <si>
    <t>72647-0K040</t>
  </si>
  <si>
    <t>SAS144</t>
  </si>
  <si>
    <t>72647-X7A03</t>
  </si>
  <si>
    <t>BTS092</t>
  </si>
  <si>
    <t>72647-X7A04</t>
  </si>
  <si>
    <t>BTS094</t>
  </si>
  <si>
    <t>72647-X7A06</t>
  </si>
  <si>
    <t>BTS107</t>
  </si>
  <si>
    <t>72648-0K040</t>
  </si>
  <si>
    <t>SAS145</t>
  </si>
  <si>
    <t>72648-X7A03</t>
  </si>
  <si>
    <t>BTS093</t>
  </si>
  <si>
    <t>72648-X7A05</t>
  </si>
  <si>
    <t>BTS108</t>
  </si>
  <si>
    <t>72649-0K110</t>
  </si>
  <si>
    <t>NHK122</t>
  </si>
  <si>
    <t>72649-0K120</t>
  </si>
  <si>
    <t>NHK123</t>
  </si>
  <si>
    <t>72649-X7A02</t>
  </si>
  <si>
    <t>HYS018</t>
  </si>
  <si>
    <t>72649-X7A03</t>
  </si>
  <si>
    <t>HYS019</t>
  </si>
  <si>
    <t>72649-X7A12</t>
  </si>
  <si>
    <t>HYS020</t>
  </si>
  <si>
    <t>72649-X7A13</t>
  </si>
  <si>
    <t>HYS021</t>
  </si>
  <si>
    <t>72651-0K010</t>
  </si>
  <si>
    <t>BTS043</t>
  </si>
  <si>
    <t>72651-X7A01</t>
  </si>
  <si>
    <t>KEN107</t>
  </si>
  <si>
    <t>72651-X7A02</t>
  </si>
  <si>
    <t>KEN108</t>
  </si>
  <si>
    <t>72655-0K020</t>
  </si>
  <si>
    <t>SAS146</t>
  </si>
  <si>
    <t>72656-0K020</t>
  </si>
  <si>
    <t>TTC582</t>
  </si>
  <si>
    <t>72656-0K020-00</t>
  </si>
  <si>
    <t>MIT205</t>
  </si>
  <si>
    <t>72656-0K050</t>
  </si>
  <si>
    <t>SAS147</t>
  </si>
  <si>
    <t>72656-0K060</t>
  </si>
  <si>
    <t>FUJ065</t>
  </si>
  <si>
    <t>72656-0K070</t>
  </si>
  <si>
    <t>FUJ066</t>
  </si>
  <si>
    <t>72659-X7A02</t>
  </si>
  <si>
    <t>DUM24</t>
  </si>
  <si>
    <t>72663-0K020</t>
  </si>
  <si>
    <t>BTS044</t>
  </si>
  <si>
    <t>72663-0K030</t>
  </si>
  <si>
    <t>SAS148</t>
  </si>
  <si>
    <t>72664-0K020</t>
  </si>
  <si>
    <t>BTS045</t>
  </si>
  <si>
    <t>72664-0K030</t>
  </si>
  <si>
    <t>SAS149</t>
  </si>
  <si>
    <t>72675-X7A02</t>
  </si>
  <si>
    <t>MIY026</t>
  </si>
  <si>
    <t>72675-X7A03</t>
  </si>
  <si>
    <t>MIY023</t>
  </si>
  <si>
    <t>72675-X7A05</t>
  </si>
  <si>
    <t>MIY032</t>
  </si>
  <si>
    <t>72676-X7A02</t>
  </si>
  <si>
    <t>MIY025</t>
  </si>
  <si>
    <t>72676-X7A03</t>
  </si>
  <si>
    <t>MIY024</t>
  </si>
  <si>
    <t>72676-X7A05</t>
  </si>
  <si>
    <t>MIY033</t>
  </si>
  <si>
    <t>72681-X7A03</t>
  </si>
  <si>
    <t>SOB266</t>
  </si>
  <si>
    <t>72683-X7A00</t>
  </si>
  <si>
    <t>SOB331</t>
  </si>
  <si>
    <t>72684-X7A00</t>
  </si>
  <si>
    <t>SOB332</t>
  </si>
  <si>
    <t>72689-0K010</t>
  </si>
  <si>
    <t>CAR001</t>
  </si>
  <si>
    <t>72689-0K020</t>
  </si>
  <si>
    <t>CAR002</t>
  </si>
  <si>
    <t>72689-0K031</t>
  </si>
  <si>
    <t>CAR004</t>
  </si>
  <si>
    <t>72692-0K010</t>
  </si>
  <si>
    <t>MIY006</t>
  </si>
  <si>
    <t>72692-0K020</t>
  </si>
  <si>
    <t>MIY007</t>
  </si>
  <si>
    <t>72692-0K030</t>
  </si>
  <si>
    <t>MIY003</t>
  </si>
  <si>
    <t>72692-0K040</t>
  </si>
  <si>
    <t>MIY004</t>
  </si>
  <si>
    <t>72692-0K050</t>
  </si>
  <si>
    <t>MIY011</t>
  </si>
  <si>
    <t>72692-0K060</t>
  </si>
  <si>
    <t>MIY012</t>
  </si>
  <si>
    <t>72692-0K070</t>
  </si>
  <si>
    <t>MIY005</t>
  </si>
  <si>
    <t>72692-X7A05</t>
  </si>
  <si>
    <t>MIY029</t>
  </si>
  <si>
    <t>72692-X7A06</t>
  </si>
  <si>
    <t>MIY030</t>
  </si>
  <si>
    <t>72692-X7A07</t>
  </si>
  <si>
    <t>MIY027</t>
  </si>
  <si>
    <t>72692-X7A08</t>
  </si>
  <si>
    <t>MIY028</t>
  </si>
  <si>
    <t>72693-0K030</t>
  </si>
  <si>
    <t>MIY009</t>
  </si>
  <si>
    <t>72693-0K040</t>
  </si>
  <si>
    <t>MIY010</t>
  </si>
  <si>
    <t>72693-0K050</t>
  </si>
  <si>
    <t>MIY015</t>
  </si>
  <si>
    <t>72693-0K060</t>
  </si>
  <si>
    <t>MIY016</t>
  </si>
  <si>
    <t>72693-0K070</t>
  </si>
  <si>
    <t>MIY013</t>
  </si>
  <si>
    <t>72693-0K080</t>
  </si>
  <si>
    <t>MIY014</t>
  </si>
  <si>
    <t>72699-0K010</t>
  </si>
  <si>
    <t>BTS031</t>
  </si>
  <si>
    <t>72699-0K020</t>
  </si>
  <si>
    <t>BTS032</t>
  </si>
  <si>
    <t>72699-0K030</t>
  </si>
  <si>
    <t>BTS033</t>
  </si>
  <si>
    <t>72699-0K040</t>
  </si>
  <si>
    <t>BTS034</t>
  </si>
  <si>
    <t>72702-X1410</t>
  </si>
  <si>
    <t>TTC655</t>
  </si>
  <si>
    <t>72702-X1413</t>
  </si>
  <si>
    <t>AOY005</t>
  </si>
  <si>
    <t>72702-X1B10</t>
  </si>
  <si>
    <t>TTC761</t>
  </si>
  <si>
    <t>72702-X7A00</t>
  </si>
  <si>
    <t>TTC551</t>
  </si>
  <si>
    <t>72702-X7A00-00</t>
  </si>
  <si>
    <t>MIT206</t>
  </si>
  <si>
    <t>72702-X7A01-A</t>
  </si>
  <si>
    <t>AOY007</t>
  </si>
  <si>
    <t>72717-X1701</t>
  </si>
  <si>
    <t>SOB312</t>
  </si>
  <si>
    <t>72717-X1705</t>
  </si>
  <si>
    <t>SOB319</t>
  </si>
  <si>
    <t>72717-X7A01</t>
  </si>
  <si>
    <t>BTS087</t>
  </si>
  <si>
    <t>72718-X1702</t>
  </si>
  <si>
    <t>SOB320</t>
  </si>
  <si>
    <t>72718-X7A01</t>
  </si>
  <si>
    <t>BTS088</t>
  </si>
  <si>
    <t>72735-X7A01</t>
  </si>
  <si>
    <t>BTS103</t>
  </si>
  <si>
    <t>72736-X7A01</t>
  </si>
  <si>
    <t>BTS104</t>
  </si>
  <si>
    <t>72739-X1E03</t>
  </si>
  <si>
    <t>SMP003</t>
  </si>
  <si>
    <t>72739-X1E04</t>
  </si>
  <si>
    <t>SMP004</t>
  </si>
  <si>
    <t>72739-X7A00</t>
  </si>
  <si>
    <t>AP1-17</t>
  </si>
  <si>
    <t>72739-X7A01</t>
  </si>
  <si>
    <t>AP1-15</t>
  </si>
  <si>
    <t>72739-X7A02</t>
  </si>
  <si>
    <t>AP1-14</t>
  </si>
  <si>
    <t>72739-X7A06</t>
  </si>
  <si>
    <t>IPF-77</t>
  </si>
  <si>
    <t>72739-X7A07</t>
  </si>
  <si>
    <t>IPF-78</t>
  </si>
  <si>
    <t>72739-X7A08</t>
  </si>
  <si>
    <t>IPF-79</t>
  </si>
  <si>
    <t>72745-X1701</t>
  </si>
  <si>
    <t>MIT181</t>
  </si>
  <si>
    <t>72745-X1E15</t>
  </si>
  <si>
    <t>MIT218</t>
  </si>
  <si>
    <t>72745-X1E16</t>
  </si>
  <si>
    <t>MIT219</t>
  </si>
  <si>
    <t>72745-X7A00</t>
  </si>
  <si>
    <t>MIT110</t>
  </si>
  <si>
    <t>72745-X7A02</t>
  </si>
  <si>
    <t>MIT149</t>
  </si>
  <si>
    <t>72745-X7A03</t>
  </si>
  <si>
    <t>MIT150</t>
  </si>
  <si>
    <t>72745-X7A07</t>
  </si>
  <si>
    <t>MIT187</t>
  </si>
  <si>
    <t>72745-X7A08</t>
  </si>
  <si>
    <t>MIT188</t>
  </si>
  <si>
    <t>72749-0K010</t>
  </si>
  <si>
    <t>KEN109</t>
  </si>
  <si>
    <t>72749-X1401</t>
  </si>
  <si>
    <t>KEN105</t>
  </si>
  <si>
    <t>72751-X1E09</t>
  </si>
  <si>
    <t>SMP010</t>
  </si>
  <si>
    <t>72751-X1E10</t>
  </si>
  <si>
    <t>SMP017</t>
  </si>
  <si>
    <t>72751-X1E11</t>
  </si>
  <si>
    <t>SMP011</t>
  </si>
  <si>
    <t>72751-X1E14</t>
  </si>
  <si>
    <t>SMP018</t>
  </si>
  <si>
    <t>72751-X1E16</t>
  </si>
  <si>
    <t>BTS149</t>
  </si>
  <si>
    <t>72769-X7A00</t>
  </si>
  <si>
    <t>AP1-18</t>
  </si>
  <si>
    <t>72769-X7A01</t>
  </si>
  <si>
    <t>AP1-16</t>
  </si>
  <si>
    <t>72769-X7A05</t>
  </si>
  <si>
    <t>IPF-75</t>
  </si>
  <si>
    <t>72769-X7A06</t>
  </si>
  <si>
    <t>IPF-76</t>
  </si>
  <si>
    <t>72769-X7A07</t>
  </si>
  <si>
    <t>IPF-80</t>
  </si>
  <si>
    <t>72777-X7A00</t>
  </si>
  <si>
    <t>BTS013</t>
  </si>
  <si>
    <t>72777-X7A01</t>
  </si>
  <si>
    <t>BTS014</t>
  </si>
  <si>
    <t>72781-X7V03</t>
  </si>
  <si>
    <t>BTS140</t>
  </si>
  <si>
    <t>72883-X7M00</t>
  </si>
  <si>
    <t>CTR-68</t>
  </si>
  <si>
    <t>72905-X7A01</t>
  </si>
  <si>
    <t>MIT202</t>
  </si>
  <si>
    <t>72906-X7A01</t>
  </si>
  <si>
    <t>MIT201</t>
  </si>
  <si>
    <t>72959-0K010</t>
  </si>
  <si>
    <t>KEN094</t>
  </si>
  <si>
    <t>72959-X7A02</t>
  </si>
  <si>
    <t>KEN113</t>
  </si>
  <si>
    <t>72966-0K010</t>
  </si>
  <si>
    <t>BTS035</t>
  </si>
  <si>
    <t>72966-X7A01</t>
  </si>
  <si>
    <t>BTS096</t>
  </si>
  <si>
    <t>72966-X7A04</t>
  </si>
  <si>
    <t>TTC677</t>
  </si>
  <si>
    <t>72966-X7A05</t>
  </si>
  <si>
    <t>SOB333</t>
  </si>
  <si>
    <t>72967-0K010</t>
  </si>
  <si>
    <t>BTS036</t>
  </si>
  <si>
    <t>72967-X7A01</t>
  </si>
  <si>
    <t>BTS098</t>
  </si>
  <si>
    <t>72967-X7A04</t>
  </si>
  <si>
    <t>TTC678</t>
  </si>
  <si>
    <t>72967-X7A05</t>
  </si>
  <si>
    <t>SOB334</t>
  </si>
  <si>
    <t>73011-X1400-CAM</t>
  </si>
  <si>
    <t>TLS01C</t>
  </si>
  <si>
    <t>73011-X1400-CED</t>
  </si>
  <si>
    <t>TLS1CT</t>
  </si>
  <si>
    <t>73011-X1400-IMV</t>
  </si>
  <si>
    <t>TLS01I</t>
  </si>
  <si>
    <t>73011-X1400-T</t>
  </si>
  <si>
    <t>CTUS1T</t>
  </si>
  <si>
    <t>73011-X7A00-S</t>
  </si>
  <si>
    <t>BH9-01</t>
  </si>
  <si>
    <t>73011-X7A01-S</t>
  </si>
  <si>
    <t>BH9-02</t>
  </si>
  <si>
    <t>73011-X7V07-S</t>
  </si>
  <si>
    <t>TA-S24</t>
  </si>
  <si>
    <t>73011-X7V11-S</t>
  </si>
  <si>
    <t>TA-S22</t>
  </si>
  <si>
    <t>73011-X7V25-S</t>
  </si>
  <si>
    <t>HA-S1</t>
  </si>
  <si>
    <t>73012-X1400-CAM</t>
  </si>
  <si>
    <t>TLS02C</t>
  </si>
  <si>
    <t>73012-X1400-CED</t>
  </si>
  <si>
    <t>TLS2CT</t>
  </si>
  <si>
    <t>73012-X1400-IMV</t>
  </si>
  <si>
    <t>TLS02I</t>
  </si>
  <si>
    <t>73012-X1400-T</t>
  </si>
  <si>
    <t>CTUS2T</t>
  </si>
  <si>
    <t>73012-X7A00-S</t>
  </si>
  <si>
    <t>CH9-03</t>
  </si>
  <si>
    <t>73012-X7A01-S</t>
  </si>
  <si>
    <t>CH9-04</t>
  </si>
  <si>
    <t>73012-X7V14-S</t>
  </si>
  <si>
    <t>TA-S23</t>
  </si>
  <si>
    <t>73012-X7V15-S</t>
  </si>
  <si>
    <t>TA-S21</t>
  </si>
  <si>
    <t>73012-X7V33-S</t>
  </si>
  <si>
    <t>HA-S2</t>
  </si>
  <si>
    <t>73012-X7V34-S</t>
  </si>
  <si>
    <t>HA-S3</t>
  </si>
  <si>
    <t>73191-X1401</t>
  </si>
  <si>
    <t>SAN009</t>
  </si>
  <si>
    <t>73191-X1402-S</t>
  </si>
  <si>
    <t>TS0-01</t>
  </si>
  <si>
    <t>73191-X1404</t>
  </si>
  <si>
    <t>CTP-37</t>
  </si>
  <si>
    <t>73191-X1F00-S</t>
  </si>
  <si>
    <t>TS1-01</t>
  </si>
  <si>
    <t>73191-X1F02</t>
  </si>
  <si>
    <t>SAN011</t>
  </si>
  <si>
    <t>73191-X1F06-S</t>
  </si>
  <si>
    <t>TS2-01</t>
  </si>
  <si>
    <t>73191-X1F07</t>
  </si>
  <si>
    <t>SAN015</t>
  </si>
  <si>
    <t>73191-X7A00</t>
  </si>
  <si>
    <t>SOB265</t>
  </si>
  <si>
    <t>73191-X7A01</t>
  </si>
  <si>
    <t>SOB223</t>
  </si>
  <si>
    <t>73191-X7V06</t>
  </si>
  <si>
    <t>BTS128</t>
  </si>
  <si>
    <t>73191-X7V10</t>
  </si>
  <si>
    <t>BTS126</t>
  </si>
  <si>
    <t>73191-X7V16</t>
  </si>
  <si>
    <t>SHI197</t>
  </si>
  <si>
    <t>73191-X7V33</t>
  </si>
  <si>
    <t>YDT036</t>
  </si>
  <si>
    <t>73191-X7V54</t>
  </si>
  <si>
    <t>SNA042</t>
  </si>
  <si>
    <t>73191-X7V67</t>
  </si>
  <si>
    <t>SNA051</t>
  </si>
  <si>
    <t>73192-X1400</t>
  </si>
  <si>
    <t>SAN010</t>
  </si>
  <si>
    <t>73192-X1401-S</t>
  </si>
  <si>
    <t>TS0-02</t>
  </si>
  <si>
    <t>73192-X1403</t>
  </si>
  <si>
    <t>CTP-36</t>
  </si>
  <si>
    <t>73192-X1F02-S</t>
  </si>
  <si>
    <t>TS1-02</t>
  </si>
  <si>
    <t>73192-X1F03</t>
  </si>
  <si>
    <t>SAN012</t>
  </si>
  <si>
    <t>73192-X1F06-S</t>
  </si>
  <si>
    <t>TS2-02</t>
  </si>
  <si>
    <t>73192-X1F07</t>
  </si>
  <si>
    <t>SAN016</t>
  </si>
  <si>
    <t>73192-X7A00</t>
  </si>
  <si>
    <t>SOB303</t>
  </si>
  <si>
    <t>73192-X7A01</t>
  </si>
  <si>
    <t>SOB224</t>
  </si>
  <si>
    <t>73192-X7A11</t>
  </si>
  <si>
    <t>MIY048</t>
  </si>
  <si>
    <t>73192-X7V16</t>
  </si>
  <si>
    <t>BTS127</t>
  </si>
  <si>
    <t>73192-X7V17</t>
  </si>
  <si>
    <t>BTS125</t>
  </si>
  <si>
    <t>73192-X7V23</t>
  </si>
  <si>
    <t>SHI212</t>
  </si>
  <si>
    <t>73192-X7V24</t>
  </si>
  <si>
    <t>SHI198</t>
  </si>
  <si>
    <t>73192-X7V36</t>
  </si>
  <si>
    <t>YDT037</t>
  </si>
  <si>
    <t>73192-X7V53</t>
  </si>
  <si>
    <t>SNA043</t>
  </si>
  <si>
    <t>73192-X7V65</t>
  </si>
  <si>
    <t>SNA050</t>
  </si>
  <si>
    <t>73214-0K010</t>
  </si>
  <si>
    <t>BTS078</t>
  </si>
  <si>
    <t>74010-X7V01-S</t>
  </si>
  <si>
    <t>AR-S1</t>
  </si>
  <si>
    <t>74010-X7V42</t>
  </si>
  <si>
    <t>TTC766</t>
  </si>
  <si>
    <t>74020-X7V00-S</t>
  </si>
  <si>
    <t>AR-S2</t>
  </si>
  <si>
    <t>74020-X7V37</t>
  </si>
  <si>
    <t>TTC767</t>
  </si>
  <si>
    <t>75298-X1F00</t>
  </si>
  <si>
    <t>SOB287</t>
  </si>
  <si>
    <t>75298-X7A01</t>
  </si>
  <si>
    <t>MIT200</t>
  </si>
  <si>
    <t>75298-X7V03</t>
  </si>
  <si>
    <t>TTC708</t>
  </si>
  <si>
    <t>75298-X7V03-00</t>
  </si>
  <si>
    <t>TFC030</t>
  </si>
  <si>
    <t>75298-X7V04</t>
  </si>
  <si>
    <t>TTC709</t>
  </si>
  <si>
    <t>75298-X7V05</t>
  </si>
  <si>
    <t>TTC710</t>
  </si>
  <si>
    <t>75298-X7V06</t>
  </si>
  <si>
    <t>TTC711</t>
  </si>
  <si>
    <t>75298-X7V06-00</t>
  </si>
  <si>
    <t>MIY050</t>
  </si>
  <si>
    <t>75298-X7V12</t>
  </si>
  <si>
    <t>TTC712</t>
  </si>
  <si>
    <t>75298-X7V31</t>
  </si>
  <si>
    <t>TFC031</t>
  </si>
  <si>
    <t>75298-X7V32</t>
  </si>
  <si>
    <t>MIY053</t>
  </si>
  <si>
    <t>78142-X7A01</t>
  </si>
  <si>
    <t>NIT003</t>
  </si>
  <si>
    <t>NITTO</t>
  </si>
  <si>
    <t>78142-X7A05</t>
  </si>
  <si>
    <t>NIT002</t>
  </si>
  <si>
    <t>78757-X1402</t>
  </si>
  <si>
    <t>BTS052</t>
  </si>
  <si>
    <t>78757-X1407</t>
  </si>
  <si>
    <t>BTS056</t>
  </si>
  <si>
    <t>78757-X7A00</t>
  </si>
  <si>
    <t>HYS028</t>
  </si>
  <si>
    <t>78757-X7A01</t>
  </si>
  <si>
    <t>HYS026</t>
  </si>
  <si>
    <t>78757-X7A08</t>
  </si>
  <si>
    <t>HYS065</t>
  </si>
  <si>
    <t>78757-X7A09</t>
  </si>
  <si>
    <t>HYS067</t>
  </si>
  <si>
    <t>78757-X7V04</t>
  </si>
  <si>
    <t>HYS049</t>
  </si>
  <si>
    <t>78757-X7V19</t>
  </si>
  <si>
    <t>HYS063</t>
  </si>
  <si>
    <t>78767-X1402</t>
  </si>
  <si>
    <t>BTS053</t>
  </si>
  <si>
    <t>78767-X1407</t>
  </si>
  <si>
    <t>BTS057</t>
  </si>
  <si>
    <t>78767-X7A00</t>
  </si>
  <si>
    <t>HYS029</t>
  </si>
  <si>
    <t>78767-X7A01</t>
  </si>
  <si>
    <t>HYS027</t>
  </si>
  <si>
    <t>78767-X7A06</t>
  </si>
  <si>
    <t>HYS066</t>
  </si>
  <si>
    <t>78767-X7V04</t>
  </si>
  <si>
    <t>HYS050</t>
  </si>
  <si>
    <t>78767-X7V17</t>
  </si>
  <si>
    <t>HYS064</t>
  </si>
  <si>
    <t>78873-X7A01</t>
  </si>
  <si>
    <t>MIY031</t>
  </si>
  <si>
    <t>78883-X7A01</t>
  </si>
  <si>
    <t>MIY034</t>
  </si>
  <si>
    <t>78899-0K010</t>
  </si>
  <si>
    <t>TTC571</t>
  </si>
  <si>
    <t>78953-0K020</t>
  </si>
  <si>
    <t>TAT700</t>
  </si>
  <si>
    <t>78960-0K020</t>
  </si>
  <si>
    <t>CBT003</t>
  </si>
  <si>
    <t>78960-0K020-C0</t>
  </si>
  <si>
    <t>CBT015</t>
  </si>
  <si>
    <t>78960-0K020-E0</t>
  </si>
  <si>
    <t>CBT008</t>
  </si>
  <si>
    <t>78960-0K040-B0</t>
  </si>
  <si>
    <t>CBT010</t>
  </si>
  <si>
    <t>78960-0K040-C0</t>
  </si>
  <si>
    <t>CBT013</t>
  </si>
  <si>
    <t>78960-0K040-E0</t>
  </si>
  <si>
    <t>CBT009</t>
  </si>
  <si>
    <t>78960-0K060-B0</t>
  </si>
  <si>
    <t>CBT011</t>
  </si>
  <si>
    <t>78960-0K060-C0</t>
  </si>
  <si>
    <t>CBT014</t>
  </si>
  <si>
    <t>78960-0K060-E0</t>
  </si>
  <si>
    <t>CBT005</t>
  </si>
  <si>
    <t>79121-0K010</t>
  </si>
  <si>
    <t>SOB205</t>
  </si>
  <si>
    <t>79128-0K010</t>
  </si>
  <si>
    <t>BTS037</t>
  </si>
  <si>
    <t>79128-0K020</t>
  </si>
  <si>
    <t>BTS039</t>
  </si>
  <si>
    <t>79131-0K020</t>
  </si>
  <si>
    <t>SOB269</t>
  </si>
  <si>
    <t>79131-X1701</t>
  </si>
  <si>
    <t>SOB308</t>
  </si>
  <si>
    <t>79132-X1701</t>
  </si>
  <si>
    <t>SOB309</t>
  </si>
  <si>
    <t>79133-0K020</t>
  </si>
  <si>
    <t>SOB270</t>
  </si>
  <si>
    <t>79133-X1702</t>
  </si>
  <si>
    <t>SOB310</t>
  </si>
  <si>
    <t>79134-0K010</t>
  </si>
  <si>
    <t>SOB271</t>
  </si>
  <si>
    <t>79134-X1702</t>
  </si>
  <si>
    <t>SOB311</t>
  </si>
  <si>
    <t>79151-X7V09</t>
  </si>
  <si>
    <t>DPF-70</t>
  </si>
  <si>
    <t>79180-X7A00</t>
  </si>
  <si>
    <t>MIT241</t>
  </si>
  <si>
    <t>79180-X7A01</t>
  </si>
  <si>
    <t>MIT242</t>
  </si>
  <si>
    <t>79180-X7A03</t>
  </si>
  <si>
    <t>MIT243</t>
  </si>
  <si>
    <t>79180-X7A04</t>
  </si>
  <si>
    <t>MIT244</t>
  </si>
  <si>
    <t>79180-X7A05</t>
  </si>
  <si>
    <t>MIT245</t>
  </si>
  <si>
    <t>79180-X7A06</t>
  </si>
  <si>
    <t>MIT246</t>
  </si>
  <si>
    <t>79180-X7A07</t>
  </si>
  <si>
    <t>MIT247</t>
  </si>
  <si>
    <t>79180-X7A08</t>
  </si>
  <si>
    <t>MIT248</t>
  </si>
  <si>
    <t>79205-0K010</t>
  </si>
  <si>
    <t>SAS154</t>
  </si>
  <si>
    <t>79205-0K010-T</t>
  </si>
  <si>
    <t>SAS54T</t>
  </si>
  <si>
    <t>79205-X7A01</t>
  </si>
  <si>
    <t>WIS002</t>
  </si>
  <si>
    <t>WISDOM</t>
  </si>
  <si>
    <t>79205-X7A01-T</t>
  </si>
  <si>
    <t>WIS02T</t>
  </si>
  <si>
    <t>79206-0K010</t>
  </si>
  <si>
    <t>SAS155</t>
  </si>
  <si>
    <t>79206-0K010-T</t>
  </si>
  <si>
    <t>SAS55T</t>
  </si>
  <si>
    <t>79206-X7A01</t>
  </si>
  <si>
    <t>WIS003</t>
  </si>
  <si>
    <t>79206-X7A01-T</t>
  </si>
  <si>
    <t>WIS03T</t>
  </si>
  <si>
    <t>79207-0K010-S</t>
  </si>
  <si>
    <t>HG9-01</t>
  </si>
  <si>
    <t>79207-0K010-T</t>
  </si>
  <si>
    <t>HG901T</t>
  </si>
  <si>
    <t>79207-X7A01</t>
  </si>
  <si>
    <t>BTS109</t>
  </si>
  <si>
    <t>79208-0K010-S</t>
  </si>
  <si>
    <t>HG9-02</t>
  </si>
  <si>
    <t>79208-0K010-T</t>
  </si>
  <si>
    <t>HG902T</t>
  </si>
  <si>
    <t>79208-X7A01</t>
  </si>
  <si>
    <t>BTS110</t>
  </si>
  <si>
    <t>79216-X7A02</t>
  </si>
  <si>
    <t>SOB339</t>
  </si>
  <si>
    <t>79216-X7A03</t>
  </si>
  <si>
    <t>SOB342</t>
  </si>
  <si>
    <t>79251-X7V02</t>
  </si>
  <si>
    <t>DPF-71</t>
  </si>
  <si>
    <t>79271-X7A01</t>
  </si>
  <si>
    <t>SOB343</t>
  </si>
  <si>
    <t>79272-X7A01</t>
  </si>
  <si>
    <t>SOB340</t>
  </si>
  <si>
    <t>79299-0K020-C0</t>
  </si>
  <si>
    <t>KHS081</t>
  </si>
  <si>
    <t>79331-X7A01</t>
  </si>
  <si>
    <t>BTS113</t>
  </si>
  <si>
    <t>79332-X7A01-S</t>
  </si>
  <si>
    <t>IH2-S1</t>
  </si>
  <si>
    <t>79332-X7A03</t>
  </si>
  <si>
    <t>BTS115</t>
  </si>
  <si>
    <t>79341-X7A01</t>
  </si>
  <si>
    <t>BTS114</t>
  </si>
  <si>
    <t>79342-X7A01-S</t>
  </si>
  <si>
    <t>IH2-S2</t>
  </si>
  <si>
    <t>79342-X7A03</t>
  </si>
  <si>
    <t>BTS116</t>
  </si>
  <si>
    <t>79398-X7A02</t>
  </si>
  <si>
    <t>YDT026</t>
  </si>
  <si>
    <t>79398-X7A03</t>
  </si>
  <si>
    <t>YDT027</t>
  </si>
  <si>
    <t>79716-X1400</t>
  </si>
  <si>
    <t>BTS071</t>
  </si>
  <si>
    <t>79716-X1F00</t>
  </si>
  <si>
    <t>TTC649</t>
  </si>
  <si>
    <t>79716-X7A00</t>
  </si>
  <si>
    <t>TTC539</t>
  </si>
  <si>
    <t>79716-X7A00-00</t>
  </si>
  <si>
    <t>MIT204</t>
  </si>
  <si>
    <t>79754-X1701</t>
  </si>
  <si>
    <t>MIT180</t>
  </si>
  <si>
    <t>79818-0K010</t>
  </si>
  <si>
    <t>TTC559</t>
  </si>
  <si>
    <t>79914-X1400</t>
  </si>
  <si>
    <t>SOB292</t>
  </si>
  <si>
    <t>79919-X1703</t>
  </si>
  <si>
    <t>BTS079</t>
  </si>
  <si>
    <t>79919-X1704</t>
  </si>
  <si>
    <t>BTS080</t>
  </si>
  <si>
    <t>79919-X1E09</t>
  </si>
  <si>
    <t>SMP007</t>
  </si>
  <si>
    <t>79919-X1E10</t>
  </si>
  <si>
    <t>SMP008</t>
  </si>
  <si>
    <t>79919-X7A01</t>
  </si>
  <si>
    <t>BTS089</t>
  </si>
  <si>
    <t>79919-X7A02</t>
  </si>
  <si>
    <t>BTS119</t>
  </si>
  <si>
    <t>79939-X7A01</t>
  </si>
  <si>
    <t>TFC015</t>
  </si>
  <si>
    <t>79977-X1B21</t>
  </si>
  <si>
    <t>NIT001</t>
  </si>
  <si>
    <t>79977-X7V09</t>
  </si>
  <si>
    <t>NIT005</t>
  </si>
  <si>
    <t>79989-X7A00</t>
  </si>
  <si>
    <t>MIY045</t>
  </si>
  <si>
    <t>79989-X7V00</t>
  </si>
  <si>
    <t>YDT038</t>
  </si>
  <si>
    <t>79989-X7V01</t>
  </si>
  <si>
    <t>YDT039</t>
  </si>
  <si>
    <t>79989-X7V02</t>
  </si>
  <si>
    <t>YDT040</t>
  </si>
  <si>
    <t>79989-X7V03</t>
  </si>
  <si>
    <t>YDT041</t>
  </si>
  <si>
    <t>79989-X7V04</t>
  </si>
  <si>
    <t>YDT044</t>
  </si>
  <si>
    <t>79989-X7V05</t>
  </si>
  <si>
    <t>YDT045</t>
  </si>
  <si>
    <t>7R421-X7506</t>
  </si>
  <si>
    <t>TTC784</t>
  </si>
  <si>
    <t>7S001-X7A00</t>
  </si>
  <si>
    <t>MIT253</t>
  </si>
  <si>
    <t>7U211-X7V06</t>
  </si>
  <si>
    <t>MIY055</t>
  </si>
  <si>
    <t>7X195-X1G01</t>
  </si>
  <si>
    <t>KEN128</t>
  </si>
  <si>
    <t>7X625-X1G01</t>
  </si>
  <si>
    <t>KEN127</t>
  </si>
  <si>
    <t>7X633-X1G01</t>
  </si>
  <si>
    <t>SNA024</t>
  </si>
  <si>
    <t>7X633-X7V09</t>
  </si>
  <si>
    <t>MIY058</t>
  </si>
  <si>
    <t>7X691-X1T01</t>
  </si>
  <si>
    <t>TTC782</t>
  </si>
  <si>
    <t>7X691-X7V02</t>
  </si>
  <si>
    <t>MIT235</t>
  </si>
  <si>
    <t>7X691-X7V04</t>
  </si>
  <si>
    <t>MIT251</t>
  </si>
  <si>
    <t>7X692-X1T00</t>
  </si>
  <si>
    <t>TTC783</t>
  </si>
  <si>
    <t>7X692-X7V03</t>
  </si>
  <si>
    <t>MIT236</t>
  </si>
  <si>
    <t>7X692-X7V04</t>
  </si>
  <si>
    <t>MIT252</t>
  </si>
  <si>
    <t>7X696-X1G01</t>
  </si>
  <si>
    <t>HYS052</t>
  </si>
  <si>
    <t>7X697-X1G01</t>
  </si>
  <si>
    <t>HYS053</t>
  </si>
  <si>
    <t>7X697-X7V17</t>
  </si>
  <si>
    <t>EMP001</t>
  </si>
  <si>
    <t>ENSHU</t>
  </si>
  <si>
    <t>7X697-X7V18</t>
  </si>
  <si>
    <t>EMP003</t>
  </si>
  <si>
    <t>7X697-X7V19</t>
  </si>
  <si>
    <t>EMP005</t>
  </si>
  <si>
    <t>7X697-X7V20</t>
  </si>
  <si>
    <t>EMP007</t>
  </si>
  <si>
    <t>7X698-X7V11</t>
  </si>
  <si>
    <t>EMP002</t>
  </si>
  <si>
    <t>7X698-X7V12</t>
  </si>
  <si>
    <t>EMP004</t>
  </si>
  <si>
    <t>7X698-X7V13</t>
  </si>
  <si>
    <t>EMP006</t>
  </si>
  <si>
    <t>7X698-X7V14</t>
  </si>
  <si>
    <t>EMP008</t>
  </si>
  <si>
    <t>7X707-X1700</t>
  </si>
  <si>
    <t>TTC743</t>
  </si>
  <si>
    <t>7X707-X7V01</t>
  </si>
  <si>
    <t>MIY059</t>
  </si>
  <si>
    <t>7X721-X1G01</t>
  </si>
  <si>
    <t>BTS145</t>
  </si>
  <si>
    <t>7X721-X7V05</t>
  </si>
  <si>
    <t>MIY060</t>
  </si>
  <si>
    <t>7X722-X7V04</t>
  </si>
  <si>
    <t>MIY061</t>
  </si>
  <si>
    <t>7X723-X1G01</t>
  </si>
  <si>
    <t>BTS146</t>
  </si>
  <si>
    <t>7X723-X7U00</t>
  </si>
  <si>
    <t>BTS164</t>
  </si>
  <si>
    <t>7X723-X7V08</t>
  </si>
  <si>
    <t>MIY062</t>
  </si>
  <si>
    <t>7X723-X7V10</t>
  </si>
  <si>
    <t>NFC001</t>
  </si>
  <si>
    <t>NIFCO</t>
  </si>
  <si>
    <t>7X724-X7U00</t>
  </si>
  <si>
    <t>BTS165</t>
  </si>
  <si>
    <t>7X724-X7V03</t>
  </si>
  <si>
    <t>MIY063</t>
  </si>
  <si>
    <t>7X724-X7V05</t>
  </si>
  <si>
    <t>NFC002</t>
  </si>
  <si>
    <t>7X731-X1G01</t>
  </si>
  <si>
    <t>HYS054</t>
  </si>
  <si>
    <t>7X732-X1G01</t>
  </si>
  <si>
    <t>HYS055</t>
  </si>
  <si>
    <t>7X735-X1G00</t>
  </si>
  <si>
    <t>NIT004</t>
  </si>
  <si>
    <t>7X735-X7V05</t>
  </si>
  <si>
    <t>EMP009</t>
  </si>
  <si>
    <t>7X735-X7V06</t>
  </si>
  <si>
    <t>NFC003</t>
  </si>
  <si>
    <t>7X735-X7V07</t>
  </si>
  <si>
    <t>NFC004</t>
  </si>
  <si>
    <t>7X741-X1G01</t>
  </si>
  <si>
    <t>SOB360</t>
  </si>
  <si>
    <t>7X749-X1G03</t>
  </si>
  <si>
    <t>MIT215</t>
  </si>
  <si>
    <t>7X749-X1G04</t>
  </si>
  <si>
    <t>MIT216</t>
  </si>
  <si>
    <t>7X749-X1G05</t>
  </si>
  <si>
    <t>MIT217</t>
  </si>
  <si>
    <t>7X749-X7V08</t>
  </si>
  <si>
    <t>MIT231</t>
  </si>
  <si>
    <t>7X749-X7V09</t>
  </si>
  <si>
    <t>MIT232</t>
  </si>
  <si>
    <t>7X749-X7V10</t>
  </si>
  <si>
    <t>MIT233</t>
  </si>
  <si>
    <t>7X749-X7V11</t>
  </si>
  <si>
    <t>MIT234</t>
  </si>
  <si>
    <t>81126-X1M00</t>
  </si>
  <si>
    <t>SNA028</t>
  </si>
  <si>
    <t>81126-X1V04</t>
  </si>
  <si>
    <t>SOB295</t>
  </si>
  <si>
    <t>81559-X1701</t>
  </si>
  <si>
    <t>BTS081</t>
  </si>
  <si>
    <t>81559-X1702</t>
  </si>
  <si>
    <t>BTS082</t>
  </si>
  <si>
    <t>81559-X1E01</t>
  </si>
  <si>
    <t>SNA025</t>
  </si>
  <si>
    <t>81559-X1E02</t>
  </si>
  <si>
    <t>SNA026</t>
  </si>
  <si>
    <t>81559-X1M11</t>
  </si>
  <si>
    <t>SMP019</t>
  </si>
  <si>
    <t>81559-X1M13</t>
  </si>
  <si>
    <t>SMP012</t>
  </si>
  <si>
    <t>81559-X1V00</t>
  </si>
  <si>
    <t>SNA062</t>
  </si>
  <si>
    <t>CFP-13</t>
  </si>
  <si>
    <t>81559-X7A00</t>
  </si>
  <si>
    <t>AP1-22</t>
  </si>
  <si>
    <t>81559-X7V11</t>
  </si>
  <si>
    <t>SNA034</t>
  </si>
  <si>
    <t>84136-X1400</t>
  </si>
  <si>
    <t>MIT125</t>
  </si>
  <si>
    <t>84136-X1401</t>
  </si>
  <si>
    <t>MIT126</t>
  </si>
  <si>
    <t>84136-X1F06</t>
  </si>
  <si>
    <t>MIT139</t>
  </si>
  <si>
    <t>89105-47030</t>
  </si>
  <si>
    <t>TTC758</t>
  </si>
  <si>
    <t>89106-47030</t>
  </si>
  <si>
    <t>TTC759</t>
  </si>
  <si>
    <t>89911-X1041</t>
  </si>
  <si>
    <t>MIT172</t>
  </si>
  <si>
    <t>89911-X1043</t>
  </si>
  <si>
    <t>TTC775</t>
  </si>
  <si>
    <t>89911-X1700</t>
  </si>
  <si>
    <t>TTC661</t>
  </si>
  <si>
    <t>89911-X1B05</t>
  </si>
  <si>
    <t>TTC687</t>
  </si>
  <si>
    <t>89911-X1B05-00</t>
  </si>
  <si>
    <t>MIT228</t>
  </si>
  <si>
    <t>89911-X1B06</t>
  </si>
  <si>
    <t>TTC688</t>
  </si>
  <si>
    <t>89911-X1B06-00</t>
  </si>
  <si>
    <t>MIT229</t>
  </si>
  <si>
    <t>89911-X1F04</t>
  </si>
  <si>
    <t>TTC659</t>
  </si>
  <si>
    <t>89911-X1F05</t>
  </si>
  <si>
    <t>TTC652</t>
  </si>
  <si>
    <t>89911-X1F07</t>
  </si>
  <si>
    <t>TTC650</t>
  </si>
  <si>
    <t>89911-X7046</t>
  </si>
  <si>
    <t>SHI216</t>
  </si>
  <si>
    <t>89911-X7048</t>
  </si>
  <si>
    <t>SHI217</t>
  </si>
  <si>
    <t>89911-X7127</t>
  </si>
  <si>
    <t>MIT238</t>
  </si>
  <si>
    <t>89911-X7128</t>
  </si>
  <si>
    <t>MIT239</t>
  </si>
  <si>
    <t>89916-X1034</t>
  </si>
  <si>
    <t>SKM002</t>
  </si>
  <si>
    <t>SK MEIDOH</t>
  </si>
  <si>
    <t>89916-X7068</t>
  </si>
  <si>
    <t>SKM001</t>
  </si>
  <si>
    <t>89916-X7075</t>
  </si>
  <si>
    <t>TTC692</t>
  </si>
  <si>
    <t>89916-X7075-00</t>
  </si>
  <si>
    <t>AOY011</t>
  </si>
  <si>
    <t>89916-X7125</t>
  </si>
  <si>
    <t>FUJ067</t>
  </si>
  <si>
    <t>89923-X1068</t>
  </si>
  <si>
    <t>TTC752</t>
  </si>
  <si>
    <t>89923-X1400</t>
  </si>
  <si>
    <t>MIT127</t>
  </si>
  <si>
    <t>89923-X7A00</t>
  </si>
  <si>
    <t>TTC519</t>
  </si>
  <si>
    <t>89936-X7012</t>
  </si>
  <si>
    <t>SCS001</t>
  </si>
  <si>
    <t>SUMMIT CHUGOKU</t>
  </si>
  <si>
    <t>89936-X7013</t>
  </si>
  <si>
    <t>SCS002</t>
  </si>
  <si>
    <t>89936-X7014</t>
  </si>
  <si>
    <t>SCS003</t>
  </si>
  <si>
    <t>89951-X7020</t>
  </si>
  <si>
    <t>HYS034</t>
  </si>
  <si>
    <t>89951-X7024</t>
  </si>
  <si>
    <t>HYS022</t>
  </si>
  <si>
    <t>89951-X7025</t>
  </si>
  <si>
    <t>HYS023</t>
  </si>
  <si>
    <t>89951-X7027</t>
  </si>
  <si>
    <t>HYS038</t>
  </si>
  <si>
    <t>89951-X7040</t>
  </si>
  <si>
    <t>HYS047</t>
  </si>
  <si>
    <t>89953-X1037</t>
  </si>
  <si>
    <t>HYS008</t>
  </si>
  <si>
    <t>89953-X1069</t>
  </si>
  <si>
    <t>HYS010</t>
  </si>
  <si>
    <t>89953-X1131</t>
  </si>
  <si>
    <t>HYS056</t>
  </si>
  <si>
    <t>89953-X1145</t>
  </si>
  <si>
    <t>HYS060</t>
  </si>
  <si>
    <t>89953-X1146</t>
  </si>
  <si>
    <t>HYS061</t>
  </si>
  <si>
    <t>89953-X1153</t>
  </si>
  <si>
    <t>HYS069</t>
  </si>
  <si>
    <t>89953-X1154</t>
  </si>
  <si>
    <t>HYS070</t>
  </si>
  <si>
    <t>89953-X1401</t>
  </si>
  <si>
    <t>HYS005</t>
  </si>
  <si>
    <t>89953-X1404</t>
  </si>
  <si>
    <t>HYS006</t>
  </si>
  <si>
    <t>89953-X1M14</t>
  </si>
  <si>
    <t>TTC665</t>
  </si>
  <si>
    <t>89953-X7011</t>
  </si>
  <si>
    <t>HYS017</t>
  </si>
  <si>
    <t>89953-X7014</t>
  </si>
  <si>
    <t>HYS040</t>
  </si>
  <si>
    <t>89953-X7015</t>
  </si>
  <si>
    <t>HYS039</t>
  </si>
  <si>
    <t>89953-X7017</t>
  </si>
  <si>
    <t>HYS037</t>
  </si>
  <si>
    <t>89953-X7019</t>
  </si>
  <si>
    <t>HYS025</t>
  </si>
  <si>
    <t>89953-X7020</t>
  </si>
  <si>
    <t>HYS024</t>
  </si>
  <si>
    <t>89953-X7029</t>
  </si>
  <si>
    <t>HYS043</t>
  </si>
  <si>
    <t>89953-X7037</t>
  </si>
  <si>
    <t>HYS044</t>
  </si>
  <si>
    <t>89953-X7040</t>
  </si>
  <si>
    <t>HYS045</t>
  </si>
  <si>
    <t>89953-X7041</t>
  </si>
  <si>
    <t>HYS046</t>
  </si>
  <si>
    <t>89953-X7058</t>
  </si>
  <si>
    <t>HYS058</t>
  </si>
  <si>
    <t>89953-X7062</t>
  </si>
  <si>
    <t>HYS059</t>
  </si>
  <si>
    <t>89953-X7129</t>
  </si>
  <si>
    <t>HYS062</t>
  </si>
  <si>
    <t>89953-X7A01</t>
  </si>
  <si>
    <t>HYS016</t>
  </si>
  <si>
    <t>89953-X7A07</t>
  </si>
  <si>
    <t>HYS001</t>
  </si>
  <si>
    <t>89953-X7A08</t>
  </si>
  <si>
    <t>HYS002</t>
  </si>
  <si>
    <t>89953-X7A09</t>
  </si>
  <si>
    <t>HYS003</t>
  </si>
  <si>
    <t>89953-X7A11</t>
  </si>
  <si>
    <t>HYS004</t>
  </si>
  <si>
    <t>89953-X7A13</t>
  </si>
  <si>
    <t>HYS007</t>
  </si>
  <si>
    <t>89962-X1060</t>
  </si>
  <si>
    <t>TFC001</t>
  </si>
  <si>
    <t>89962-X1068</t>
  </si>
  <si>
    <t>TFC009</t>
  </si>
  <si>
    <t>89962-X1069</t>
  </si>
  <si>
    <t>TFC010</t>
  </si>
  <si>
    <t>89962-X1400</t>
  </si>
  <si>
    <t>TTC609</t>
  </si>
  <si>
    <t>89962-X1401</t>
  </si>
  <si>
    <t>TTC610</t>
  </si>
  <si>
    <t>89962-X1402</t>
  </si>
  <si>
    <t>TTC611</t>
  </si>
  <si>
    <t>89962-X1403</t>
  </si>
  <si>
    <t>TTC612</t>
  </si>
  <si>
    <t>89962-X1404</t>
  </si>
  <si>
    <t>TTC613</t>
  </si>
  <si>
    <t>89962-X1405</t>
  </si>
  <si>
    <t>TTC614</t>
  </si>
  <si>
    <t>89962-X1406</t>
  </si>
  <si>
    <t>TTC615</t>
  </si>
  <si>
    <t>89962-X1407</t>
  </si>
  <si>
    <t>TTC616</t>
  </si>
  <si>
    <t>89962-X1408</t>
  </si>
  <si>
    <t>TTC617</t>
  </si>
  <si>
    <t>89962-X1409</t>
  </si>
  <si>
    <t>TTC618</t>
  </si>
  <si>
    <t>89962-X1410</t>
  </si>
  <si>
    <t>TTC619</t>
  </si>
  <si>
    <t>89962-X1411</t>
  </si>
  <si>
    <t>TTC620</t>
  </si>
  <si>
    <t>89962-X1413</t>
  </si>
  <si>
    <t>TTC621</t>
  </si>
  <si>
    <t>89962-X1414</t>
  </si>
  <si>
    <t>TTC622</t>
  </si>
  <si>
    <t>89962-X1415</t>
  </si>
  <si>
    <t>TTC623</t>
  </si>
  <si>
    <t>89962-X1416</t>
  </si>
  <si>
    <t>TTC624</t>
  </si>
  <si>
    <t>89962-X1417</t>
  </si>
  <si>
    <t>TTC625</t>
  </si>
  <si>
    <t>89962-X1418</t>
  </si>
  <si>
    <t>TTC626</t>
  </si>
  <si>
    <t>89962-X1419</t>
  </si>
  <si>
    <t>TTC627</t>
  </si>
  <si>
    <t>89962-X1420</t>
  </si>
  <si>
    <t>TTC628</t>
  </si>
  <si>
    <t>89962-X1F00</t>
  </si>
  <si>
    <t>TTC637</t>
  </si>
  <si>
    <t>89962-X1F01</t>
  </si>
  <si>
    <t>TTC638</t>
  </si>
  <si>
    <t>89962-X1F02</t>
  </si>
  <si>
    <t>TTC639</t>
  </si>
  <si>
    <t>89962-X1F03</t>
  </si>
  <si>
    <t>TTC640</t>
  </si>
  <si>
    <t>89962-X1F04</t>
  </si>
  <si>
    <t>TTC641</t>
  </si>
  <si>
    <t>89962-X1F05</t>
  </si>
  <si>
    <t>TTC642</t>
  </si>
  <si>
    <t>89962-X1F06</t>
  </si>
  <si>
    <t>TTC643</t>
  </si>
  <si>
    <t>89962-X1F07</t>
  </si>
  <si>
    <t>TTC644</t>
  </si>
  <si>
    <t>89962-X1F08</t>
  </si>
  <si>
    <t>TTC645</t>
  </si>
  <si>
    <t>89962-X1F09</t>
  </si>
  <si>
    <t>TTC646</t>
  </si>
  <si>
    <t>89962-X1F10</t>
  </si>
  <si>
    <t>TTC647</t>
  </si>
  <si>
    <t>89962-X7011</t>
  </si>
  <si>
    <t>DTT008</t>
  </si>
  <si>
    <t>89962-X7012</t>
  </si>
  <si>
    <t>DTT009</t>
  </si>
  <si>
    <t>89962-X7013</t>
  </si>
  <si>
    <t>DTT010</t>
  </si>
  <si>
    <t>89962-X7014</t>
  </si>
  <si>
    <t>DTT011</t>
  </si>
  <si>
    <t>89962-X7015</t>
  </si>
  <si>
    <t>DTT012</t>
  </si>
  <si>
    <t>89962-X7016</t>
  </si>
  <si>
    <t>DTT013</t>
  </si>
  <si>
    <t>89962-X7017</t>
  </si>
  <si>
    <t>DTT014</t>
  </si>
  <si>
    <t>89962-X7018</t>
  </si>
  <si>
    <t>DTT015</t>
  </si>
  <si>
    <t>89962-X7019</t>
  </si>
  <si>
    <t>DTT016</t>
  </si>
  <si>
    <t>89962-X7A01</t>
  </si>
  <si>
    <t>TTC523</t>
  </si>
  <si>
    <t>89962-X7A02</t>
  </si>
  <si>
    <t>TTC524</t>
  </si>
  <si>
    <t>89962-X7A03</t>
  </si>
  <si>
    <t>MIT173</t>
  </si>
  <si>
    <t>89962-X7A04</t>
  </si>
  <si>
    <t>MIT174</t>
  </si>
  <si>
    <t>89962-X7A05</t>
  </si>
  <si>
    <t>MIT175</t>
  </si>
  <si>
    <t>89962-X7A06</t>
  </si>
  <si>
    <t>MIT176</t>
  </si>
  <si>
    <t>89962-X7A07</t>
  </si>
  <si>
    <t>MIT177</t>
  </si>
  <si>
    <t>89962-X7A08</t>
  </si>
  <si>
    <t>MIT178</t>
  </si>
  <si>
    <t>89962-X7A09</t>
  </si>
  <si>
    <t>TTC531</t>
  </si>
  <si>
    <t>89966-X1039</t>
  </si>
  <si>
    <t>ETT005</t>
  </si>
  <si>
    <t>89966-X1055</t>
  </si>
  <si>
    <t>MIT223</t>
  </si>
  <si>
    <t>89966-X1403</t>
  </si>
  <si>
    <t>MIT124</t>
  </si>
  <si>
    <t>89966-X1404</t>
  </si>
  <si>
    <t>MIT115</t>
  </si>
  <si>
    <t>89966-X1B00</t>
  </si>
  <si>
    <t>MIT163</t>
  </si>
  <si>
    <t>89966-X1C00</t>
  </si>
  <si>
    <t>MIT220</t>
  </si>
  <si>
    <t>89966-X7024</t>
  </si>
  <si>
    <t>MIT249</t>
  </si>
  <si>
    <t>89966-X7025</t>
  </si>
  <si>
    <t>ETT006</t>
  </si>
  <si>
    <t>89966-X7A03</t>
  </si>
  <si>
    <t>TTC511</t>
  </si>
  <si>
    <t>89966-X7A07</t>
  </si>
  <si>
    <t>FUJ061</t>
  </si>
  <si>
    <t>89966-X7A07-00</t>
  </si>
  <si>
    <t>MIT207</t>
  </si>
  <si>
    <t>89978-X1042</t>
  </si>
  <si>
    <t>BTS077</t>
  </si>
  <si>
    <t>89978-X1B01</t>
  </si>
  <si>
    <t>BTS062</t>
  </si>
  <si>
    <t>89978-X1C02</t>
  </si>
  <si>
    <t>BTS063</t>
  </si>
  <si>
    <t>89978-X7A00</t>
  </si>
  <si>
    <t>BTS022</t>
  </si>
  <si>
    <t>90080-17110</t>
  </si>
  <si>
    <t>TTC513</t>
  </si>
  <si>
    <t>90168-50078</t>
  </si>
  <si>
    <t>SAC010</t>
  </si>
  <si>
    <t>90174-08039</t>
  </si>
  <si>
    <t>AOY004</t>
  </si>
  <si>
    <t>90174-10025</t>
  </si>
  <si>
    <t>AOY008</t>
  </si>
  <si>
    <t>90179-10065</t>
  </si>
  <si>
    <t>TTC762</t>
  </si>
  <si>
    <t>90201-06008</t>
  </si>
  <si>
    <t>BTS099</t>
  </si>
  <si>
    <t>90201-06472</t>
  </si>
  <si>
    <t>TTC568</t>
  </si>
  <si>
    <t>90201-06472-00</t>
  </si>
  <si>
    <t>SNA003</t>
  </si>
  <si>
    <t>90201-07008</t>
  </si>
  <si>
    <t>BTS121</t>
  </si>
  <si>
    <t>90201-08002</t>
  </si>
  <si>
    <t>CHU050</t>
  </si>
  <si>
    <t>90201-08571</t>
  </si>
  <si>
    <t>TTC578</t>
  </si>
  <si>
    <t>90201-08571-00</t>
  </si>
  <si>
    <t>SNA004</t>
  </si>
  <si>
    <t>90243-X1402</t>
  </si>
  <si>
    <t>MIT123</t>
  </si>
  <si>
    <t>90269-04010</t>
  </si>
  <si>
    <t>TTC636</t>
  </si>
  <si>
    <t>90269-05046</t>
  </si>
  <si>
    <t>FUJ060</t>
  </si>
  <si>
    <t>90560-08084-00</t>
  </si>
  <si>
    <t>SNA002</t>
  </si>
  <si>
    <t>91115-X1400</t>
  </si>
  <si>
    <t>TTC631</t>
  </si>
  <si>
    <t>91115-X1405</t>
  </si>
  <si>
    <t>MIT132</t>
  </si>
  <si>
    <t>92612-X1400</t>
  </si>
  <si>
    <t>TTC629</t>
  </si>
  <si>
    <t>93510-14010</t>
  </si>
  <si>
    <t>TFC011</t>
  </si>
  <si>
    <t>94151-80800</t>
  </si>
  <si>
    <t>AOY006</t>
  </si>
  <si>
    <t>94223-80800</t>
  </si>
  <si>
    <t>AOY002</t>
  </si>
  <si>
    <t>94223-81000</t>
  </si>
  <si>
    <t>AOY003</t>
  </si>
  <si>
    <t>96160-00600</t>
  </si>
  <si>
    <t>TFT001</t>
  </si>
  <si>
    <t>TOPY</t>
  </si>
  <si>
    <t>A8S01-IMV</t>
  </si>
  <si>
    <t>A8S01I</t>
  </si>
  <si>
    <t>A8S02-IMV</t>
  </si>
  <si>
    <t>A8S02I</t>
  </si>
  <si>
    <t>A8S03-IMV</t>
  </si>
  <si>
    <t>A8S03I</t>
  </si>
  <si>
    <t>A8S04-IMV</t>
  </si>
  <si>
    <t>A8S04I</t>
  </si>
  <si>
    <t>AC-131</t>
  </si>
  <si>
    <t>PAR010</t>
  </si>
  <si>
    <t>AD-4813</t>
  </si>
  <si>
    <t>PAR007</t>
  </si>
  <si>
    <t>AD-4856</t>
  </si>
  <si>
    <t>PAR008</t>
  </si>
  <si>
    <t>ARM-S001</t>
  </si>
  <si>
    <t>SUS206</t>
  </si>
  <si>
    <t>ARM-S002</t>
  </si>
  <si>
    <t>SUS207</t>
  </si>
  <si>
    <t>ARM-S003</t>
  </si>
  <si>
    <t>SUS210</t>
  </si>
  <si>
    <t>AS01-IMV</t>
  </si>
  <si>
    <t>AS01-I</t>
  </si>
  <si>
    <t>AS02-IMV</t>
  </si>
  <si>
    <t>AS02-I</t>
  </si>
  <si>
    <t>AS03-IMV</t>
  </si>
  <si>
    <t>AS03-I</t>
  </si>
  <si>
    <t>AS04-IMV</t>
  </si>
  <si>
    <t>AS04-I</t>
  </si>
  <si>
    <t>AS05-IMV</t>
  </si>
  <si>
    <t>AS05-I</t>
  </si>
  <si>
    <t>AS06-IMV</t>
  </si>
  <si>
    <t>AS06-I</t>
  </si>
  <si>
    <t>AS07-IMV</t>
  </si>
  <si>
    <t>AS07-I</t>
  </si>
  <si>
    <t>ASACLEAN-NEWEX</t>
  </si>
  <si>
    <t>CSC001</t>
  </si>
  <si>
    <t>AWSDM-KRC28</t>
  </si>
  <si>
    <t>BWT003</t>
  </si>
  <si>
    <t>BANGKOK WELDING</t>
  </si>
  <si>
    <t>B1120-07642</t>
  </si>
  <si>
    <t>TOP324</t>
  </si>
  <si>
    <t>B1120-07744</t>
  </si>
  <si>
    <t>TOP323</t>
  </si>
  <si>
    <t>B1120-08674</t>
  </si>
  <si>
    <t>TOP315</t>
  </si>
  <si>
    <t>B1120-08735</t>
  </si>
  <si>
    <t>TOP314</t>
  </si>
  <si>
    <t>B1120-08740</t>
  </si>
  <si>
    <t>TOP313</t>
  </si>
  <si>
    <t>B1120-08764</t>
  </si>
  <si>
    <t>TOP310</t>
  </si>
  <si>
    <t>B1120-08910</t>
  </si>
  <si>
    <t>TOP318</t>
  </si>
  <si>
    <t>B1120-08920</t>
  </si>
  <si>
    <t>TOP316</t>
  </si>
  <si>
    <t>B1127-12802</t>
  </si>
  <si>
    <t>TOP311</t>
  </si>
  <si>
    <t>B1127-12848</t>
  </si>
  <si>
    <t>TOP312</t>
  </si>
  <si>
    <t>B1127-202783</t>
  </si>
  <si>
    <t>TOP319</t>
  </si>
  <si>
    <t>B1127-204062</t>
  </si>
  <si>
    <t>TOP320</t>
  </si>
  <si>
    <t>B1127-204168</t>
  </si>
  <si>
    <t>TOP321</t>
  </si>
  <si>
    <t>B1127-204225</t>
  </si>
  <si>
    <t>TOP317</t>
  </si>
  <si>
    <t>B1127-205869</t>
  </si>
  <si>
    <t>TOP322</t>
  </si>
  <si>
    <t>B3222-20514-0</t>
  </si>
  <si>
    <t>PSP001</t>
  </si>
  <si>
    <t>CA8-S10-CAMRY</t>
  </si>
  <si>
    <t>AS05-C</t>
  </si>
  <si>
    <t>CA8-S11-CAMRY</t>
  </si>
  <si>
    <t>AS06-C</t>
  </si>
  <si>
    <t>CA8-S1-CAMRY</t>
  </si>
  <si>
    <t>A8S03C</t>
  </si>
  <si>
    <t>CA8-S2-CAMRY</t>
  </si>
  <si>
    <t>A8S04C</t>
  </si>
  <si>
    <t>CA8-S3-CAMRY</t>
  </si>
  <si>
    <t>A8S05C</t>
  </si>
  <si>
    <t>CA8-S4-CAMRY</t>
  </si>
  <si>
    <t>A8S06C</t>
  </si>
  <si>
    <t>CA8-S5-CAMRY</t>
  </si>
  <si>
    <t>AS01-C</t>
  </si>
  <si>
    <t>CA8-S5-EFC</t>
  </si>
  <si>
    <t>AS01-E</t>
  </si>
  <si>
    <t>CA8-S6-CAMRY</t>
  </si>
  <si>
    <t>AS02-C</t>
  </si>
  <si>
    <t>CA8-S6-EFC</t>
  </si>
  <si>
    <t>AS02-E</t>
  </si>
  <si>
    <t>CA8-S7-CAMRY</t>
  </si>
  <si>
    <t>AS07-C</t>
  </si>
  <si>
    <t>CA8-S8-CAMRY</t>
  </si>
  <si>
    <t>AS03-C</t>
  </si>
  <si>
    <t>CA8-S8-EFC</t>
  </si>
  <si>
    <t>AS03-E</t>
  </si>
  <si>
    <t>CA8-S9-CAMRY</t>
  </si>
  <si>
    <t>AS04-C</t>
  </si>
  <si>
    <t>CA8-S9-EFC</t>
  </si>
  <si>
    <t>AS04-E</t>
  </si>
  <si>
    <t>CLOTH-WASTE</t>
  </si>
  <si>
    <t>BSL200</t>
  </si>
  <si>
    <t>COTTON-GLOVE</t>
  </si>
  <si>
    <t>RIP200</t>
  </si>
  <si>
    <t>COTTON-GLOVEW</t>
  </si>
  <si>
    <t>VAR200</t>
  </si>
  <si>
    <t>CRAYON-BLACK</t>
  </si>
  <si>
    <t>BSP221</t>
  </si>
  <si>
    <t>CRAYON-BLUE</t>
  </si>
  <si>
    <t>BSP224</t>
  </si>
  <si>
    <t>CRAYON-GREEN</t>
  </si>
  <si>
    <t>BSP222</t>
  </si>
  <si>
    <t>CRAYON-PINK</t>
  </si>
  <si>
    <t>BSP217</t>
  </si>
  <si>
    <t>CRAYON-RED</t>
  </si>
  <si>
    <t>BSP223</t>
  </si>
  <si>
    <t>CRAYON-SKYBLUE</t>
  </si>
  <si>
    <t>BSP215</t>
  </si>
  <si>
    <t>CRAYON-WHITE</t>
  </si>
  <si>
    <t>BSP214</t>
  </si>
  <si>
    <t>CRAYON-YELLOW</t>
  </si>
  <si>
    <t>BSP216</t>
  </si>
  <si>
    <t>CTI-S1</t>
  </si>
  <si>
    <t>CTI-S1-T</t>
  </si>
  <si>
    <t>CTIS1T</t>
  </si>
  <si>
    <t>CTI-S2</t>
  </si>
  <si>
    <t>CTI-S2-T</t>
  </si>
  <si>
    <t>CTIS2T</t>
  </si>
  <si>
    <t>CTI-S3</t>
  </si>
  <si>
    <t>CTI-S3-T</t>
  </si>
  <si>
    <t>CTIS3T</t>
  </si>
  <si>
    <t>CTI-S4</t>
  </si>
  <si>
    <t>CTI-S4-T</t>
  </si>
  <si>
    <t>CTIS4T</t>
  </si>
  <si>
    <t>CTI-S5</t>
  </si>
  <si>
    <t>CTI-S5-T</t>
  </si>
  <si>
    <t>CTIS5T</t>
  </si>
  <si>
    <t>CTI-S6</t>
  </si>
  <si>
    <t>CTI-S6-T</t>
  </si>
  <si>
    <t>CTIS6T</t>
  </si>
  <si>
    <t>CTI-S7</t>
  </si>
  <si>
    <t>CTI-S7-T</t>
  </si>
  <si>
    <t>CTIS7T</t>
  </si>
  <si>
    <t>CTI-S8</t>
  </si>
  <si>
    <t>CTI-S8-T</t>
  </si>
  <si>
    <t>CTIS8T</t>
  </si>
  <si>
    <t>CTO-S1</t>
  </si>
  <si>
    <t>CTO-S1-T</t>
  </si>
  <si>
    <t>CTOS1T</t>
  </si>
  <si>
    <t>CTO-S2</t>
  </si>
  <si>
    <t>CTO-S2-T</t>
  </si>
  <si>
    <t>CTOS2T</t>
  </si>
  <si>
    <t>CTO-S3</t>
  </si>
  <si>
    <t>CTO-S3-T</t>
  </si>
  <si>
    <t>CTOS3T</t>
  </si>
  <si>
    <t>CTO-S4</t>
  </si>
  <si>
    <t>CTO-S4-T</t>
  </si>
  <si>
    <t>CTOS4T</t>
  </si>
  <si>
    <t>CTO-S5</t>
  </si>
  <si>
    <t>CTO-S5-T</t>
  </si>
  <si>
    <t>CTOS5T</t>
  </si>
  <si>
    <t>CTO-S6</t>
  </si>
  <si>
    <t>CTO-S6-T</t>
  </si>
  <si>
    <t>CTOS6T</t>
  </si>
  <si>
    <t>CTO-S7</t>
  </si>
  <si>
    <t>CTO-S7-T</t>
  </si>
  <si>
    <t>CTOS7T</t>
  </si>
  <si>
    <t>CTO-S8</t>
  </si>
  <si>
    <t>CTO-S8-T</t>
  </si>
  <si>
    <t>CTOS8T</t>
  </si>
  <si>
    <t>DBA11-X1691</t>
  </si>
  <si>
    <t>SNA044</t>
  </si>
  <si>
    <t>DBA11-X1692</t>
  </si>
  <si>
    <t>SNA045</t>
  </si>
  <si>
    <t>DBA11-X1693</t>
  </si>
  <si>
    <t>SNA046</t>
  </si>
  <si>
    <t>DBA11-X1694</t>
  </si>
  <si>
    <t>SNA047</t>
  </si>
  <si>
    <t>ELECRON-E</t>
  </si>
  <si>
    <t>KSP004</t>
  </si>
  <si>
    <t>THAI KANSAI</t>
  </si>
  <si>
    <t>ELECRON-F1</t>
  </si>
  <si>
    <t>KSP001</t>
  </si>
  <si>
    <t>ELECRON-F2</t>
  </si>
  <si>
    <t>KSP002</t>
  </si>
  <si>
    <t>ELECRON-N1</t>
  </si>
  <si>
    <t>KSP003</t>
  </si>
  <si>
    <t>ET-S6</t>
  </si>
  <si>
    <t>ET-S7</t>
  </si>
  <si>
    <t>ETSL-01</t>
  </si>
  <si>
    <t>ETSL01</t>
  </si>
  <si>
    <t>ETSL-02</t>
  </si>
  <si>
    <t>ETSL02</t>
  </si>
  <si>
    <t>ETSL-03</t>
  </si>
  <si>
    <t>ETSL03</t>
  </si>
  <si>
    <t>ETSL-04</t>
  </si>
  <si>
    <t>ETSL04</t>
  </si>
  <si>
    <t>FACE-MASK</t>
  </si>
  <si>
    <t>NNK200</t>
  </si>
  <si>
    <t>FACE-MASK-00</t>
  </si>
  <si>
    <t>SUS200</t>
  </si>
  <si>
    <t>FACE-MASK-01</t>
  </si>
  <si>
    <t>SUS214</t>
  </si>
  <si>
    <t>FC-T5008</t>
  </si>
  <si>
    <t>PAR003</t>
  </si>
  <si>
    <t>G150-GOLD</t>
  </si>
  <si>
    <t>BSP210</t>
  </si>
  <si>
    <t>G150-WHITE</t>
  </si>
  <si>
    <t>BSP211</t>
  </si>
  <si>
    <t>GLOVE-KEVLAR</t>
  </si>
  <si>
    <t>LPP200</t>
  </si>
  <si>
    <t>GLOVE-TC001</t>
  </si>
  <si>
    <t>SUS205</t>
  </si>
  <si>
    <t>GLOVE-TOWA851</t>
  </si>
  <si>
    <t>SUS211</t>
  </si>
  <si>
    <t>GLOVE-TOWA851L</t>
  </si>
  <si>
    <t>SUS212</t>
  </si>
  <si>
    <t>GREAS-AC-P</t>
  </si>
  <si>
    <t>SOJ607</t>
  </si>
  <si>
    <t>SOJITA</t>
  </si>
  <si>
    <t>GREAS-G1060</t>
  </si>
  <si>
    <t>ELE001</t>
  </si>
  <si>
    <t>ELEMATEC</t>
  </si>
  <si>
    <t>GREAS-MA012</t>
  </si>
  <si>
    <t>SOJ600</t>
  </si>
  <si>
    <t>GREAS-MA021</t>
  </si>
  <si>
    <t>SOJ602</t>
  </si>
  <si>
    <t>GREAS-PASTE</t>
  </si>
  <si>
    <t>ELE003</t>
  </si>
  <si>
    <t>GREAS-SL-D2</t>
  </si>
  <si>
    <t>SOJ606</t>
  </si>
  <si>
    <t>JSC98-10670</t>
  </si>
  <si>
    <t>MSA001</t>
  </si>
  <si>
    <t>K177N-BLACK</t>
  </si>
  <si>
    <t>MZW001</t>
  </si>
  <si>
    <t>K177N-BLUE</t>
  </si>
  <si>
    <t>MZW002</t>
  </si>
  <si>
    <t>K177N-GOLD</t>
  </si>
  <si>
    <t>MZW009</t>
  </si>
  <si>
    <t>K177N-GREEN</t>
  </si>
  <si>
    <t>MZW003</t>
  </si>
  <si>
    <t>K177N-ORANGE</t>
  </si>
  <si>
    <t>MZW007</t>
  </si>
  <si>
    <t>K177N-PINK</t>
  </si>
  <si>
    <t>MZW004</t>
  </si>
  <si>
    <t>K177N-RED</t>
  </si>
  <si>
    <t>MZW005</t>
  </si>
  <si>
    <t>K177N-VIOLET</t>
  </si>
  <si>
    <t>MZW008</t>
  </si>
  <si>
    <t>K177N-YELLOW</t>
  </si>
  <si>
    <t>MZW006</t>
  </si>
  <si>
    <t>K910-BLACK</t>
  </si>
  <si>
    <t>CSP200</t>
  </si>
  <si>
    <t>KEVLAR-L3</t>
  </si>
  <si>
    <t>SUS213</t>
  </si>
  <si>
    <t>KISDM-KRC28</t>
  </si>
  <si>
    <t>BWT001</t>
  </si>
  <si>
    <t>KISRO-KRC28</t>
  </si>
  <si>
    <t>BWT002</t>
  </si>
  <si>
    <t>MASK-CARBON</t>
  </si>
  <si>
    <t>VAR201</t>
  </si>
  <si>
    <t>MASK-M2</t>
  </si>
  <si>
    <t>VAR202</t>
  </si>
  <si>
    <t>NIPPECO-LTM</t>
  </si>
  <si>
    <t>NPC001</t>
  </si>
  <si>
    <t>NITRILE-GLOVES</t>
  </si>
  <si>
    <t>LPP203</t>
  </si>
  <si>
    <t>NITRILE-LARGE</t>
  </si>
  <si>
    <t>SUS202</t>
  </si>
  <si>
    <t>NITRILE-MEDIUM</t>
  </si>
  <si>
    <t>SUS201</t>
  </si>
  <si>
    <t>NITRILE-TONGA-L</t>
  </si>
  <si>
    <t>LPP202</t>
  </si>
  <si>
    <t>NITRILE-TONGA-M</t>
  </si>
  <si>
    <t>LPP201</t>
  </si>
  <si>
    <t>NITRIL-GLOVE</t>
  </si>
  <si>
    <t>CCI201</t>
  </si>
  <si>
    <t>NITRIM-GLOVE</t>
  </si>
  <si>
    <t>CCI200</t>
  </si>
  <si>
    <t>NSSW-YM28</t>
  </si>
  <si>
    <t>NRI001</t>
  </si>
  <si>
    <t>NIPPON RIKA</t>
  </si>
  <si>
    <t>NT-4055</t>
  </si>
  <si>
    <t>PAR009</t>
  </si>
  <si>
    <t>NYLON-1015G</t>
  </si>
  <si>
    <t>TTC103</t>
  </si>
  <si>
    <t>UBE</t>
  </si>
  <si>
    <t>NYLON-PUG001M</t>
  </si>
  <si>
    <t>SUS203</t>
  </si>
  <si>
    <t>NYLON-PUG001S</t>
  </si>
  <si>
    <t>SUS204</t>
  </si>
  <si>
    <t>NYLON-RESIN</t>
  </si>
  <si>
    <t>DUP001</t>
  </si>
  <si>
    <t>OT-S10</t>
  </si>
  <si>
    <t>OT-S10-T</t>
  </si>
  <si>
    <t>OT-10T</t>
  </si>
  <si>
    <t>OT-S11</t>
  </si>
  <si>
    <t>OT-S12</t>
  </si>
  <si>
    <t>OT-S13</t>
  </si>
  <si>
    <t>OT-S14</t>
  </si>
  <si>
    <t>OT-S19</t>
  </si>
  <si>
    <t>OT-S20</t>
  </si>
  <si>
    <t>OT-S5</t>
  </si>
  <si>
    <t>OT-S5-T</t>
  </si>
  <si>
    <t>OT-S5T</t>
  </si>
  <si>
    <t>OT-S6</t>
  </si>
  <si>
    <t>OT-S6-T</t>
  </si>
  <si>
    <t>OT-S6T</t>
  </si>
  <si>
    <t>OT-S7</t>
  </si>
  <si>
    <t>OT-S7-T</t>
  </si>
  <si>
    <t>OT-S7T</t>
  </si>
  <si>
    <t>OT-S8</t>
  </si>
  <si>
    <t>OT-S8-T</t>
  </si>
  <si>
    <t>OT-S8T</t>
  </si>
  <si>
    <t>OT-S9</t>
  </si>
  <si>
    <t>OT-S9-T</t>
  </si>
  <si>
    <t>OT-S9T</t>
  </si>
  <si>
    <t>PALFOS-525TD</t>
  </si>
  <si>
    <t>PAR011</t>
  </si>
  <si>
    <t>PALFOS-PF525T</t>
  </si>
  <si>
    <t>PAR002</t>
  </si>
  <si>
    <t>PAPER-TAPE</t>
  </si>
  <si>
    <t>SUS208</t>
  </si>
  <si>
    <t>PAPER-TAPE1</t>
  </si>
  <si>
    <t>SUS209</t>
  </si>
  <si>
    <t>PB-LT5103M</t>
  </si>
  <si>
    <t>PAR005</t>
  </si>
  <si>
    <t>PB-LT5103R</t>
  </si>
  <si>
    <t>PAR006</t>
  </si>
  <si>
    <t>PK-T4910N</t>
  </si>
  <si>
    <t>PIC002</t>
  </si>
  <si>
    <t>PLASBAG-CHC</t>
  </si>
  <si>
    <t>PTP001</t>
  </si>
  <si>
    <t>PLASBAG-RRC</t>
  </si>
  <si>
    <t>PTP002</t>
  </si>
  <si>
    <t>PL-ZN</t>
  </si>
  <si>
    <t>PAR004</t>
  </si>
  <si>
    <t>PRETON-R337W</t>
  </si>
  <si>
    <t>SUN001</t>
  </si>
  <si>
    <t>TOP SUN</t>
  </si>
  <si>
    <t>PX20-BLACK</t>
  </si>
  <si>
    <t>BSP201</t>
  </si>
  <si>
    <t>PX20-BLUE</t>
  </si>
  <si>
    <t>BSP202</t>
  </si>
  <si>
    <t>PX20-GOLD</t>
  </si>
  <si>
    <t>BSP209</t>
  </si>
  <si>
    <t>PX20-GREEN</t>
  </si>
  <si>
    <t>BSP203</t>
  </si>
  <si>
    <t>PX20-ORANGE</t>
  </si>
  <si>
    <t>BSP204</t>
  </si>
  <si>
    <t>PX20-PINK</t>
  </si>
  <si>
    <t>BSP200</t>
  </si>
  <si>
    <t>PX20-RED</t>
  </si>
  <si>
    <t>BSP205</t>
  </si>
  <si>
    <t>PX20-VIOLET</t>
  </si>
  <si>
    <t>BSP208</t>
  </si>
  <si>
    <t>PX20-WHITE</t>
  </si>
  <si>
    <t>BSP206</t>
  </si>
  <si>
    <t>PX20-YELLOW</t>
  </si>
  <si>
    <t>BSP207</t>
  </si>
  <si>
    <t>PX21-BLACK</t>
  </si>
  <si>
    <t>BSP226</t>
  </si>
  <si>
    <t>PX21-BLUE</t>
  </si>
  <si>
    <t>BSP225</t>
  </si>
  <si>
    <t>PX21-GOLD</t>
  </si>
  <si>
    <t>BSP231</t>
  </si>
  <si>
    <t>PX21-GREEN</t>
  </si>
  <si>
    <t>BSP228</t>
  </si>
  <si>
    <t>PX21-ORANGE</t>
  </si>
  <si>
    <t>BSP229</t>
  </si>
  <si>
    <t>PX21-PINK</t>
  </si>
  <si>
    <t>BSP230</t>
  </si>
  <si>
    <t>PX21-RED</t>
  </si>
  <si>
    <t>BSP227</t>
  </si>
  <si>
    <t>PX21-WHITE</t>
  </si>
  <si>
    <t>BSP213</t>
  </si>
  <si>
    <t>PX21-YELLOW</t>
  </si>
  <si>
    <t>BSP212</t>
  </si>
  <si>
    <t>S28CBA-2075</t>
  </si>
  <si>
    <t>HAN123</t>
  </si>
  <si>
    <t>S28CBA-26142</t>
  </si>
  <si>
    <t>HAN124</t>
  </si>
  <si>
    <t>S28CBA-29136</t>
  </si>
  <si>
    <t>HAN125</t>
  </si>
  <si>
    <t>S28CBA-4376</t>
  </si>
  <si>
    <t>HAN034</t>
  </si>
  <si>
    <t>SCP-KA125</t>
  </si>
  <si>
    <t>SCC003</t>
  </si>
  <si>
    <t>SIAM CARTON</t>
  </si>
  <si>
    <t>SCP-KA125-TG</t>
  </si>
  <si>
    <t>SCC004</t>
  </si>
  <si>
    <t>SOL-3-32</t>
  </si>
  <si>
    <t>BSP220</t>
  </si>
  <si>
    <t>SOLVEST-114-00</t>
  </si>
  <si>
    <t>STT001</t>
  </si>
  <si>
    <t>SOLVEST-141</t>
  </si>
  <si>
    <t>STT002</t>
  </si>
  <si>
    <t>SPC44-10412</t>
  </si>
  <si>
    <t>HAN105</t>
  </si>
  <si>
    <t>SPC44-10440</t>
  </si>
  <si>
    <t>TTC056</t>
  </si>
  <si>
    <t>SPC44-10446</t>
  </si>
  <si>
    <t>HAN115</t>
  </si>
  <si>
    <t>SPC44-10464</t>
  </si>
  <si>
    <t>HAN120</t>
  </si>
  <si>
    <t>SPC44-10465</t>
  </si>
  <si>
    <t>HAN102</t>
  </si>
  <si>
    <t>SPC44-10465-T</t>
  </si>
  <si>
    <t>HAN112</t>
  </si>
  <si>
    <t>SPC44-10466</t>
  </si>
  <si>
    <t>HAN106</t>
  </si>
  <si>
    <t>SPC44-10471</t>
  </si>
  <si>
    <t>HAN083</t>
  </si>
  <si>
    <t>SPC44-10485</t>
  </si>
  <si>
    <t>HAN081</t>
  </si>
  <si>
    <t>SPC44-10492</t>
  </si>
  <si>
    <t>TTC069</t>
  </si>
  <si>
    <t>SPC44-10496</t>
  </si>
  <si>
    <t>TTC058</t>
  </si>
  <si>
    <t>SPC44-12128</t>
  </si>
  <si>
    <t>TTC002</t>
  </si>
  <si>
    <t>SPC44-12425</t>
  </si>
  <si>
    <t>TTC068</t>
  </si>
  <si>
    <t>SPC44-12433</t>
  </si>
  <si>
    <t>TTC057</t>
  </si>
  <si>
    <t>SPC44-12574</t>
  </si>
  <si>
    <t>TTC038</t>
  </si>
  <si>
    <t>SPC44-14436</t>
  </si>
  <si>
    <t>TTC070</t>
  </si>
  <si>
    <t>SPC59-07517</t>
  </si>
  <si>
    <t>HAN088</t>
  </si>
  <si>
    <t>SPC59-12519</t>
  </si>
  <si>
    <t>HAN100</t>
  </si>
  <si>
    <t>SPC59-12519-N</t>
  </si>
  <si>
    <t>HAN126</t>
  </si>
  <si>
    <t>SPC59-12573</t>
  </si>
  <si>
    <t>HAN116</t>
  </si>
  <si>
    <t>SPC59-12581</t>
  </si>
  <si>
    <t>HAN101</t>
  </si>
  <si>
    <t>SPC59-14333</t>
  </si>
  <si>
    <t>HAN098</t>
  </si>
  <si>
    <t>SPC59-14454</t>
  </si>
  <si>
    <t>TTC019</t>
  </si>
  <si>
    <t>SPC59-14487</t>
  </si>
  <si>
    <t>HAN091</t>
  </si>
  <si>
    <t>SPC59-14508</t>
  </si>
  <si>
    <t>HAN089</t>
  </si>
  <si>
    <t>SPC59-14561</t>
  </si>
  <si>
    <t>TTC063</t>
  </si>
  <si>
    <t>SPC59-14571</t>
  </si>
  <si>
    <t>TTC037</t>
  </si>
  <si>
    <t>SPC59-16480</t>
  </si>
  <si>
    <t>TTC040</t>
  </si>
  <si>
    <t>SPC59-16513</t>
  </si>
  <si>
    <t>HAN090</t>
  </si>
  <si>
    <t>SPC59-16515</t>
  </si>
  <si>
    <t>HAN092</t>
  </si>
  <si>
    <t>SPC59-16529</t>
  </si>
  <si>
    <t>TTC039</t>
  </si>
  <si>
    <t>SPC59-18430</t>
  </si>
  <si>
    <t>TTC028</t>
  </si>
  <si>
    <t>SPC59-18452</t>
  </si>
  <si>
    <t>TTC024</t>
  </si>
  <si>
    <t>SPC59DU-14163</t>
  </si>
  <si>
    <t>HAN122</t>
  </si>
  <si>
    <t>SPC98-10630</t>
  </si>
  <si>
    <t>HAN082</t>
  </si>
  <si>
    <t>SPC98-12478</t>
  </si>
  <si>
    <t>HAN118</t>
  </si>
  <si>
    <t>SPC98-14381-1</t>
  </si>
  <si>
    <t>HAN046</t>
  </si>
  <si>
    <t>SPC98-14417-1</t>
  </si>
  <si>
    <t>HAN047</t>
  </si>
  <si>
    <t>SPC98-14417-R</t>
  </si>
  <si>
    <t>HAN093</t>
  </si>
  <si>
    <t>SPC98-14418</t>
  </si>
  <si>
    <t>HAN119</t>
  </si>
  <si>
    <t>SPC98-14439-1</t>
  </si>
  <si>
    <t>HAN045</t>
  </si>
  <si>
    <t>SPC98-14449-1</t>
  </si>
  <si>
    <t>HAN072</t>
  </si>
  <si>
    <t>SPC98-14467</t>
  </si>
  <si>
    <t>HAN110</t>
  </si>
  <si>
    <t>SPC98-14482</t>
  </si>
  <si>
    <t>HAN104</t>
  </si>
  <si>
    <t>SPC98-14510-1</t>
  </si>
  <si>
    <t>HAN041</t>
  </si>
  <si>
    <t>SPC98-14520</t>
  </si>
  <si>
    <t>HAN094</t>
  </si>
  <si>
    <t>SPH27-14190-1</t>
  </si>
  <si>
    <t>HAN032</t>
  </si>
  <si>
    <t>SPH27-18158</t>
  </si>
  <si>
    <t>HAN059</t>
  </si>
  <si>
    <t>SPH27-18272</t>
  </si>
  <si>
    <t>HAN073</t>
  </si>
  <si>
    <t>SPH44-14432</t>
  </si>
  <si>
    <t>TTC003</t>
  </si>
  <si>
    <t>SPH44-14556</t>
  </si>
  <si>
    <t>HAN004</t>
  </si>
  <si>
    <t>SPH44-14568</t>
  </si>
  <si>
    <t>HAN015</t>
  </si>
  <si>
    <t>SPH44-18220</t>
  </si>
  <si>
    <t>TTC016</t>
  </si>
  <si>
    <t>SPH44-18314</t>
  </si>
  <si>
    <t>TTC065</t>
  </si>
  <si>
    <t>SPH44-18408</t>
  </si>
  <si>
    <t>TTC005</t>
  </si>
  <si>
    <t>SPH44-18453</t>
  </si>
  <si>
    <t>TTC055</t>
  </si>
  <si>
    <t>SPH44-18917</t>
  </si>
  <si>
    <t>HAN006</t>
  </si>
  <si>
    <t>SPH44-20220</t>
  </si>
  <si>
    <t>HAN097</t>
  </si>
  <si>
    <t>SPH44-20291</t>
  </si>
  <si>
    <t>TTC021</t>
  </si>
  <si>
    <t>SPH44-20308</t>
  </si>
  <si>
    <t>TTC022</t>
  </si>
  <si>
    <t>SPH44-20347</t>
  </si>
  <si>
    <t>TTC066</t>
  </si>
  <si>
    <t>SPH44-20350</t>
  </si>
  <si>
    <t>TTC048</t>
  </si>
  <si>
    <t>SPH44-20364</t>
  </si>
  <si>
    <t>TTC050</t>
  </si>
  <si>
    <t>SPH44-23228</t>
  </si>
  <si>
    <t>HAN087</t>
  </si>
  <si>
    <t>SPH44-23291</t>
  </si>
  <si>
    <t>TTC049</t>
  </si>
  <si>
    <t>SPH44-23306</t>
  </si>
  <si>
    <t>TTC051</t>
  </si>
  <si>
    <t>SPH44-23466</t>
  </si>
  <si>
    <t>HAN020</t>
  </si>
  <si>
    <t>SPH44-23506</t>
  </si>
  <si>
    <t>TTC029</t>
  </si>
  <si>
    <t>SPH44-26305</t>
  </si>
  <si>
    <t>TTC054</t>
  </si>
  <si>
    <t>SPH44-26306</t>
  </si>
  <si>
    <t>TTC023</t>
  </si>
  <si>
    <t>SPH44-26318</t>
  </si>
  <si>
    <t>TTC052</t>
  </si>
  <si>
    <t>SPH44-26320</t>
  </si>
  <si>
    <t>TTC030</t>
  </si>
  <si>
    <t>SPH44-26321</t>
  </si>
  <si>
    <t>HAN109</t>
  </si>
  <si>
    <t>SPH44-29268</t>
  </si>
  <si>
    <t>TTC067</t>
  </si>
  <si>
    <t>SPH44-29295</t>
  </si>
  <si>
    <t>HAN108</t>
  </si>
  <si>
    <t>SPH44-29316</t>
  </si>
  <si>
    <t>HAN074</t>
  </si>
  <si>
    <t>SPH44-29320</t>
  </si>
  <si>
    <t>TTC084</t>
  </si>
  <si>
    <t>SPH44-29323</t>
  </si>
  <si>
    <t>HAN085</t>
  </si>
  <si>
    <t>SPH44-29326</t>
  </si>
  <si>
    <t>TTC071</t>
  </si>
  <si>
    <t>SPH44-29333</t>
  </si>
  <si>
    <t>HAN107</t>
  </si>
  <si>
    <t>SPH44-32190</t>
  </si>
  <si>
    <t>TTC061</t>
  </si>
  <si>
    <t>SPH44-32297</t>
  </si>
  <si>
    <t>TTC017</t>
  </si>
  <si>
    <t>SPH44-32355</t>
  </si>
  <si>
    <t>TTC018</t>
  </si>
  <si>
    <t>SPH44-32355-1</t>
  </si>
  <si>
    <t>HAN018</t>
  </si>
  <si>
    <t>SPH44-32361</t>
  </si>
  <si>
    <t>HAN076</t>
  </si>
  <si>
    <t>SPH44-40190</t>
  </si>
  <si>
    <t>TTC062</t>
  </si>
  <si>
    <t>SPH44-40259</t>
  </si>
  <si>
    <t>HAN078</t>
  </si>
  <si>
    <t>SPH44-40288</t>
  </si>
  <si>
    <t>TTC009</t>
  </si>
  <si>
    <t>SPH44-40293</t>
  </si>
  <si>
    <t>TTC031</t>
  </si>
  <si>
    <t>SPH44-4384</t>
  </si>
  <si>
    <t>HAN033</t>
  </si>
  <si>
    <t>SPH44-4386</t>
  </si>
  <si>
    <t>HAN099</t>
  </si>
  <si>
    <t>SPH44-4388</t>
  </si>
  <si>
    <t>HAN096</t>
  </si>
  <si>
    <t>SPH44-4663</t>
  </si>
  <si>
    <t>HAN084</t>
  </si>
  <si>
    <t>SPH44-4668</t>
  </si>
  <si>
    <t>HAN035</t>
  </si>
  <si>
    <t>SPH44-4694</t>
  </si>
  <si>
    <t>HAN037</t>
  </si>
  <si>
    <t>SPH59-16237</t>
  </si>
  <si>
    <t>HAN095</t>
  </si>
  <si>
    <t>SPH59-16565</t>
  </si>
  <si>
    <t>HAN026</t>
  </si>
  <si>
    <t>SPH59-16583</t>
  </si>
  <si>
    <t>TTC027</t>
  </si>
  <si>
    <t>SPH59-18438</t>
  </si>
  <si>
    <t>TTC010</t>
  </si>
  <si>
    <t>SPH59-18502</t>
  </si>
  <si>
    <t>HAN011</t>
  </si>
  <si>
    <t>SPH59-20412</t>
  </si>
  <si>
    <t>HAN117</t>
  </si>
  <si>
    <t>SPH59-20425</t>
  </si>
  <si>
    <t>TTC053</t>
  </si>
  <si>
    <t>SPH59-20450</t>
  </si>
  <si>
    <t>TTC012</t>
  </si>
  <si>
    <t>SPH59-23246</t>
  </si>
  <si>
    <t>TTC025</t>
  </si>
  <si>
    <t>SPH59-23391</t>
  </si>
  <si>
    <t>TTC085</t>
  </si>
  <si>
    <t>SPH59-26247</t>
  </si>
  <si>
    <t>HAN111</t>
  </si>
  <si>
    <t>SPH59-26362</t>
  </si>
  <si>
    <t>HAN113</t>
  </si>
  <si>
    <t>SPH59-29249</t>
  </si>
  <si>
    <t>HAN114</t>
  </si>
  <si>
    <t>SPH59-32202</t>
  </si>
  <si>
    <t>HAN086</t>
  </si>
  <si>
    <t>SPH59-32208</t>
  </si>
  <si>
    <t>TTC043</t>
  </si>
  <si>
    <t>SPH59-32215</t>
  </si>
  <si>
    <t>TTC042</t>
  </si>
  <si>
    <t>SPH59-36150</t>
  </si>
  <si>
    <t>HAN121</t>
  </si>
  <si>
    <t>SPH59-40257</t>
  </si>
  <si>
    <t>HAN077</t>
  </si>
  <si>
    <t>SPH59-40332</t>
  </si>
  <si>
    <t>TTC014</t>
  </si>
  <si>
    <t>SSPSFRL-0000</t>
  </si>
  <si>
    <t>SNA019</t>
  </si>
  <si>
    <t>SSPSFRL-0001</t>
  </si>
  <si>
    <t>SNA020</t>
  </si>
  <si>
    <t>STSG-3BLACK</t>
  </si>
  <si>
    <t>BSP219</t>
  </si>
  <si>
    <t>STSG-3WHITE</t>
  </si>
  <si>
    <t>BSP218</t>
  </si>
  <si>
    <t>SUNFB-688P</t>
  </si>
  <si>
    <t>SUN003</t>
  </si>
  <si>
    <t>SUNS-484P</t>
  </si>
  <si>
    <t>SUN002</t>
  </si>
  <si>
    <t>TKBJ-PALLET2</t>
  </si>
  <si>
    <t>TKB002</t>
  </si>
  <si>
    <t>TUS19-D</t>
  </si>
  <si>
    <t>TUS19D</t>
  </si>
  <si>
    <t>TUS20-D</t>
  </si>
  <si>
    <t>TUS20D</t>
  </si>
  <si>
    <t>TUS21-D</t>
  </si>
  <si>
    <t>TUS21D</t>
  </si>
  <si>
    <t>TUS22-D</t>
  </si>
  <si>
    <t>TUS22D</t>
  </si>
  <si>
    <t>U05B1S0720241</t>
  </si>
  <si>
    <t>SAC008</t>
  </si>
  <si>
    <t>U05B1S0720251</t>
  </si>
  <si>
    <t>SAC007</t>
  </si>
  <si>
    <t>U05B1S0720291</t>
  </si>
  <si>
    <t>HYS048</t>
  </si>
  <si>
    <t>U05B1S0720301</t>
  </si>
  <si>
    <t>SAC006</t>
  </si>
  <si>
    <t>U05F2B4210161</t>
  </si>
  <si>
    <t>SNA018</t>
  </si>
  <si>
    <t>U05F2B4650031</t>
  </si>
  <si>
    <t>SNA015</t>
  </si>
  <si>
    <t>U05F2B4650041</t>
  </si>
  <si>
    <t>SNA016</t>
  </si>
  <si>
    <t>U05F2B4650051</t>
  </si>
  <si>
    <t>SNA017</t>
  </si>
  <si>
    <t>U05F2B4650071</t>
  </si>
  <si>
    <t>SNA014</t>
  </si>
  <si>
    <t>U05F2B4650081</t>
  </si>
  <si>
    <t>SNA009</t>
  </si>
  <si>
    <t>U05F2B4650091</t>
  </si>
  <si>
    <t>SAC009</t>
  </si>
  <si>
    <t>U05F2B4650101</t>
  </si>
  <si>
    <t>SNA006</t>
  </si>
  <si>
    <t>U05Z1B4100301</t>
  </si>
  <si>
    <t>SNA005</t>
  </si>
  <si>
    <t>U05Z1B4100321</t>
  </si>
  <si>
    <t>SNA007</t>
  </si>
  <si>
    <t>U05Z1B4100331</t>
  </si>
  <si>
    <t>SNA008</t>
  </si>
  <si>
    <t>U05Z1B4100341</t>
  </si>
  <si>
    <t>SNA010</t>
  </si>
  <si>
    <t>U05Z1B4100351</t>
  </si>
  <si>
    <t>SNA011</t>
  </si>
  <si>
    <t>U05Z1B4100371</t>
  </si>
  <si>
    <t>SNA012</t>
  </si>
  <si>
    <t>U05Z1B4100421</t>
  </si>
  <si>
    <t>SNA013</t>
  </si>
  <si>
    <t>U05Z2B4100011</t>
  </si>
  <si>
    <t>ETT004</t>
  </si>
  <si>
    <t>UN007</t>
  </si>
  <si>
    <t>TTC405</t>
  </si>
  <si>
    <t>UN007-1</t>
  </si>
  <si>
    <t>TTC406</t>
  </si>
  <si>
    <t>YA064-00222-00</t>
  </si>
  <si>
    <t>ACL001</t>
  </si>
  <si>
    <t>AICELLO</t>
  </si>
  <si>
    <t>YA064-00225-00</t>
  </si>
  <si>
    <t>PPP001</t>
  </si>
  <si>
    <t>YA065-00314-00</t>
  </si>
  <si>
    <t>TVT001</t>
  </si>
  <si>
    <t>YA067-00733-00</t>
  </si>
  <si>
    <t>SCC002</t>
  </si>
  <si>
    <t>YA069-01137-00</t>
  </si>
  <si>
    <t>SCC001</t>
  </si>
  <si>
    <t>YA069-01137-01</t>
  </si>
  <si>
    <t>SCC005</t>
  </si>
  <si>
    <t>YM28-ECO-DM</t>
  </si>
  <si>
    <t>TWD001</t>
  </si>
  <si>
    <t>ZFS240-30008</t>
  </si>
  <si>
    <t>ZST002</t>
  </si>
  <si>
    <t>ZFS265-40008</t>
  </si>
  <si>
    <t>ZST001</t>
  </si>
  <si>
    <t>Note</t>
  </si>
  <si>
    <t>Change From 71848-X7V01 (TTC721)</t>
  </si>
  <si>
    <t>D03B</t>
  </si>
  <si>
    <t>INVENTORY LIST OF WORK IN PROCESS</t>
  </si>
  <si>
    <t>LOCATION</t>
  </si>
  <si>
    <t>ALL</t>
  </si>
  <si>
    <t>LIST NO.</t>
  </si>
  <si>
    <t>PD-01</t>
  </si>
  <si>
    <t>to</t>
  </si>
  <si>
    <t>PD-101</t>
  </si>
  <si>
    <t>TAG NO.</t>
  </si>
  <si>
    <t>NO</t>
  </si>
  <si>
    <t>SHOOTER</t>
  </si>
  <si>
    <t>BACK NO.</t>
  </si>
  <si>
    <t>PARTS NO.</t>
  </si>
  <si>
    <t>PART NAME</t>
  </si>
  <si>
    <t>UNIT COUNT</t>
  </si>
  <si>
    <t>COUNT</t>
  </si>
  <si>
    <t>CTA-S</t>
  </si>
  <si>
    <t>SCREW SUB-ASSY</t>
  </si>
  <si>
    <t>PCS.</t>
  </si>
  <si>
    <t>SCREW S/A</t>
  </si>
  <si>
    <t>STOPPER S/A</t>
  </si>
  <si>
    <t>BACKET SUB-ASSY, HOUSING SPT A. NO.1</t>
  </si>
  <si>
    <t>PD-02</t>
  </si>
  <si>
    <t>EA4</t>
  </si>
  <si>
    <t xml:space="preserve">90174-10025    </t>
  </si>
  <si>
    <t>NUT, WELD</t>
  </si>
  <si>
    <t xml:space="preserve">72522-X1V12    </t>
  </si>
  <si>
    <t>ARM, RECLINING ADJUSTER, LWR LH</t>
  </si>
  <si>
    <t xml:space="preserve">72521-X1V12    </t>
  </si>
  <si>
    <t>ARM, RECLINING ADJUSTER, LWR RH</t>
  </si>
  <si>
    <t>ARM, RECLINING ADJUSTER LWR LH(M4)</t>
  </si>
  <si>
    <t>72521-X7V47-P</t>
  </si>
  <si>
    <t>ARM, RECLINING ADJUSTER LWR RH(M4)</t>
  </si>
  <si>
    <t>MIT151</t>
  </si>
  <si>
    <t>89911-X1B02</t>
  </si>
  <si>
    <t>WASHER,PLATE</t>
  </si>
  <si>
    <t>12/1</t>
  </si>
  <si>
    <t>EA4-04</t>
  </si>
  <si>
    <t>72504-X1V21</t>
  </si>
  <si>
    <t>12/2</t>
  </si>
  <si>
    <t>EA4-03</t>
  </si>
  <si>
    <t>72503-X1V21</t>
  </si>
  <si>
    <t>PD-03</t>
  </si>
  <si>
    <t>ETO6</t>
  </si>
  <si>
    <t>NUT, FLANGE</t>
  </si>
  <si>
    <t>BAR, VERTICAL ADJUSTER TORSION, RH</t>
  </si>
  <si>
    <t>BAR, VERTICAL ADJUSTER TORSION, LH</t>
  </si>
  <si>
    <t>COVER,SEAT TRACK UPR RAIL,RH</t>
  </si>
  <si>
    <t>PIN, VERTICAL ADJUSTER, NO.4</t>
  </si>
  <si>
    <t>BRACKET,FR SEAT SET,No.3</t>
  </si>
  <si>
    <t>BRACKET,FR SEAT SET,No.4</t>
  </si>
  <si>
    <t>BRACKET,SEAT TRACK, NO.2</t>
  </si>
  <si>
    <t>PD-04</t>
  </si>
  <si>
    <t>ET-S</t>
  </si>
  <si>
    <t>BRACKET FR INNER SEAT TRACK LW</t>
  </si>
  <si>
    <t xml:space="preserve">72117-X1V09    </t>
  </si>
  <si>
    <t>RAIL, FR SEAT TRACK LWR INNER</t>
  </si>
  <si>
    <t xml:space="preserve">72145-X1V04    </t>
  </si>
  <si>
    <t>BRACKET, FR INNER SEAT TRACK, LWR FR RH</t>
  </si>
  <si>
    <t xml:space="preserve">72146-X1V06    </t>
  </si>
  <si>
    <t xml:space="preserve">72141-X1V08    </t>
  </si>
  <si>
    <t>BRACKET, FR OUTER SEAT TRACK, LWR FR RH</t>
  </si>
  <si>
    <t xml:space="preserve">72142-X1V08    </t>
  </si>
  <si>
    <t>BRACKET, FR OUTER SEAT TRACK, LWR FR LH</t>
  </si>
  <si>
    <t>72104-X1V10</t>
  </si>
  <si>
    <t>RAIL SUB-ASSY, FR INNER SEAT TRACK, LWR</t>
  </si>
  <si>
    <t>PIN, FR SEAT LOCATION</t>
  </si>
  <si>
    <t>33/1</t>
  </si>
  <si>
    <t>PD-05</t>
  </si>
  <si>
    <t>ETSL</t>
  </si>
  <si>
    <t>RAIL SEAT TRACK LWR INNER MNL</t>
  </si>
  <si>
    <t>BRACKET, FR OUTER SEAT TRACK, LWR RR LH</t>
  </si>
  <si>
    <t>72101-X1V16</t>
  </si>
  <si>
    <t>BRACKET SUB-ASSY, FR INN SEAT TRACK, RH</t>
  </si>
  <si>
    <t>72102-X1V13</t>
  </si>
  <si>
    <t>BRACKET SUB-ASSY, FR INN SEAT TRACK, LH</t>
  </si>
  <si>
    <t>72101-X1V17</t>
  </si>
  <si>
    <t>BRACKET SUB-ASSY, OUT SEAT TRACK, LWR RH</t>
  </si>
  <si>
    <t>72102-X1V14</t>
  </si>
  <si>
    <t>BRACKET SUB-ASSY, FR OUT SEAT TRACK, LH</t>
  </si>
  <si>
    <t>SEAT TRACK LWR RAIL SUB-ASSY RH OUT</t>
  </si>
  <si>
    <t>SEAT TRACK LWR RAIL SUB-ASSY LH OUT</t>
  </si>
  <si>
    <t>SEAT TRACK LWR RAIL SUB-ASSY RH INN</t>
  </si>
  <si>
    <t>SEAT TRACK LWR RAIL SUB-ASSY LH INN</t>
  </si>
  <si>
    <t>72101-X1711</t>
  </si>
  <si>
    <t>FR BKT RH OUT</t>
  </si>
  <si>
    <t>72101-X1713</t>
  </si>
  <si>
    <t>FR BKT LH OUT</t>
  </si>
  <si>
    <t>72102-X1709</t>
  </si>
  <si>
    <t>FR BKT RH INN</t>
  </si>
  <si>
    <t>72102-X1710</t>
  </si>
  <si>
    <t>FR BKT LH INN</t>
  </si>
  <si>
    <t>BRACKET,FR INNER SEAT TRACK,LWR RR RH</t>
  </si>
  <si>
    <t>BRACKET,FR INNER SEAT TRACK,LWR RR LH</t>
  </si>
  <si>
    <t>PLATE SUB-ASSY,FR SEAT CUSHION</t>
  </si>
  <si>
    <t>PD-06</t>
  </si>
  <si>
    <t>OTA</t>
  </si>
  <si>
    <t>BOLT</t>
  </si>
  <si>
    <t xml:space="preserve">94151-80800    </t>
  </si>
  <si>
    <t>SCREW SUB ASSY</t>
  </si>
  <si>
    <t>CTU-S5</t>
  </si>
  <si>
    <t>CTU-S6</t>
  </si>
  <si>
    <t xml:space="preserve">72265-X1V16    </t>
  </si>
  <si>
    <t>RAIL SUB-ASSY,FROUTER SEAT TRACK,LWR</t>
  </si>
  <si>
    <t>COVER SEAT TRACK UPR RAIL</t>
  </si>
  <si>
    <t>RAIL SUB-ASSY, FR INN SEAT TRACK, UPR RH</t>
  </si>
  <si>
    <t>PD-07</t>
  </si>
  <si>
    <t>OT-S</t>
  </si>
  <si>
    <t>PIN,FR SEAT LOCATION</t>
  </si>
  <si>
    <t>PD-08</t>
  </si>
  <si>
    <t>D-TUS</t>
  </si>
  <si>
    <t>72113-X7A02-P</t>
  </si>
  <si>
    <t xml:space="preserve">UPR RAIL BKT  SUB-ASSY  4 WAY RH INN </t>
  </si>
  <si>
    <t>72114-X7A02-P</t>
  </si>
  <si>
    <t xml:space="preserve">UPR RAIL BKT  SUB-ASSY  4 WAY LH INN </t>
  </si>
  <si>
    <t>LOCK SUB-ASSY,SEAT TRACK RH</t>
  </si>
  <si>
    <t>LOCK SUB-ASSY,SEAT TRACK LH</t>
  </si>
  <si>
    <t>TH-S1</t>
  </si>
  <si>
    <t>TH-S2</t>
  </si>
  <si>
    <t>TUS23-I</t>
  </si>
  <si>
    <t>TUS24-I</t>
  </si>
  <si>
    <t>TUS25-I</t>
  </si>
  <si>
    <t>TUS26-I</t>
  </si>
  <si>
    <t>81/1</t>
  </si>
  <si>
    <t>81/2</t>
  </si>
  <si>
    <t>81/3</t>
  </si>
  <si>
    <t>81/4</t>
  </si>
  <si>
    <t>81/5</t>
  </si>
  <si>
    <t>PD-09</t>
  </si>
  <si>
    <t>ITO4-2</t>
  </si>
  <si>
    <t>PROTECTOR, SEAT TRACK LWR RAIL</t>
  </si>
  <si>
    <t>COVER,SEAT TRACK UPR RAIL</t>
  </si>
  <si>
    <t>BRACKET,SEAT TRACK,LWR RR</t>
  </si>
  <si>
    <t>72103-X7A06</t>
  </si>
  <si>
    <t>FR SEAT TRACK LWR RAIL  MNL OUT</t>
  </si>
  <si>
    <t>72104-X7A06</t>
  </si>
  <si>
    <t>FR SEAT TRACK LWR RAIL  MNL RH INN</t>
  </si>
  <si>
    <t>72104-X7A07</t>
  </si>
  <si>
    <t>FR SEAT TRACK LWR RAIL  MNL LH INN</t>
  </si>
  <si>
    <t>BRACKET, SEAT TRACK, NO.2</t>
  </si>
  <si>
    <t>SCREW,TAPPING</t>
  </si>
  <si>
    <t>72107-X7A11</t>
  </si>
  <si>
    <t>RAIL SUB-ASSY, FR OTR SEAT TRACK, UPR RH</t>
  </si>
  <si>
    <t>72107-X7A07</t>
  </si>
  <si>
    <t>RAIL SUB-ASSY, FR OTR SEAT TRACK, UPR LH</t>
  </si>
  <si>
    <t>PD-10</t>
  </si>
  <si>
    <t>ISUZU</t>
  </si>
  <si>
    <t>PLASTIC LEVER</t>
  </si>
  <si>
    <t>SPRING</t>
  </si>
  <si>
    <t>SHAFT</t>
  </si>
  <si>
    <t>PIN A</t>
  </si>
  <si>
    <t>PIN B</t>
  </si>
  <si>
    <t>PIN D</t>
  </si>
  <si>
    <t>BRACKET HINGE A LH</t>
  </si>
  <si>
    <t>BRACKET HINGE A RH</t>
  </si>
  <si>
    <t>BRACKET HINGE B</t>
  </si>
  <si>
    <t>BRACKET HING C LH</t>
  </si>
  <si>
    <t>BRACKET HING C RH</t>
  </si>
  <si>
    <t>HOOK</t>
  </si>
  <si>
    <t>BRACKET STOPPER</t>
  </si>
  <si>
    <t>BRACKET REVER LH</t>
  </si>
  <si>
    <t>BRACKET REVER RH</t>
  </si>
  <si>
    <t>BRACKET SUPPORT HINGE B RH</t>
  </si>
  <si>
    <t>BRACKET SUPPORT HINGE B LH</t>
  </si>
  <si>
    <t>VD00-1</t>
  </si>
  <si>
    <t xml:space="preserve">T05Z1B4100091  </t>
  </si>
  <si>
    <t>HINGE ASSY CTR SEAT</t>
  </si>
  <si>
    <t>VL01-2</t>
  </si>
  <si>
    <t xml:space="preserve">S05F2B4650011  </t>
  </si>
  <si>
    <t>HINGE ASSY CENTER SEAT</t>
  </si>
  <si>
    <t>VL01-3</t>
  </si>
  <si>
    <t xml:space="preserve">S05F2B4650021  </t>
  </si>
  <si>
    <t>HINGE ASSY LH</t>
  </si>
  <si>
    <t>PD-11</t>
  </si>
  <si>
    <t>OTA-2</t>
  </si>
  <si>
    <t>CTUS14</t>
  </si>
  <si>
    <t>SENSOR SUB-ASSY, WEIGHT DETECTOR, FR INN</t>
  </si>
  <si>
    <t>SENSOR SUB-ASSY, WEIGHT DETECTOR, FR OUT</t>
  </si>
  <si>
    <t>NUT</t>
  </si>
  <si>
    <t>PD-12</t>
  </si>
  <si>
    <t>TG-S</t>
  </si>
  <si>
    <t xml:space="preserve">72411-X1B00    </t>
  </si>
  <si>
    <t>GUIDE, SEAT TRACK ROLLER</t>
  </si>
  <si>
    <t xml:space="preserve">72411-X1B01    </t>
  </si>
  <si>
    <t xml:space="preserve">89966-X1B00    </t>
  </si>
  <si>
    <t>RIVET</t>
  </si>
  <si>
    <t xml:space="preserve">72155-X1V05    </t>
  </si>
  <si>
    <t xml:space="preserve">BRACKET,SEAT TRACK HANDLE SUPPORT,RH </t>
  </si>
  <si>
    <t xml:space="preserve">72156-X1V04    </t>
  </si>
  <si>
    <t xml:space="preserve">BRACKET,SEAT TRACK HANDLE SUPPORT,LH    </t>
  </si>
  <si>
    <t xml:space="preserve">89962-X1064    </t>
  </si>
  <si>
    <t xml:space="preserve">89962-X1065    </t>
  </si>
  <si>
    <t xml:space="preserve">89962-X1066    </t>
  </si>
  <si>
    <t xml:space="preserve">89962-X1067    </t>
  </si>
  <si>
    <t xml:space="preserve">89962-X1068    </t>
  </si>
  <si>
    <t>PD-13</t>
  </si>
  <si>
    <t>ITS-LB</t>
  </si>
  <si>
    <t>NUT WELD</t>
  </si>
  <si>
    <t>BRACKET, FR OUT SEAT TRACK UPR RAIL, LH</t>
  </si>
  <si>
    <t>BRACKET, FR OUT SEAT TRACK UPR RAIL, RH</t>
  </si>
  <si>
    <t>BRACKET, SEAT BELT INNER ANCHOR, NO.1 LH</t>
  </si>
  <si>
    <t>BRACKET, SEAT BELT INNER ANCHOR, NO.1 RH</t>
  </si>
  <si>
    <t>TLS-01</t>
  </si>
  <si>
    <t>73011-X1400</t>
  </si>
  <si>
    <t>BRACKET SEAT BELT INNER ANCHOR RH S/A</t>
  </si>
  <si>
    <t>TLS-02</t>
  </si>
  <si>
    <t>73012-X1400</t>
  </si>
  <si>
    <t>BRACKET SEAT BELT INNER ANCHOR LH S/A</t>
  </si>
  <si>
    <t>TLS03-C</t>
  </si>
  <si>
    <t>72106-X1414</t>
  </si>
  <si>
    <t xml:space="preserve">BRACKET FR OUT SEAT TRACK UPR RAIL RH </t>
  </si>
  <si>
    <t>TLS04-C</t>
  </si>
  <si>
    <t>72108-X1421</t>
  </si>
  <si>
    <t xml:space="preserve">BRACKET FR OUT SEAT TRACK UPR RAIL LH </t>
  </si>
  <si>
    <t>TLS-05</t>
  </si>
  <si>
    <t>72106-X1413</t>
  </si>
  <si>
    <t>BRACKET FR OUT SEAT TRACK UPR RAIL RH PWR</t>
  </si>
  <si>
    <t>TLS-06</t>
  </si>
  <si>
    <t>72108-X1416</t>
  </si>
  <si>
    <t>BRACKET FR OUT SEAT TRACK UPR RAIL LH PWR</t>
  </si>
  <si>
    <t>PD-14</t>
  </si>
  <si>
    <t>ED-PAINT</t>
  </si>
  <si>
    <t>BRACKET, FR SEAT COUSHION, RH</t>
  </si>
  <si>
    <t>BRACKET, FR SEAT COUSHION, LH</t>
  </si>
  <si>
    <t>RAIL RR SEAT TRACK UPR</t>
  </si>
  <si>
    <t>72161-X7A04-P</t>
  </si>
  <si>
    <t>72115-X1405-P</t>
  </si>
  <si>
    <t>RAIL, SEAT TRACK,LWR</t>
  </si>
  <si>
    <t>72103-X7V56</t>
  </si>
  <si>
    <t>RAIL SUB-ASSY FR OUTER SEAT TRACK,LWR</t>
  </si>
  <si>
    <t>72104-X7V27</t>
  </si>
  <si>
    <t>RAIL SUB-ASSY FR INNER SEAT TRACK,LWR</t>
  </si>
  <si>
    <t xml:space="preserve">72143-X1V09    </t>
  </si>
  <si>
    <t xml:space="preserve">72144-X1V07    </t>
  </si>
  <si>
    <t>HTLS-S1</t>
  </si>
  <si>
    <t>72103-X7V46</t>
  </si>
  <si>
    <t>RAIL SUB-ASSU FR OUTER SEAT TRACK, LWR</t>
  </si>
  <si>
    <t>HTLS-S2</t>
  </si>
  <si>
    <t>72103-X7V55</t>
  </si>
  <si>
    <t>IOT-S1</t>
  </si>
  <si>
    <t>72103-X7A27</t>
  </si>
  <si>
    <t xml:space="preserve">RAIL SUB-ASSY, FR OUTER SEAT TRACK, LWR </t>
  </si>
  <si>
    <t>IOT-S2</t>
  </si>
  <si>
    <t>72105-X7A22</t>
  </si>
  <si>
    <t xml:space="preserve">RAIL SUB-ASSY, FR OTR SEAT TRACK, UPR RH </t>
  </si>
  <si>
    <t>IOT-S3</t>
  </si>
  <si>
    <t>72104-X7A34</t>
  </si>
  <si>
    <t xml:space="preserve">RAIL SUB-ASSY, FR INN SEAT TRACK, LWR LH </t>
  </si>
  <si>
    <t>IOT-S4</t>
  </si>
  <si>
    <t xml:space="preserve">RAIL SUB-ASSY, FR INN SEAT TRACK, UPR RH </t>
  </si>
  <si>
    <t>RAIL, SUB-ASSY, FR OUTER SEAT TRACK, LWR</t>
  </si>
  <si>
    <t xml:space="preserve">RAIL, SUB-ASSY, FR INNER SEAT TRACK, LWR      </t>
  </si>
  <si>
    <t>341/1</t>
  </si>
  <si>
    <t>341/2</t>
  </si>
  <si>
    <t>341/3</t>
  </si>
  <si>
    <t xml:space="preserve">RAIL, SUB-ASSY, FR INNER SEAT TRACK, LWR  </t>
  </si>
  <si>
    <t xml:space="preserve">RAIL SUB-ASSY, FR OUTER SEAT TRACK, LWR       </t>
  </si>
  <si>
    <t xml:space="preserve">RAIL SUB-ASSY, FR INNER SEAT TRACK, LWR    </t>
  </si>
  <si>
    <t xml:space="preserve">FR BKT RH OUT                      </t>
  </si>
  <si>
    <t xml:space="preserve">FR BKT LH OUT                    </t>
  </si>
  <si>
    <t xml:space="preserve">FR BKT RH INN                 </t>
  </si>
  <si>
    <t xml:space="preserve">FR BKT LH INN                    </t>
  </si>
  <si>
    <t>72103-X7V10</t>
  </si>
  <si>
    <t>RAIL SUB-ASSY, FR OUTER SEAT TRACK, LWR</t>
  </si>
  <si>
    <t>72103-X7V14</t>
  </si>
  <si>
    <t>RAIL SUB-ASSY, FR INN SEAT TRACK, LWR RH</t>
  </si>
  <si>
    <t>72104-X7V08</t>
  </si>
  <si>
    <t>RAIL SUB-ASSY, FR INN SEAT TRACK, LWR LH</t>
  </si>
  <si>
    <t>72103-X7V23</t>
  </si>
  <si>
    <t>72103-X7V24</t>
  </si>
  <si>
    <t>72104-X7V12</t>
  </si>
  <si>
    <t xml:space="preserve">79205-X7A01              </t>
  </si>
  <si>
    <t xml:space="preserve">LEG SUB-ASSY, NO.2 SEAT, RH                  </t>
  </si>
  <si>
    <t xml:space="preserve">LEG SUB-ASSY, NO.2 SEAT, LH                      </t>
  </si>
  <si>
    <t>72115-X1403-P</t>
  </si>
  <si>
    <t>DLR-S1</t>
  </si>
  <si>
    <t>72103-X7V81</t>
  </si>
  <si>
    <t>BRACK LOW RAIL</t>
  </si>
  <si>
    <t>581/1</t>
  </si>
  <si>
    <t>581/2</t>
  </si>
  <si>
    <t>581/3</t>
  </si>
  <si>
    <t>581/4</t>
  </si>
  <si>
    <t>581/5</t>
  </si>
  <si>
    <t>581/6</t>
  </si>
  <si>
    <t>581/7</t>
  </si>
  <si>
    <t>581/8</t>
  </si>
  <si>
    <t>DLR-S2</t>
  </si>
  <si>
    <t>RAIL SEAT REACK LWR</t>
  </si>
  <si>
    <t>72143-X1V09-P</t>
  </si>
  <si>
    <t>592/1</t>
  </si>
  <si>
    <t>RAIL,SEAT TRACK,LWR</t>
  </si>
  <si>
    <t>592/2</t>
  </si>
  <si>
    <t>592/3</t>
  </si>
  <si>
    <t>592/4</t>
  </si>
  <si>
    <t>592/5</t>
  </si>
  <si>
    <t>72144-X1V07-P</t>
  </si>
  <si>
    <t>ITSL3-01</t>
  </si>
  <si>
    <t>72103-X7V67</t>
  </si>
  <si>
    <t>ITSL3-02</t>
  </si>
  <si>
    <t>72103-X7V73</t>
  </si>
  <si>
    <t>ITSL3-03</t>
  </si>
  <si>
    <t>72103-X7V71</t>
  </si>
  <si>
    <t xml:space="preserve">72143-X1704    </t>
  </si>
  <si>
    <t xml:space="preserve">BRACKET,FR OUTER SEAT TRACK,LWR RR RH  </t>
  </si>
  <si>
    <t>BRACKET,FR OUTER SEAT TRACK,LW</t>
  </si>
  <si>
    <t>BRACKET,FR INNER SEAT TRACK,LW</t>
  </si>
  <si>
    <t>PD-15</t>
  </si>
  <si>
    <t xml:space="preserve">QC Check Loop </t>
  </si>
  <si>
    <t>72211-0D160</t>
  </si>
  <si>
    <t>HANDLE, SEAT TRACK ADJUSTING</t>
  </si>
  <si>
    <t>GBO-02</t>
  </si>
  <si>
    <t>72211-0K050</t>
  </si>
  <si>
    <t>HANDLE SEAT TRACK ADJUSTER</t>
  </si>
  <si>
    <t>72211-0K200</t>
  </si>
  <si>
    <t>HANDLE,SEAT TRACK ADJUSTING</t>
  </si>
  <si>
    <t>FELT</t>
  </si>
  <si>
    <t>72211-06150</t>
  </si>
  <si>
    <t xml:space="preserve">HANDLE, SEAT TRACK ADJUSTING </t>
  </si>
  <si>
    <t>PD-16</t>
  </si>
  <si>
    <t>ITI6</t>
  </si>
  <si>
    <t xml:space="preserve">PIN,VERTICAL ADJUSTER, NO.4                       </t>
  </si>
  <si>
    <t>ITI-19</t>
  </si>
  <si>
    <t>72055-X7A08</t>
  </si>
  <si>
    <t>TRACK SUB-ASSY, FR SEAT, INNER RH</t>
  </si>
  <si>
    <t>ITI-21</t>
  </si>
  <si>
    <t>72056-X7A02</t>
  </si>
  <si>
    <t>TRACK SUB-ASSY, FR SEAT, INNER LH</t>
  </si>
  <si>
    <t>ITI-23</t>
  </si>
  <si>
    <t>72130-X7A05</t>
  </si>
  <si>
    <t>ITI-25</t>
  </si>
  <si>
    <t>72140-X7A05</t>
  </si>
  <si>
    <t>TRACK ASSY, FR SEAT, INNER LH</t>
  </si>
  <si>
    <t>TUS05-I</t>
  </si>
  <si>
    <t>72107-X1421</t>
  </si>
  <si>
    <t>TUS06-I</t>
  </si>
  <si>
    <t>72107-X1419</t>
  </si>
  <si>
    <t>RAIL SUB-ASSY, FR INN SEAT TRACK, UPR lH</t>
  </si>
  <si>
    <t>PD-17</t>
  </si>
  <si>
    <t>ITO6</t>
  </si>
  <si>
    <t>ITO-24</t>
  </si>
  <si>
    <t>72110-X7A05</t>
  </si>
  <si>
    <t>TRACK ASSY, FR SEAT, OUTER RH</t>
  </si>
  <si>
    <t>ITO-26</t>
  </si>
  <si>
    <t>72120-X7A05</t>
  </si>
  <si>
    <t>TRACK ASSY, FR SEAT, OUTER LH</t>
  </si>
  <si>
    <t>TUS07-I</t>
  </si>
  <si>
    <t>72105-X1415</t>
  </si>
  <si>
    <t>UPR RAIL BKT  SUB-ASSY  6 WAY RH OUT</t>
  </si>
  <si>
    <t>TUS08-I</t>
  </si>
  <si>
    <t>72105-X1414</t>
  </si>
  <si>
    <t>UPR RAIL BKT  SUB-ASSY  6 WAY LH  OUT</t>
  </si>
  <si>
    <t>PD-18</t>
  </si>
  <si>
    <t>IT8</t>
  </si>
  <si>
    <t>ITI-27</t>
  </si>
  <si>
    <t>72130-X7A06</t>
  </si>
  <si>
    <t>ITI-29</t>
  </si>
  <si>
    <t>72140-X7A07</t>
  </si>
  <si>
    <t>ITI-73</t>
  </si>
  <si>
    <t>72130-X7A07</t>
  </si>
  <si>
    <t>TRACK ASSY, FR SEAT INNER RH</t>
  </si>
  <si>
    <t>ITI-78</t>
  </si>
  <si>
    <t>72140-X7A08</t>
  </si>
  <si>
    <t>TRACK ASSY, FR SEAT INNER LH</t>
  </si>
  <si>
    <t>ITO-28</t>
  </si>
  <si>
    <t>72110-X7A06</t>
  </si>
  <si>
    <t>ITO-30</t>
  </si>
  <si>
    <t>72120-X7A06</t>
  </si>
  <si>
    <t>ITO-74</t>
  </si>
  <si>
    <t>72110-X7A07</t>
  </si>
  <si>
    <t>ITO-79</t>
  </si>
  <si>
    <t>72120-X7A08</t>
  </si>
  <si>
    <t>72103-X7A07</t>
  </si>
  <si>
    <t>FR SEAT TRACK LWR RAIL  PWR  OUT</t>
  </si>
  <si>
    <t>72104-X7A08</t>
  </si>
  <si>
    <t>FR SEAT TRACK LWR RAIL  PWR  RH INN</t>
  </si>
  <si>
    <t>72104-X7A09</t>
  </si>
  <si>
    <t>FR SEAT TRACK LWR RAIL  PWR LH INN</t>
  </si>
  <si>
    <t>TUS09-I</t>
  </si>
  <si>
    <t>72107-X1420</t>
  </si>
  <si>
    <t xml:space="preserve">UPR RAIL BKT  SUB-ASSY  8 WAY INN </t>
  </si>
  <si>
    <t>TUS10-I</t>
  </si>
  <si>
    <t>72105-X1413</t>
  </si>
  <si>
    <t>UPR RAIL BKT  SUB-ASSY  8 WAY OUT</t>
  </si>
  <si>
    <t>PD-19</t>
  </si>
  <si>
    <t>ITUS</t>
  </si>
  <si>
    <t>RAIL, SEAT TRACK, UPR LH</t>
  </si>
  <si>
    <t>RAIL, SEAT TRACK, UPR RH</t>
  </si>
  <si>
    <t>TUS01-I</t>
  </si>
  <si>
    <t>FR SEAT TRACK UPR RAIL  MNL RH INN</t>
  </si>
  <si>
    <t>TUS02-I</t>
  </si>
  <si>
    <t>FR SEAT TRACK UPR RAIL  MNL LH INN</t>
  </si>
  <si>
    <t>TUS-03-1</t>
  </si>
  <si>
    <t>72105-X1412</t>
  </si>
  <si>
    <t>IMV:RAIL SUB-ASSY, FR OTR SEAT TRACK, UPR RH</t>
  </si>
  <si>
    <t>TUS-04-1</t>
  </si>
  <si>
    <t>72107-X1417</t>
  </si>
  <si>
    <t>IMV:RAIL SUB-ASSY, FR INN SEAT TRACK, UPR RH</t>
  </si>
  <si>
    <t>PD-20</t>
  </si>
  <si>
    <t>ETUS</t>
  </si>
  <si>
    <t>PATCH FR SEAT CUSHION</t>
  </si>
  <si>
    <t>BOT,WELD</t>
  </si>
  <si>
    <t xml:space="preserve">REINFORCEMENT,SEAT TRACK                       </t>
  </si>
  <si>
    <t>TUS01-E</t>
  </si>
  <si>
    <t>TUS02-E</t>
  </si>
  <si>
    <t>TUS11-E</t>
  </si>
  <si>
    <t>TUS12-E</t>
  </si>
  <si>
    <t>PD-21</t>
  </si>
  <si>
    <t>ITS-L1</t>
  </si>
  <si>
    <t>RAIL SEAT TRACK LWR INNER PWR</t>
  </si>
  <si>
    <t>BRACKET SUB-ASSY, FR OUT SEAT TRACK, LWR</t>
  </si>
  <si>
    <t>BRACKET, FR INNER SEAT TRACK, LWR RR RH</t>
  </si>
  <si>
    <t>PIN,VERTICAL ADJUSTFER,NO.1</t>
  </si>
  <si>
    <t>PD-22</t>
  </si>
  <si>
    <t>ITS-L2</t>
  </si>
  <si>
    <t>72145-X7A05-P</t>
  </si>
  <si>
    <t>72146-X7A04-P</t>
  </si>
  <si>
    <t>72141-X7A05-P</t>
  </si>
  <si>
    <t>72147-X7A05-P</t>
  </si>
  <si>
    <t>72143-X7A05-P</t>
  </si>
  <si>
    <t>RAIL, SUB-ASSY, FR INNER SEAT TRACK, LWR</t>
  </si>
  <si>
    <t>PD-23</t>
  </si>
  <si>
    <t>DTA</t>
  </si>
  <si>
    <t>RAIL SUB-ASSY, FR SEAT TRACK, LWR</t>
  </si>
  <si>
    <t>DTI-59</t>
  </si>
  <si>
    <t>72130-BZ370</t>
  </si>
  <si>
    <t>TRACK ASSY, FR SEAT, INNER</t>
  </si>
  <si>
    <t>DTI-61</t>
  </si>
  <si>
    <t>72130-BZ360</t>
  </si>
  <si>
    <t>DTI-63</t>
  </si>
  <si>
    <t>72140-BZ360</t>
  </si>
  <si>
    <t>DTO-60</t>
  </si>
  <si>
    <t>72110-BZ350</t>
  </si>
  <si>
    <t>TRACK ASSY, FR SEAT, OUTER</t>
  </si>
  <si>
    <t>DTO-62</t>
  </si>
  <si>
    <t>72110-BZ340</t>
  </si>
  <si>
    <t>DTO-64</t>
  </si>
  <si>
    <t>72120-BZ310</t>
  </si>
  <si>
    <t>COVER, SEAT TRACK, OUTER</t>
  </si>
  <si>
    <t>COVER, SEAT TRACK BRACKET, INNER</t>
  </si>
  <si>
    <t>COVER, SEAT TRACK LWR</t>
  </si>
  <si>
    <t>LEVER, RR MNL SEAT TRACK LOCK,NO.1</t>
  </si>
  <si>
    <t>BAR, FR SEAT ADJUSTER TORSION</t>
  </si>
  <si>
    <t>PD-24</t>
  </si>
  <si>
    <t>DAA</t>
  </si>
  <si>
    <t>DAL-51</t>
  </si>
  <si>
    <t>72506-X7V44</t>
  </si>
  <si>
    <t xml:space="preserve">ARM SUB-ASSY, RECLINING ADJ, LWR INN LH           </t>
  </si>
  <si>
    <t>DAL-53</t>
  </si>
  <si>
    <t>72504-X7V73</t>
  </si>
  <si>
    <t xml:space="preserve">ARM SUB-ASSY, RECLINING ADJ, LWR OUT LH           </t>
  </si>
  <si>
    <t>DAL-55</t>
  </si>
  <si>
    <t>72506-X7V51</t>
  </si>
  <si>
    <t>DAL-57</t>
  </si>
  <si>
    <t>72506-X7V45</t>
  </si>
  <si>
    <t>DAR-52</t>
  </si>
  <si>
    <t>72503-X7V71</t>
  </si>
  <si>
    <t xml:space="preserve">ARM SUB-ASSY, RECLINING ADJ, LWR OUT RH           </t>
  </si>
  <si>
    <t>DAR-54</t>
  </si>
  <si>
    <t>72505-X7V39</t>
  </si>
  <si>
    <t xml:space="preserve">ARM SUB-ASSY, RECLINING ADJ, LWR INN RH           </t>
  </si>
  <si>
    <t>DAR-56</t>
  </si>
  <si>
    <t>72503-X7V73</t>
  </si>
  <si>
    <t>DAR-58</t>
  </si>
  <si>
    <t>72503-X7V81</t>
  </si>
  <si>
    <t>ARM, RECLINING ADJUSTER, LWR LH (M6)</t>
  </si>
  <si>
    <t>ARM, RECLINING ADJUSTER, LWR RH (M6)</t>
  </si>
  <si>
    <t>BUSH, VERFTICAL ADJUSTER</t>
  </si>
  <si>
    <t>PATCH,FR SEAT CUSHION</t>
  </si>
  <si>
    <t>ADJUSTER ASSY,RECLINING SEAT,LH</t>
  </si>
  <si>
    <t>ADJUSTER ASSY,RECLINING SEAT,RH</t>
  </si>
  <si>
    <t>BRACKET, SEAT STOPPER</t>
  </si>
  <si>
    <t>PD-25</t>
  </si>
  <si>
    <t>DTA-2</t>
  </si>
  <si>
    <t>RAIL SUB ASSY,FR SEAT TRACK,LWR</t>
  </si>
  <si>
    <t>DTI-89</t>
  </si>
  <si>
    <t xml:space="preserve">72130-BZ420    </t>
  </si>
  <si>
    <t>DTI-91</t>
  </si>
  <si>
    <t xml:space="preserve">72140-BZ420    </t>
  </si>
  <si>
    <t>DTI-93</t>
  </si>
  <si>
    <t xml:space="preserve">72140-BZ430    </t>
  </si>
  <si>
    <t>DTI-95</t>
  </si>
  <si>
    <t xml:space="preserve">72130-BZ440    </t>
  </si>
  <si>
    <t xml:space="preserve">TRACK ASSY ,FR SEAT, INNER RH  </t>
  </si>
  <si>
    <t>DTI-97</t>
  </si>
  <si>
    <t xml:space="preserve">72130-BZ460    </t>
  </si>
  <si>
    <t>TRACK ASSY ,FR SEAT, INNER RH</t>
  </si>
  <si>
    <t>DTI-99</t>
  </si>
  <si>
    <t xml:space="preserve">72140-BZ460    </t>
  </si>
  <si>
    <t>DTO-90</t>
  </si>
  <si>
    <t xml:space="preserve">72120-BZ360    </t>
  </si>
  <si>
    <t>DTO-92</t>
  </si>
  <si>
    <t xml:space="preserve">72110-BZ400    </t>
  </si>
  <si>
    <t>DTO-94</t>
  </si>
  <si>
    <t xml:space="preserve">72110-BZ410    </t>
  </si>
  <si>
    <t xml:space="preserve">TRACK ASSY, FR SEAT, OUTER RH                     </t>
  </si>
  <si>
    <t>DTO-96</t>
  </si>
  <si>
    <t>DTO-98</t>
  </si>
  <si>
    <t xml:space="preserve">72120-BZ400    </t>
  </si>
  <si>
    <t>DUR-S6(M)</t>
  </si>
  <si>
    <t>72105-X76V61</t>
  </si>
  <si>
    <t>RAIL SUB ASSY</t>
  </si>
  <si>
    <t>PIN, VERTICAL ADJUSTER, NO. 1</t>
  </si>
  <si>
    <t>945/1</t>
  </si>
  <si>
    <t>PD-26</t>
  </si>
  <si>
    <t>DUR-S</t>
  </si>
  <si>
    <t>BKT-01</t>
  </si>
  <si>
    <t>BKT-02</t>
  </si>
  <si>
    <t>LINK VERTICAL TRAVEL, NO. 4</t>
  </si>
  <si>
    <t>DLL-67</t>
  </si>
  <si>
    <t>72406-X7V20</t>
  </si>
  <si>
    <t xml:space="preserve">LINK SUB-ASSY, FR VERTICAL, LH                    </t>
  </si>
  <si>
    <t>DLR-65</t>
  </si>
  <si>
    <t>72405-X7V17</t>
  </si>
  <si>
    <t xml:space="preserve">LINK SUB-ASSY, FR VERTICAL, RH                    </t>
  </si>
  <si>
    <t>DLR-66</t>
  </si>
  <si>
    <t>72406-X7V19</t>
  </si>
  <si>
    <t xml:space="preserve">LINK SUB-ASSY, FR SEAT VERTICAL                   </t>
  </si>
  <si>
    <t>72211-X7V23</t>
  </si>
  <si>
    <t>RAIL,SEAT TRACK,UPR</t>
  </si>
  <si>
    <t>DUR-S1</t>
  </si>
  <si>
    <t>72105-X7V48</t>
  </si>
  <si>
    <t>SUB-ASSY FR SEAT TRACK,UPR(M4)</t>
  </si>
  <si>
    <t>DUR-S10</t>
  </si>
  <si>
    <t>72105-X7V63</t>
  </si>
  <si>
    <t>RAIL SUB-ASSY,FR SEAT TRACK,UPR(M6,LH)</t>
  </si>
  <si>
    <t>DUR-S11</t>
  </si>
  <si>
    <t>UPPER RAIL 6 WAY LH INN</t>
  </si>
  <si>
    <t>DUR-S12</t>
  </si>
  <si>
    <t>DUR-S13</t>
  </si>
  <si>
    <t>72107-X7V22</t>
  </si>
  <si>
    <t>RAIL SUB ASSY,FR INN SEAT TRACK,UPR M6 LH</t>
  </si>
  <si>
    <t>DUR-S2</t>
  </si>
  <si>
    <t>SUB-ASSY FR INN SEAT TRACK,UPR(M6LH)</t>
  </si>
  <si>
    <t>DUR-S3</t>
  </si>
  <si>
    <t>72107-X7V20</t>
  </si>
  <si>
    <t>SUB-ASSY FR INN SEAT TRACK,UPR(M6RH)</t>
  </si>
  <si>
    <t>DUR-S4</t>
  </si>
  <si>
    <t>72105-X7V49</t>
  </si>
  <si>
    <t>SUB-ASSY FR OTR SEAT TRACK,UPR(M6RH)</t>
  </si>
  <si>
    <t>DUR-S5</t>
  </si>
  <si>
    <t>72105-X7V50</t>
  </si>
  <si>
    <t>SUB-ASSY R OUT SEAT TRACK,UPR(M6LH)</t>
  </si>
  <si>
    <t>DUR-S6</t>
  </si>
  <si>
    <t>72105-X7V61</t>
  </si>
  <si>
    <t>RAIL SUB-ASSY,FR OUT SEAT TRACK UPR RH(M4)</t>
  </si>
  <si>
    <t>DUR-S7</t>
  </si>
  <si>
    <t>72107-X7V28</t>
  </si>
  <si>
    <t>RAIL SUB-ASSY,FR INN SEAT TRACK,UPR LH(M6)</t>
  </si>
  <si>
    <t>DUR-S8</t>
  </si>
  <si>
    <t>72107-X7V26</t>
  </si>
  <si>
    <t>RAIL SUB-ASSY,FR INN SEAT TRACK,UPR RH(M6)</t>
  </si>
  <si>
    <t>DUR-S9</t>
  </si>
  <si>
    <t>72105-X7V62</t>
  </si>
  <si>
    <t>RAIL SUB-ASSY,FR OTR SEAT TRACK,UPR RH(M6)</t>
  </si>
  <si>
    <t>GEAR,VERTICAL ADJUSTER, RH</t>
  </si>
  <si>
    <t>GEAR,VERTICAL ADJUSTER, LH</t>
  </si>
  <si>
    <t>BRACKET FR INN SEAT TRACK UPR RAIL,RH</t>
  </si>
  <si>
    <t>BRACKET FR INN SEAT TRACK UPR RAIL,LH</t>
  </si>
  <si>
    <t>BRACKT,SEAT BELT INNER ANCHOR, NO.1 RH</t>
  </si>
  <si>
    <t>BRACKT,SEAT BELT INNER ANCHOR, LH</t>
  </si>
  <si>
    <t>PD-27</t>
  </si>
  <si>
    <t>DLR-S</t>
  </si>
  <si>
    <t>RAIL SEAT TRACK LWR (D03B)</t>
  </si>
  <si>
    <t>BRACKET, FR SEAT TRACK, RR OUTER</t>
  </si>
  <si>
    <t>BRACKET, SEAT TRACK, LWR RR</t>
  </si>
  <si>
    <t>PD-28</t>
  </si>
  <si>
    <t>IA4</t>
  </si>
  <si>
    <t>IA4-01</t>
  </si>
  <si>
    <t>72504-X7A06</t>
  </si>
  <si>
    <t>ARM SUB-ASSY, RECLINING ADJUSTER, LWR LH</t>
  </si>
  <si>
    <t>IA4-02</t>
  </si>
  <si>
    <t>72503-X7A06</t>
  </si>
  <si>
    <t>ARM SUB-ASSY, RECLINING ADJUSTER, LWR RH</t>
  </si>
  <si>
    <t>IA4-03</t>
  </si>
  <si>
    <t>72503-X7A07</t>
  </si>
  <si>
    <t>IA4-04</t>
  </si>
  <si>
    <t>72504-X7A05</t>
  </si>
  <si>
    <t>IA4-80</t>
  </si>
  <si>
    <t xml:space="preserve">72503-X7A22    </t>
  </si>
  <si>
    <t xml:space="preserve">ARM SUB-ASSY, RECLINING ADJUSTER,  RH             </t>
  </si>
  <si>
    <t>IA4-81</t>
  </si>
  <si>
    <t xml:space="preserve">72504-X7A22    </t>
  </si>
  <si>
    <t xml:space="preserve">ARM SUB-ASSY, RECLINING ADJUSTER,  LH             </t>
  </si>
  <si>
    <t>IA4-82</t>
  </si>
  <si>
    <t xml:space="preserve">72504-X7A25    </t>
  </si>
  <si>
    <t xml:space="preserve">ARM SUB-ASSY, RECLINING ADJUSTER, LH              </t>
  </si>
  <si>
    <t>IA4-83</t>
  </si>
  <si>
    <t xml:space="preserve">72503-X7A25    </t>
  </si>
  <si>
    <t xml:space="preserve">ARM SUB-ASSY, RECLINING ADJUSTER, RH              </t>
  </si>
  <si>
    <t>72522-X7A11-P</t>
  </si>
  <si>
    <t>ARM, RECLINING ADJUSTER, LWR OUTER LH</t>
  </si>
  <si>
    <t>72521-X7A11-P</t>
  </si>
  <si>
    <t>7118-X7A00</t>
  </si>
  <si>
    <t xml:space="preserve">71118-X7A00    :BRACKET, FR SEAT CUSHION INSIDE, LH               </t>
  </si>
  <si>
    <t xml:space="preserve">79989-X7A00    :BRACKET, SEAT STOPPER                             </t>
  </si>
  <si>
    <t xml:space="preserve">71122-X7A30    :BRACKET, FR SEAT CUSHION, LH                      </t>
  </si>
  <si>
    <t xml:space="preserve">71122-X7A31    :BRACKET, FR SEAT CUSHION, LH                      </t>
  </si>
  <si>
    <t>73192-X74A11</t>
  </si>
  <si>
    <t xml:space="preserve">73192-X7A11    :BRACKET, SEAT BELT INNER ANCHOR, LH               </t>
  </si>
  <si>
    <t xml:space="preserve">72132-X7A05    :BRACKET, FR OUT SEAT TRACK UPR RAIL, LH           </t>
  </si>
  <si>
    <t xml:space="preserve">72702-X1B10    :BOLT SEAT SET                                     </t>
  </si>
  <si>
    <t>PD-29</t>
  </si>
  <si>
    <t>DRB</t>
  </si>
  <si>
    <t>LINK, VERTICAL TRAVEL, NO.3</t>
  </si>
  <si>
    <t>LINK, VERTICAL TRAVEL, NO.1</t>
  </si>
  <si>
    <t>PLATE, SEAT BACK LOCK, NO.1</t>
  </si>
  <si>
    <t>PLATE, SEAT BACK LOCK, NO.2</t>
  </si>
  <si>
    <t>DRL-98</t>
  </si>
  <si>
    <t>72640-X7U00</t>
  </si>
  <si>
    <t>LOCK ASSY, RR SEAT BACK, LH</t>
  </si>
  <si>
    <t>DRR-97</t>
  </si>
  <si>
    <t>72630-X7U00</t>
  </si>
  <si>
    <t>LOCK ASSY, RR SEAT BACK, RH</t>
  </si>
  <si>
    <t>SPRING, RR SEAT LOCK, TORSION, NO.1</t>
  </si>
  <si>
    <t>SPRING, RR SEAT LOCK, TORSION, NO.2</t>
  </si>
  <si>
    <t>CUSHION, SEAT BACK LOCK</t>
  </si>
  <si>
    <t>PIN, SEAT BACK LOCK</t>
  </si>
  <si>
    <t>BUSH, RR SEAT LOCK, NO.1</t>
  </si>
  <si>
    <t>BUSH, RR SEAT LOCK, NO.2</t>
  </si>
  <si>
    <t>PAWL, RR SEAT LOCK</t>
  </si>
  <si>
    <t>HOOK SUB-ASSY, SEAT BACK LOCK, NO.1</t>
  </si>
  <si>
    <t>BASE, SEAT BACK LOCK, NO.1</t>
  </si>
  <si>
    <t>BASE, SEAT BACK LOCK, NO.2</t>
  </si>
  <si>
    <t>PD-30</t>
  </si>
  <si>
    <t>IAI6</t>
  </si>
  <si>
    <t>LWR ARM-SUB RR LINK S/A RH INN</t>
  </si>
  <si>
    <t>LWR ARM-SUB RR LINK S/A LH INN</t>
  </si>
  <si>
    <t>WASHER, PLATE</t>
  </si>
  <si>
    <t>CA8-05</t>
  </si>
  <si>
    <t>72504-X1B04</t>
  </si>
  <si>
    <t>ARM SUB-ASSY, RECLINING ADJUSTER, LH</t>
  </si>
  <si>
    <t>CA8-06</t>
  </si>
  <si>
    <t>72503-X1B05</t>
  </si>
  <si>
    <t>ARM SUB-ASSY, RECLINING ADJUSTER, RH</t>
  </si>
  <si>
    <t>72521-X1B05-P</t>
  </si>
  <si>
    <t>72522-X1B02-P</t>
  </si>
  <si>
    <t>75001-X7A00</t>
  </si>
  <si>
    <t>LWR ARM-SUB FR LINK S/A BUSH</t>
  </si>
  <si>
    <t>BUSH, VERTICAL ADJUSTER</t>
  </si>
  <si>
    <t>PD-31</t>
  </si>
  <si>
    <t>IAO6</t>
  </si>
  <si>
    <t>LWR ARM-SUB RR LINK S/A RH OUT</t>
  </si>
  <si>
    <t>LWR ARM-SUB RR LINK S/A LH OUT</t>
  </si>
  <si>
    <t xml:space="preserve">72429-X1401    </t>
  </si>
  <si>
    <t>PLATE, FR SEAT ADJUSTER, NO.2 RH</t>
  </si>
  <si>
    <t xml:space="preserve">72439-X1402    </t>
  </si>
  <si>
    <t>PLATE, FR SEAT ADJUSTER LH</t>
  </si>
  <si>
    <t>CA8-07</t>
  </si>
  <si>
    <t>72503-X1b13</t>
  </si>
  <si>
    <t>CA8-08</t>
  </si>
  <si>
    <t>72504-X1B15</t>
  </si>
  <si>
    <t xml:space="preserve">ARMSUB-ASSY, RECLININGADJUSTER                    </t>
  </si>
  <si>
    <t>ARM RECLINING ADJUSTER LWR RH</t>
  </si>
  <si>
    <t>ARM RECLINING ADJUSTER LWR LH</t>
  </si>
  <si>
    <t>PIN, VERTICAL ADJUSTER, NO.3</t>
  </si>
  <si>
    <t>PIN,VERTICAL ADJUSTER, NO.1</t>
  </si>
  <si>
    <t>OA6E28</t>
  </si>
  <si>
    <t>72503-X7A27</t>
  </si>
  <si>
    <t>BRAKE SUB-ASSY, VERTICAL ADJUSTER, FR RH</t>
  </si>
  <si>
    <t>BRAKE SUB-ASSY, VERTICAL ADJUSTER, FR LH</t>
  </si>
  <si>
    <t>BRAKE SUB-ASSY, VERTICAL ADJUSTER, FR</t>
  </si>
  <si>
    <t>BRAKE SUB-ASSY VERTICAL ADJUSTER,FR LH</t>
  </si>
  <si>
    <t>SPACER</t>
  </si>
  <si>
    <t>IA6E62</t>
  </si>
  <si>
    <t>72504-X7A29</t>
  </si>
  <si>
    <t xml:space="preserve">ARM SUB-ASSY, RECLINING ADJUSTER, LWR LH </t>
  </si>
  <si>
    <t>PD-32</t>
  </si>
  <si>
    <t>IA8</t>
  </si>
  <si>
    <t xml:space="preserve">PLATE, FR SEAT ADJUSTER, LH  </t>
  </si>
  <si>
    <t xml:space="preserve">BRACKET, FR SEAT SET, NO.1  </t>
  </si>
  <si>
    <t>BRACKET, FR SEAT SET, NO.2</t>
  </si>
  <si>
    <t>71121-X1M07-C</t>
  </si>
  <si>
    <t>BRACKET FR SEAT CUSHION RH</t>
  </si>
  <si>
    <t>CA8-09</t>
  </si>
  <si>
    <t>72503-X1301</t>
  </si>
  <si>
    <t>CA8-10</t>
  </si>
  <si>
    <t>72503-X1K02</t>
  </si>
  <si>
    <t>CA8-11</t>
  </si>
  <si>
    <t>72503-X1M04</t>
  </si>
  <si>
    <t>CA8-12</t>
  </si>
  <si>
    <t>72504-X1C02</t>
  </si>
  <si>
    <t>72468-C1C00</t>
  </si>
  <si>
    <t>PIN,VERTICAL ADJUSTER,NO.5</t>
  </si>
  <si>
    <t xml:space="preserve">LWR ARM-SUB FR LINK </t>
  </si>
  <si>
    <t xml:space="preserve">BUSH, VERTICAL ADJUSTER </t>
  </si>
  <si>
    <t>BRACKET, FR SEAT SET, NO.3</t>
  </si>
  <si>
    <t>PD-33</t>
  </si>
  <si>
    <t>IA8-2</t>
  </si>
  <si>
    <t xml:space="preserve">BRACKET, FR SEAT CUSHION, RH </t>
  </si>
  <si>
    <t xml:space="preserve">BRACKET, FR SEAT CUSHION, LH </t>
  </si>
  <si>
    <t>IA8-05</t>
  </si>
  <si>
    <t>72504-X7A03</t>
  </si>
  <si>
    <t>IA8-06</t>
  </si>
  <si>
    <t>72503-X7A04</t>
  </si>
  <si>
    <t>75001-7400</t>
  </si>
  <si>
    <t>LWR ARM-SUB FR LINK</t>
  </si>
  <si>
    <t>PD-34</t>
  </si>
  <si>
    <t>IA-S</t>
  </si>
  <si>
    <t>PIN, VERTICAL ADJUSTER, NO.2</t>
  </si>
  <si>
    <t>M6) GEAR, VERTICAL TRAVEL, NO.3</t>
  </si>
  <si>
    <t>P8) GEAR, VERTICAL TRAVEL, NO.3</t>
  </si>
  <si>
    <t>LINK, VERTICAL TRAVEL, NO.4</t>
  </si>
  <si>
    <t>PD-35</t>
  </si>
  <si>
    <t>IA8-S</t>
  </si>
  <si>
    <t>A8S01-1</t>
  </si>
  <si>
    <t>TILT Panel RH INN S/A</t>
  </si>
  <si>
    <t>A8S02-1</t>
  </si>
  <si>
    <t xml:space="preserve">TILT Panel LH INN S/A </t>
  </si>
  <si>
    <t>A8S03-1</t>
  </si>
  <si>
    <t xml:space="preserve">TILT Panel RH OUT S/A </t>
  </si>
  <si>
    <t>A8S04-1</t>
  </si>
  <si>
    <t xml:space="preserve">TILT Panel LH OUT S/A </t>
  </si>
  <si>
    <t>71111-X1C00-P</t>
  </si>
  <si>
    <t>FRAME, FR SEAT CUSHION, FR RH</t>
  </si>
  <si>
    <t>71112-X1C00-P</t>
  </si>
  <si>
    <t>FRAME, FR SEAT CUSHION, FR LH</t>
  </si>
  <si>
    <t>71112-X7A01-P</t>
  </si>
  <si>
    <t>71111-X7A01-P</t>
  </si>
  <si>
    <t>PIN, VERTICAL ADJUSTER, NO.6</t>
  </si>
  <si>
    <t>GEAR, VERTICAL TRAVEL, NO.3</t>
  </si>
  <si>
    <t>GEAR, VERTICAL TRAVEL, LH</t>
  </si>
  <si>
    <t xml:space="preserve">BUSH, VERTICAL ADJUSTER                           </t>
  </si>
  <si>
    <t>LINK, VERTICAL TRAVEL</t>
  </si>
  <si>
    <t>PD-36</t>
  </si>
  <si>
    <t>EL-S</t>
  </si>
  <si>
    <t>LINK, VERTICAL TRAVEL,NO.3</t>
  </si>
  <si>
    <t>LINK, VERTICAL TRAVEL,NO.1</t>
  </si>
  <si>
    <t>PD-37</t>
  </si>
  <si>
    <t>IH1</t>
  </si>
  <si>
    <t>SPRING, RR SEAT CUSHION SUPPORT</t>
  </si>
  <si>
    <t>IH1-42</t>
  </si>
  <si>
    <t>71350-X7A08</t>
  </si>
  <si>
    <t>HINGE ASSY, RR SEAT, RH</t>
  </si>
  <si>
    <t>IH1-43</t>
  </si>
  <si>
    <t>71350-X7A09</t>
  </si>
  <si>
    <t>IH1-44</t>
  </si>
  <si>
    <t>71360-X7A12</t>
  </si>
  <si>
    <t>HINGE ASSY, RR SEAT, LH</t>
  </si>
  <si>
    <t>IH1-45</t>
  </si>
  <si>
    <t>71360-X7A13</t>
  </si>
  <si>
    <t>SPACER, RR SEAT TURN SIDE</t>
  </si>
  <si>
    <t>PIN, RR SEAT HINGE</t>
  </si>
  <si>
    <t>PIN, FR SEAT HINGE</t>
  </si>
  <si>
    <t>HINGE, RR SEAT CUSHION</t>
  </si>
  <si>
    <t>HINGE SUB-ASSY, RR SEAT, RH</t>
  </si>
  <si>
    <t>HINGE SUB-ASSY, RR NO.1 SEAT, RH</t>
  </si>
  <si>
    <t>HINGE SUB-ASSY, RR SEAT, LH</t>
  </si>
  <si>
    <t>HINGE SUB-ASSY,RR SEAT CUSHION LEG</t>
  </si>
  <si>
    <t>HINGE SUB-ASSY,RR SEAT CUSHION LEG, LH</t>
  </si>
  <si>
    <t>PD-38</t>
  </si>
  <si>
    <t>ILI1</t>
  </si>
  <si>
    <t>BRACKET, RR SEAT LOCKING CABLE, RH</t>
  </si>
  <si>
    <t>BRACKET, RR SEAT LOCKING CABLE, LH</t>
  </si>
  <si>
    <t>SPRING, TENSION</t>
  </si>
  <si>
    <t>SPRING, SPIRAL</t>
  </si>
  <si>
    <t>SPRING, TORSION, RH</t>
  </si>
  <si>
    <t>SPRING, TORSION, LH</t>
  </si>
  <si>
    <t>IL1-46</t>
  </si>
  <si>
    <t>72650-0K140</t>
  </si>
  <si>
    <t>LOCK ASSY, RR SEAT, RH</t>
  </si>
  <si>
    <t>IL1-48</t>
  </si>
  <si>
    <t>72660-0K200</t>
  </si>
  <si>
    <t>LoCK ASSY, RR SEAT, LH</t>
  </si>
  <si>
    <t>PIN, SEAT LOCK CONNECTING</t>
  </si>
  <si>
    <t>HOOK, RR SEAT LOCK, RH</t>
  </si>
  <si>
    <t>HOOK, RR SEAT LOCK, LH</t>
  </si>
  <si>
    <t>RATCHET, RR SEAT CUSHION LOCK</t>
  </si>
  <si>
    <t>DAMPER,ACCELERATOR PULL BACK SPR,NO.1</t>
  </si>
  <si>
    <t>WASHER PLATE</t>
  </si>
  <si>
    <t>PLATE, RR SEAT CUSHION SPR SET</t>
  </si>
  <si>
    <t>PLATE, RR SEAT CUSHION SPR SET, NO.2</t>
  </si>
  <si>
    <t>PLATE, RR SEAT CUSHION SPR SET SIDE, RH</t>
  </si>
  <si>
    <t>PLATE, RR SEAT CUSHION SPR SET SIDE, LH</t>
  </si>
  <si>
    <t>PLATE SUB-ASSY, RR SEAT LEG, RH</t>
  </si>
  <si>
    <t>PLATE SUB-ASSY, RR SEAT LEG, LH</t>
  </si>
  <si>
    <t>BASE, RR SEAT LOCK, RH</t>
  </si>
  <si>
    <t>BRACKET, RR SEAT LOCK, LH</t>
  </si>
  <si>
    <t>PD-39</t>
  </si>
  <si>
    <t>ILO1</t>
  </si>
  <si>
    <t xml:space="preserve">89953-X7017    </t>
  </si>
  <si>
    <t>IL1-47</t>
  </si>
  <si>
    <t>72650-0K130</t>
  </si>
  <si>
    <t>IL1-49</t>
  </si>
  <si>
    <t>72660-0K190</t>
  </si>
  <si>
    <t>PIN, RR SEAT BACK LOCK, NO.2</t>
  </si>
  <si>
    <t>BASE, RR SEAT LOOK, LH</t>
  </si>
  <si>
    <t>PLATE, RR SEAT (T=0.2)</t>
  </si>
  <si>
    <t>BASE, RR SEAT LOCK, LH</t>
  </si>
  <si>
    <t>PD-40</t>
  </si>
  <si>
    <t>IM1</t>
  </si>
  <si>
    <t>BASE, RECLINING REMOTE CONTROL, LH</t>
  </si>
  <si>
    <t>PLATE, SEAT TURN LOCK, NO.1</t>
  </si>
  <si>
    <t>BASE, RECLINING REMOTE CONTROL, RH</t>
  </si>
  <si>
    <t>PLATE, SEAT TURN LOCK, NO.2</t>
  </si>
  <si>
    <t>SPRING, RR SEAT CUSHION, NO.3</t>
  </si>
  <si>
    <t>SPRING, RR SEAT CUSHION, NO.4</t>
  </si>
  <si>
    <t>IM1-50</t>
  </si>
  <si>
    <t>72307-X7A02</t>
  </si>
  <si>
    <t>LINK SUB-ASSY, RECLINING CONTROL, RH</t>
  </si>
  <si>
    <t>IM1-51</t>
  </si>
  <si>
    <t>72308-X7A02</t>
  </si>
  <si>
    <t>LINK SUB-ASSY, RECLINING CONTROL, LH</t>
  </si>
  <si>
    <t>PIN, RR SEAT HINGE, NO.2</t>
  </si>
  <si>
    <t>SPACER, RR SEAT BACK HINGE</t>
  </si>
  <si>
    <t>SPACER, RR SEAT CUSHION</t>
  </si>
  <si>
    <t>PIN, SEAT HINGE</t>
  </si>
  <si>
    <t>PLATE, RR SEAT TURN, LWR RH</t>
  </si>
  <si>
    <t>PD-41</t>
  </si>
  <si>
    <t>IL2</t>
  </si>
  <si>
    <t>BRACKET SUB-ASSY, NO.2 SEAT LEG, RH</t>
  </si>
  <si>
    <t>BRACKET SUB-ASSY, NO.2 SEAT LEG, LH</t>
  </si>
  <si>
    <t>CUSHION,RR SEAT CUSHION LOCK</t>
  </si>
  <si>
    <t>SPRING, NO.2 SEAT LOCK, LH</t>
  </si>
  <si>
    <t>IL2-56</t>
  </si>
  <si>
    <t>79030-0K050</t>
  </si>
  <si>
    <t>LEG ASSY, RR NO.2 SEAT, RH</t>
  </si>
  <si>
    <t>IL2-57</t>
  </si>
  <si>
    <t>79040-0K050</t>
  </si>
  <si>
    <t>LEG ASSY, RR NO.2 SEAT, LH</t>
  </si>
  <si>
    <t>ROD, RR SEAT LOCK</t>
  </si>
  <si>
    <t>PIN</t>
  </si>
  <si>
    <t>PIN,RR SEAT CUSHION SUPPORT</t>
  </si>
  <si>
    <t>HOOK,RR SEAT CUSHION LOCK</t>
  </si>
  <si>
    <t>RATCHET, SUB SEAT LOCK, RH</t>
  </si>
  <si>
    <t>HOOK, RR SEAT  LOCK, RH</t>
  </si>
  <si>
    <t>RATCHET, SUB SEAT LOCK, LH</t>
  </si>
  <si>
    <t>RING E</t>
  </si>
  <si>
    <t>LEG SUB-ASSY, NO.2 SEAT, RH</t>
  </si>
  <si>
    <t>LEG SUB-ASSY, NO.2 SEAT, LH</t>
  </si>
  <si>
    <t>LEG SUB-ASSY, RR SEAT, LH</t>
  </si>
  <si>
    <t>LEG, SUB-ASSY, RR SEAT, RH</t>
  </si>
  <si>
    <t>PD-42</t>
  </si>
  <si>
    <t>IH2</t>
  </si>
  <si>
    <t>PLATE, RR SEAT CUSHION SPRING SET, NO.1</t>
  </si>
  <si>
    <t>PLATE, RR SEAT CUSHION SPRING SET, NO.2</t>
  </si>
  <si>
    <t>LEG, NO.3 SEAT, OUTER RH</t>
  </si>
  <si>
    <t>LEG, NO.3 SEAT, OUTER LH</t>
  </si>
  <si>
    <t>LEG, NO.3 SEAT, OUTER RR RH</t>
  </si>
  <si>
    <t>LEG, NO.3 SEAT, OUTER RR LH</t>
  </si>
  <si>
    <t>PLATE, RR SEAT BACK HINGE, INNER</t>
  </si>
  <si>
    <t>IH2-58</t>
  </si>
  <si>
    <t>71303-0K040</t>
  </si>
  <si>
    <t>HINGE SUB-ASSY, RR NO.2 SEAT, RH</t>
  </si>
  <si>
    <t>IH2-59</t>
  </si>
  <si>
    <t>71304-0K040</t>
  </si>
  <si>
    <t>HINGE SUB-ASSY, RR NO.2 SEAT, LH</t>
  </si>
  <si>
    <t>PIN, SPRING SET</t>
  </si>
  <si>
    <t>SPACER, RR SEAT TRACK</t>
  </si>
  <si>
    <t>BRACKET, NO.3 SEAT HINGE, LWR,RH</t>
  </si>
  <si>
    <t>BRACKET, NO.3 SEAT HINGE, LWR,LH</t>
  </si>
  <si>
    <t>PD-43</t>
  </si>
  <si>
    <t>IT1</t>
  </si>
  <si>
    <t>BRACKET  SEAT TRACK HANDLE SUPPORT</t>
  </si>
  <si>
    <t>BAR SEAT TRACK LOCK TORSION RH</t>
  </si>
  <si>
    <t>BAR SEAT TRACK LOCK TORSION LH</t>
  </si>
  <si>
    <t>IT1-38</t>
  </si>
  <si>
    <t>72180-0K040</t>
  </si>
  <si>
    <t>TRACK ASSY, RR SEAT, INNER RH</t>
  </si>
  <si>
    <t>IT1-39</t>
  </si>
  <si>
    <t>72160-0K160</t>
  </si>
  <si>
    <t>TRACK ASSY, RR SEAT, OUTER RH</t>
  </si>
  <si>
    <t>IT1-40</t>
  </si>
  <si>
    <t>72190-0K060</t>
  </si>
  <si>
    <t>TRACK ASSY, RR SEAT, INNER LH</t>
  </si>
  <si>
    <t>IT1-41</t>
  </si>
  <si>
    <t>72170-0K160</t>
  </si>
  <si>
    <t>TRACK ASSY, RR SEAT, OUTER LH</t>
  </si>
  <si>
    <t>72017-X7A15</t>
  </si>
  <si>
    <t>RAIL SUB ASSY RR SEAT TRACK LWR RH</t>
  </si>
  <si>
    <t>72018-X7A12</t>
  </si>
  <si>
    <t>RAIL SUB ASSY RR SEAT TRACK LWR LH</t>
  </si>
  <si>
    <t>72017-X7A16</t>
  </si>
  <si>
    <t>72418-X7A13</t>
  </si>
  <si>
    <t>COVER SEAT TRACK UPR RIAL</t>
  </si>
  <si>
    <t>GUIDE SUB ASSY SEAT TRACK ROLLER</t>
  </si>
  <si>
    <t>LOCK SUB ASSY RR SEAT RH</t>
  </si>
  <si>
    <t>LOCK SUB ASSY RR SEAT LH</t>
  </si>
  <si>
    <t>PD-44</t>
  </si>
  <si>
    <t>IT1-S</t>
  </si>
  <si>
    <t>72702-X7A01</t>
  </si>
  <si>
    <t>BRACKET RR OUTER SEAT TRACK LWR FR RH</t>
  </si>
  <si>
    <t>BRACKET RR OUTER SEAT TRACK LWR FR LH</t>
  </si>
  <si>
    <t>RAIL RR SEAT TRACK LWR</t>
  </si>
  <si>
    <t>RAIL SUB-ASSY, RR SEAT TRACK, LWR RH</t>
  </si>
  <si>
    <t>RAIL SUB-ASSY, RR SEAT TRACK, LWR LH</t>
  </si>
  <si>
    <t>72018-X7A13</t>
  </si>
  <si>
    <t>BRACKET RR SEAT TRACK NO.1</t>
  </si>
  <si>
    <t>BRACKET RR SEAT TRACK NO.2</t>
  </si>
  <si>
    <t>PD-45</t>
  </si>
  <si>
    <t>IFJL1</t>
  </si>
  <si>
    <t>ADJUSTER ASSY FR SEAT RECLINING LH</t>
  </si>
  <si>
    <t>CFL-57</t>
  </si>
  <si>
    <t>71104-X1418</t>
  </si>
  <si>
    <t>FRAME SUB-ASSY, FR SEAT BACK MAIN, LH</t>
  </si>
  <si>
    <t>72524-X1C01-P</t>
  </si>
  <si>
    <t>PLATE, RECLINING ADJUSTER LWR ARM, LH</t>
  </si>
  <si>
    <t xml:space="preserve">COVER RECLINING ADJUSTER </t>
  </si>
  <si>
    <t>SPRING SPIRAL</t>
  </si>
  <si>
    <t>IFL-13</t>
  </si>
  <si>
    <t>71104-X7V03</t>
  </si>
  <si>
    <t>FRAME SUB-ASSY, FR SEAT, LH</t>
  </si>
  <si>
    <t>IFL-15</t>
  </si>
  <si>
    <t>71104-X7Y06</t>
  </si>
  <si>
    <t>FRAME, FR SEAT BACK, LH</t>
  </si>
  <si>
    <t>PLATE RECLINING ADJUSTER LWR ARM LH MNL</t>
  </si>
  <si>
    <t>PLATE RECLINING RELEASE ARM,LH</t>
  </si>
  <si>
    <t>PIN, RECLINING HINGE</t>
  </si>
  <si>
    <t>STOPPER, FR SEAT BACK</t>
  </si>
  <si>
    <t>TFR-38</t>
  </si>
  <si>
    <t>71103-X7V92</t>
  </si>
  <si>
    <t>FRAME SUB-ASSY, FR SEAT BACK MAIN, RH</t>
  </si>
  <si>
    <t>TFR-39</t>
  </si>
  <si>
    <t>71104-X7V92</t>
  </si>
  <si>
    <t xml:space="preserve">71151-X7V11-P  </t>
  </si>
  <si>
    <t>FRAME FR SEAT BACK RH</t>
  </si>
  <si>
    <t>FRAME FR SEAT BACK LH</t>
  </si>
  <si>
    <t xml:space="preserve">72537-X1C02                           </t>
  </si>
  <si>
    <t xml:space="preserve">CAM RECLINING PAWL LOCK                           </t>
  </si>
  <si>
    <t xml:space="preserve">74020-X7V37    </t>
  </si>
  <si>
    <t xml:space="preserve">ADJUSTER ASSY, FR SEAT ,LH                        </t>
  </si>
  <si>
    <t>ADJUSTER ASSY,FR SEAT RH</t>
  </si>
  <si>
    <t>PD-46</t>
  </si>
  <si>
    <t>IFJR1</t>
  </si>
  <si>
    <t>ADJUSTER ASSY FR SEAT RECLINING RH</t>
  </si>
  <si>
    <t>PLATE, RECLINING ADJUSTER LWR ARM, RH (PWR)</t>
  </si>
  <si>
    <t>CFR-56</t>
  </si>
  <si>
    <t>71103-X1414</t>
  </si>
  <si>
    <t>FRAME SUB-ASSY,FR SEAT BACK MAIN,RH</t>
  </si>
  <si>
    <t>IFR-14</t>
  </si>
  <si>
    <t>71103-X7Y03</t>
  </si>
  <si>
    <t>FRAME SUB-ASSY, FR SEAT, RH</t>
  </si>
  <si>
    <t>IFR-16</t>
  </si>
  <si>
    <t>71103-X7V06</t>
  </si>
  <si>
    <t xml:space="preserve">FRAME SUB-ASSY, FR SEAT, RH </t>
  </si>
  <si>
    <t>PLATE RECLINING ADJUSTER LWR ARM RH MNL</t>
  </si>
  <si>
    <t>PLATE RECLINING RELEASE ARM,RH</t>
  </si>
  <si>
    <t>ADJUSTER ASSY,FR SEAT RECLINING,RH</t>
  </si>
  <si>
    <t>PD-47</t>
  </si>
  <si>
    <t>IFJL3</t>
  </si>
  <si>
    <t>ADJUSTER ASSY FR SEAT RECLINING LH (TBSM)</t>
  </si>
  <si>
    <t>COVER, PROTECTOR</t>
  </si>
  <si>
    <t>FRAME,FR SEAT BACK,LH</t>
  </si>
  <si>
    <t>EFL-18</t>
  </si>
  <si>
    <t>71104-X1V18</t>
  </si>
  <si>
    <t>FRAME SUB-ASSY,FR SEAT BACK M</t>
  </si>
  <si>
    <t>EFL-21</t>
  </si>
  <si>
    <t>71104-X1V19</t>
  </si>
  <si>
    <t>FRAME SUB-ASSY, FR SEAT BACK MAIN</t>
  </si>
  <si>
    <t>EFL-28</t>
  </si>
  <si>
    <t>71104-X1V29</t>
  </si>
  <si>
    <t xml:space="preserve">FRAME SUB-ASSY, FR SEAT BACK MAIN, LH             </t>
  </si>
  <si>
    <t>EFL-31</t>
  </si>
  <si>
    <t>71104-X1V30</t>
  </si>
  <si>
    <t xml:space="preserve">SPRING,SPIRAL                                     </t>
  </si>
  <si>
    <t>IFL-07</t>
  </si>
  <si>
    <t>71104-X7A00</t>
  </si>
  <si>
    <t>IFL-09</t>
  </si>
  <si>
    <t>71104-X7A02</t>
  </si>
  <si>
    <t>IFL-75</t>
  </si>
  <si>
    <t>71104-X7A17</t>
  </si>
  <si>
    <t>IFL-80</t>
  </si>
  <si>
    <t>71104-X7A16</t>
  </si>
  <si>
    <t xml:space="preserve">PIN, FR SEAT HINGE                                </t>
  </si>
  <si>
    <t xml:space="preserve">SHAFT, RECLINING ADJUSTING HANDLE                 </t>
  </si>
  <si>
    <t>PD-48</t>
  </si>
  <si>
    <t>IFJR3</t>
  </si>
  <si>
    <t>ADJUSTER ASSY FR SEAT RECLINING RH (TBSM)</t>
  </si>
  <si>
    <t>PLATE, RECLINING ADJUSTER LWR ARM, RH</t>
  </si>
  <si>
    <t>FRAME,FR SEAT BACK,RH</t>
  </si>
  <si>
    <t>EFR-19</t>
  </si>
  <si>
    <t>71103-X7V17</t>
  </si>
  <si>
    <t xml:space="preserve">FRAME SUB-ASSY, FR SEAT BACK M                    </t>
  </si>
  <si>
    <t>EFR-20</t>
  </si>
  <si>
    <t>71103-X1V16</t>
  </si>
  <si>
    <t>EFR-29</t>
  </si>
  <si>
    <t>71103-X1V28</t>
  </si>
  <si>
    <t xml:space="preserve">FRAME SUB-ASSY, FR SEAT BACK MIAN, RH             </t>
  </si>
  <si>
    <t>EFR-30</t>
  </si>
  <si>
    <t>71103-X1V29</t>
  </si>
  <si>
    <t xml:space="preserve">FRAME SUB-ASSY, FR SEAT BACK MAIN, RH             </t>
  </si>
  <si>
    <t>IFR-08</t>
  </si>
  <si>
    <t>71103-X7A00</t>
  </si>
  <si>
    <t>IFR-10</t>
  </si>
  <si>
    <t>71103-X7A02</t>
  </si>
  <si>
    <t>IFR-74</t>
  </si>
  <si>
    <t>71103-X7A16</t>
  </si>
  <si>
    <t>IFR-76</t>
  </si>
  <si>
    <t>71103-X7A17</t>
  </si>
  <si>
    <t xml:space="preserve">SHAFT, RECLINING ADJUSTING HANDLE        </t>
  </si>
  <si>
    <t xml:space="preserve">72519-X1V18                        </t>
  </si>
  <si>
    <t xml:space="preserve">PIN, RECLINING HINGE                              </t>
  </si>
  <si>
    <t>PD-49</t>
  </si>
  <si>
    <t>IF1L</t>
  </si>
  <si>
    <t>FRAME RR SEAT BACK SIDE LH</t>
  </si>
  <si>
    <t>COVER RECLINING ADJUSTER INSIDE LH</t>
  </si>
  <si>
    <t>ARO-02</t>
  </si>
  <si>
    <t>STOPPER RECLINING</t>
  </si>
  <si>
    <t>STOPPER, RECLINING</t>
  </si>
  <si>
    <t>LINK, RECLINING REMOTE CONTROL LEVER, RH</t>
  </si>
  <si>
    <t xml:space="preserve">72717-X7A01    </t>
  </si>
  <si>
    <t>HOOK,RR SEAT RECLINING CONTROL, RH</t>
  </si>
  <si>
    <t>PATCH,SEAT FRAME</t>
  </si>
  <si>
    <t xml:space="preserve">89953-X7040    </t>
  </si>
  <si>
    <t xml:space="preserve">89953-X7041    </t>
  </si>
  <si>
    <t xml:space="preserve">SPRING, SPIRAL           </t>
  </si>
  <si>
    <t>IF1-31</t>
  </si>
  <si>
    <t>72710-X7A02</t>
  </si>
  <si>
    <t xml:space="preserve">ADJUSTER ASSY, RR SEAT BACK, INNER RH             </t>
  </si>
  <si>
    <t>IF1-34</t>
  </si>
  <si>
    <t>72740-X7A02</t>
  </si>
  <si>
    <t xml:space="preserve">ADJUSTER ASSY, RR SEAT BACK, OUTER LH             </t>
  </si>
  <si>
    <t>IF1-35</t>
  </si>
  <si>
    <t>72710-X7A03</t>
  </si>
  <si>
    <t xml:space="preserve">ADJ ASSY, RR SEAT BACK, INNER RH ( 2 )            </t>
  </si>
  <si>
    <t>IF1-37</t>
  </si>
  <si>
    <t>72740-X7A03</t>
  </si>
  <si>
    <t xml:space="preserve">ADJ ASSY, RR SEAT BACK, OUTER LH ( 1 )            </t>
  </si>
  <si>
    <t>ARM, RR SEAT RECLINING, LWR LH</t>
  </si>
  <si>
    <t>ARM, RR SEAT RECLINING, LWR RH</t>
  </si>
  <si>
    <t>PIN, RR SEAT RECLINING HINGE</t>
  </si>
  <si>
    <t>PD-50</t>
  </si>
  <si>
    <t>IF1R</t>
  </si>
  <si>
    <t>FRAME RR SEAT BACK SIDE RH</t>
  </si>
  <si>
    <t>COVER RECLINING ADJUSTER INSIDE,RH</t>
  </si>
  <si>
    <t>ADJUSTER ASSY FR SEAT RECLININ</t>
  </si>
  <si>
    <t>HOOK, RR SEAT RECLINING CONTROL, LH</t>
  </si>
  <si>
    <t>PATCH, SEAT FRAME,RH</t>
  </si>
  <si>
    <t>LINK,RECLINING REMOTE CONTROL LEVER,LH</t>
  </si>
  <si>
    <t xml:space="preserve">SPRING, SPIRAL                                    </t>
  </si>
  <si>
    <t>IF1-32</t>
  </si>
  <si>
    <t>72730-X7A01</t>
  </si>
  <si>
    <t xml:space="preserve">ADJUSTER ASSY, RR SEAT BACK, OUTER RH             </t>
  </si>
  <si>
    <t>IF1-33</t>
  </si>
  <si>
    <t>72720-X7A03</t>
  </si>
  <si>
    <t xml:space="preserve">ADJUSTER ASSY, RR SEAT BACK, INNER LH             </t>
  </si>
  <si>
    <t>IF1-36</t>
  </si>
  <si>
    <t>72730-X7A03</t>
  </si>
  <si>
    <t xml:space="preserve">ADJ ASSY, RR SEAT BACK, OUTER RH ( 3 )            </t>
  </si>
  <si>
    <t xml:space="preserve">72769-X7A05    </t>
  </si>
  <si>
    <t>PD-51</t>
  </si>
  <si>
    <t>IF2L</t>
  </si>
  <si>
    <t>COVER RECLINING ADJUSTER INSIDE,LH</t>
  </si>
  <si>
    <t>ADJUSTER ASSY FR SEAT RECLINING</t>
  </si>
  <si>
    <t>BRACKET, RECLINING CONTROL CABLE, LH</t>
  </si>
  <si>
    <t>LEVER, RR SEAT RECLINING RELEASE, LH</t>
  </si>
  <si>
    <t xml:space="preserve">89953-X7037    </t>
  </si>
  <si>
    <t>IF2-52</t>
  </si>
  <si>
    <t>79904-X7A04</t>
  </si>
  <si>
    <t xml:space="preserve">BRACKET SUB-ASSY, NO.3 SEAT BACK, LH              </t>
  </si>
  <si>
    <t>IF2-55</t>
  </si>
  <si>
    <t>79904-X7A03</t>
  </si>
  <si>
    <t>FRAME, RR SEAT BACK SIDE, LH</t>
  </si>
  <si>
    <t>ARM, RR SEAT RECLINING LWR LH</t>
  </si>
  <si>
    <t>SPACER, RR SEAT RECLINING</t>
  </si>
  <si>
    <t>LINK SUB-ASSY, 3RD SEAT, RH</t>
  </si>
  <si>
    <t>HOOK, SEAT COVER SIDE</t>
  </si>
  <si>
    <t>BRACKET, RR SEAT BACK</t>
  </si>
  <si>
    <t>PLATE, NO.2 SEAT CUSHION</t>
  </si>
  <si>
    <t>BRACKET, NO.2 SEAT BACK</t>
  </si>
  <si>
    <t>PD-52</t>
  </si>
  <si>
    <t>IF2R</t>
  </si>
  <si>
    <t>COVER RECLINING ADJUSTER INSIDE RH</t>
  </si>
  <si>
    <t>ADJUSTER ASSY, FR SEAT RECLINING, RH</t>
  </si>
  <si>
    <t>BRACKER,RECLINING CONTROL CABLE,RH</t>
  </si>
  <si>
    <t>LEVER</t>
  </si>
  <si>
    <t>IF2-53</t>
  </si>
  <si>
    <t>79903-X7A03</t>
  </si>
  <si>
    <t xml:space="preserve">BRACKET SUB-ASSY, NO.3 SEAT BACK, RH              </t>
  </si>
  <si>
    <t>IF2-54</t>
  </si>
  <si>
    <t>79903-X7A02</t>
  </si>
  <si>
    <t>FRAME, RR SEAT BACK, SIDE, RH</t>
  </si>
  <si>
    <t>LINK SUB-ASSY, 3RD SEAT, LH</t>
  </si>
  <si>
    <t>HOOK,SEAT COVER SIDE</t>
  </si>
  <si>
    <t>BRACKET, NO.2 SEAT BACK, LH</t>
  </si>
  <si>
    <t>PD-53</t>
  </si>
  <si>
    <t>IFBL</t>
  </si>
  <si>
    <t>AB0-04</t>
  </si>
  <si>
    <t xml:space="preserve">72012-0K010    </t>
  </si>
  <si>
    <t xml:space="preserve">ADJUSTER SUB ASSY FR SEAT OUTE                    </t>
  </si>
  <si>
    <t xml:space="preserve">71876-X7A00    </t>
  </si>
  <si>
    <t>HOOK SEAT COVER SIDE</t>
  </si>
  <si>
    <t>STOPPER,RECLINING</t>
  </si>
  <si>
    <t>HBL-06</t>
  </si>
  <si>
    <t>71104-X1E17</t>
  </si>
  <si>
    <t>89953-X7A11-00</t>
  </si>
  <si>
    <t>IFB-11</t>
  </si>
  <si>
    <t>72021-X7A02</t>
  </si>
  <si>
    <t>ADJUSTER SUB-ASSY,FR SEAT, INNER RH</t>
  </si>
  <si>
    <t>PIN RR SEAT RECLINING HINGE</t>
  </si>
  <si>
    <t xml:space="preserve">89966-X1C00    </t>
  </si>
  <si>
    <t xml:space="preserve">RIVET                                             </t>
  </si>
  <si>
    <t xml:space="preserve">71255-X1C05    </t>
  </si>
  <si>
    <t xml:space="preserve">FRAME, RR SEAT BACK SIDE, LH                      </t>
  </si>
  <si>
    <t xml:space="preserve">79919-X1E10    </t>
  </si>
  <si>
    <t xml:space="preserve">PATCH, SEAT FRAME                                 </t>
  </si>
  <si>
    <t xml:space="preserve">71898-X1E42    </t>
  </si>
  <si>
    <t xml:space="preserve">HOOK, SEAT COVER                                  </t>
  </si>
  <si>
    <t xml:space="preserve">72522-X1E03    </t>
  </si>
  <si>
    <t xml:space="preserve">ARM, RECLINING ADJUSTER, LWR INNER,LH             </t>
  </si>
  <si>
    <t xml:space="preserve">72558-X1E16    </t>
  </si>
  <si>
    <t xml:space="preserve">STOPPER, RECLINING                                </t>
  </si>
  <si>
    <t xml:space="preserve">72751-X1E10    </t>
  </si>
  <si>
    <t xml:space="preserve">BRACKET, SPRING SUPPORT                           </t>
  </si>
  <si>
    <t xml:space="preserve">72751-X1E14    </t>
  </si>
  <si>
    <t xml:space="preserve">81559-X1M11    </t>
  </si>
  <si>
    <t xml:space="preserve">COVER, PROTECTOR                                  </t>
  </si>
  <si>
    <t xml:space="preserve">72520-X1V00    </t>
  </si>
  <si>
    <t xml:space="preserve">ADJUSTER ASSY, FR SEAT RECLINING, LH              </t>
  </si>
  <si>
    <t xml:space="preserve">89923-X1068    </t>
  </si>
  <si>
    <t xml:space="preserve">PIN                                               </t>
  </si>
  <si>
    <t>PD-54</t>
  </si>
  <si>
    <t>IFBR</t>
  </si>
  <si>
    <t>AB0-01</t>
  </si>
  <si>
    <t>72011-0K010</t>
  </si>
  <si>
    <t>ADJ A/S FR SEAT OUTER RH</t>
  </si>
  <si>
    <t xml:space="preserve">71875-X7A00    </t>
  </si>
  <si>
    <t xml:space="preserve">72558-X7A09    </t>
  </si>
  <si>
    <t>HBR-05</t>
  </si>
  <si>
    <t>IFB-12</t>
  </si>
  <si>
    <t xml:space="preserve">72022-X7A02    </t>
  </si>
  <si>
    <t xml:space="preserve">ADJUSTER SUB-ASSY, FR SEAT, INNER LH              </t>
  </si>
  <si>
    <t xml:space="preserve">71254-X1C06    </t>
  </si>
  <si>
    <t xml:space="preserve">FRAME, RR SEAT BACK SIDE, RH                      </t>
  </si>
  <si>
    <t xml:space="preserve">79919-X1E09                                  </t>
  </si>
  <si>
    <t xml:space="preserve">72342-X1E07    </t>
  </si>
  <si>
    <t xml:space="preserve">72751-X1E09    </t>
  </si>
  <si>
    <t xml:space="preserve">72751-X1E11    </t>
  </si>
  <si>
    <t xml:space="preserve">81559-X1M13    </t>
  </si>
  <si>
    <t xml:space="preserve">71898-X1E43    </t>
  </si>
  <si>
    <t xml:space="preserve">72510-X1V00    </t>
  </si>
  <si>
    <t xml:space="preserve">ADJUSTER ASSY, FR SEAT RECLINING, RH              </t>
  </si>
  <si>
    <t xml:space="preserve">72519-X1M39    </t>
  </si>
  <si>
    <t xml:space="preserve">72558-X1C02    </t>
  </si>
  <si>
    <t>PD-55</t>
  </si>
  <si>
    <t>TFR1</t>
  </si>
  <si>
    <t>711252-X7V24</t>
  </si>
  <si>
    <t xml:space="preserve">FRAME, FR SEAT BACK, LH                           </t>
  </si>
  <si>
    <t xml:space="preserve">71151-X7V24    </t>
  </si>
  <si>
    <t xml:space="preserve">FRAME, FR SEAT BACK, RH                           </t>
  </si>
  <si>
    <t>IFL-17</t>
  </si>
  <si>
    <t>71104-X7V05</t>
  </si>
  <si>
    <t>IFR-18</t>
  </si>
  <si>
    <t>71103-X7V05</t>
  </si>
  <si>
    <t>PLATE,RECLINING ADJUSTER</t>
  </si>
  <si>
    <t>FRAME, FR SEAT BACK, RH</t>
  </si>
  <si>
    <t>TFL-41</t>
  </si>
  <si>
    <t>71104-X7V86</t>
  </si>
  <si>
    <t>TFR-40</t>
  </si>
  <si>
    <t>71103-X7V87</t>
  </si>
  <si>
    <t>CAM, RECLINING PAWL LOCK</t>
  </si>
  <si>
    <t>PD-56</t>
  </si>
  <si>
    <t>TFL1</t>
  </si>
  <si>
    <t xml:space="preserve">72577-X7V10    </t>
  </si>
  <si>
    <t xml:space="preserve">STOPPER, FR SEAT BACK, RH                         </t>
  </si>
  <si>
    <t xml:space="preserve">72578-X7V01    </t>
  </si>
  <si>
    <t xml:space="preserve">STOPPER, FR SEAT BACK, LH                         </t>
  </si>
  <si>
    <t>HFL-01</t>
  </si>
  <si>
    <t>71104-X7V55</t>
  </si>
  <si>
    <t>HFL-02</t>
  </si>
  <si>
    <t>71104-X7V54</t>
  </si>
  <si>
    <t>HFR-03</t>
  </si>
  <si>
    <t>71103-X7V54</t>
  </si>
  <si>
    <t>HFR-04</t>
  </si>
  <si>
    <t>71103-X7V55</t>
  </si>
  <si>
    <t>72523-X7V31-P</t>
  </si>
  <si>
    <t>72524-X7V29-P</t>
  </si>
  <si>
    <t xml:space="preserve">72555-X7V11    </t>
  </si>
  <si>
    <t xml:space="preserve">PIN, FR SEAT                                      </t>
  </si>
  <si>
    <t>TFL-25</t>
  </si>
  <si>
    <t>71104-X7V36</t>
  </si>
  <si>
    <t>FRAME SUB-ASSY,FR SEAT BACK MAIN,LH</t>
  </si>
  <si>
    <t>TFL-28</t>
  </si>
  <si>
    <t>71104-X7V49</t>
  </si>
  <si>
    <t>TFR-26</t>
  </si>
  <si>
    <t>71103-X7V36</t>
  </si>
  <si>
    <t>TFR-27</t>
  </si>
  <si>
    <t>71103-X7V49</t>
  </si>
  <si>
    <t>PLATE, RECLINING RELEASE ARM, RH</t>
  </si>
  <si>
    <t>PLATE, RECLINING RELEASE ARM, LH</t>
  </si>
  <si>
    <t>ADJUSTER ASSY, FR SEAT RECLINING, LH</t>
  </si>
  <si>
    <t xml:space="preserve">71151-X7V16    </t>
  </si>
  <si>
    <t xml:space="preserve">71152-X7V16    </t>
  </si>
  <si>
    <t>PD-57</t>
  </si>
  <si>
    <t>RCT</t>
  </si>
  <si>
    <t>CRC-56</t>
  </si>
  <si>
    <t>72506-X1406</t>
  </si>
  <si>
    <t>ROD SUB-ASSY, RECLINING CONNECTING</t>
  </si>
  <si>
    <t>IRD-63</t>
  </si>
  <si>
    <t>72506-X7A04</t>
  </si>
  <si>
    <t>IRD-64</t>
  </si>
  <si>
    <t>72506-X7V00</t>
  </si>
  <si>
    <t>IRD-77</t>
  </si>
  <si>
    <t>72659-X7A09</t>
  </si>
  <si>
    <t>ROD, RR SEAT BACK LOCK CONNECTING</t>
  </si>
  <si>
    <t>ORD-25</t>
  </si>
  <si>
    <t xml:space="preserve">72743-X1704    </t>
  </si>
  <si>
    <t>ROD, RR SEAT RECLINING</t>
  </si>
  <si>
    <t xml:space="preserve">B1127-204225   </t>
  </si>
  <si>
    <t>PIPE F=12.7 T=2.0 L=422.5 MM.</t>
  </si>
  <si>
    <t xml:space="preserve">B1127-202783   </t>
  </si>
  <si>
    <t xml:space="preserve">PIPE=12.7 T=2.0 L=278.3                           </t>
  </si>
  <si>
    <t>PIPE STKM 13A Dia 12.7 T=2.0 L=406.2</t>
  </si>
  <si>
    <t>PIPE STKM 13A Dia 12.7 T=2.0 L=416.8</t>
  </si>
  <si>
    <t>PIPE STKM 370 Dia 12.7 T=2.0 L=586.9</t>
  </si>
  <si>
    <t>PD-58</t>
  </si>
  <si>
    <t>EHT</t>
  </si>
  <si>
    <t>NHT-13</t>
  </si>
  <si>
    <t>PIPE F=12 T=0.8 L=910 MM</t>
  </si>
  <si>
    <t>PD-59</t>
  </si>
  <si>
    <t>NB0-02</t>
  </si>
  <si>
    <t>PIPE F=12.7 T=1.2 L=802.3 2ND ?</t>
  </si>
  <si>
    <t>PD-60</t>
  </si>
  <si>
    <t>THT</t>
  </si>
  <si>
    <t>NHT-35</t>
  </si>
  <si>
    <t>NHT-33</t>
  </si>
  <si>
    <t>NHT-34</t>
  </si>
  <si>
    <t xml:space="preserve">72211-0D320    </t>
  </si>
  <si>
    <t xml:space="preserve">HANDLE, SEAT TRACK ADJUSTING                      </t>
  </si>
  <si>
    <t xml:space="preserve">B1120-07744    </t>
  </si>
  <si>
    <t>PIPE=12.0 T=0.7 L=744.0</t>
  </si>
  <si>
    <t xml:space="preserve">B1120-07642    </t>
  </si>
  <si>
    <t xml:space="preserve">PIPE=12.0 T=0.7 L=642.0                           </t>
  </si>
  <si>
    <t>PD-61</t>
  </si>
  <si>
    <t>งานรอลอกสี</t>
  </si>
  <si>
    <t>72211-K050</t>
  </si>
  <si>
    <t>PD-62</t>
  </si>
  <si>
    <t>ITSL-3</t>
  </si>
  <si>
    <t>BRCKET,FR OUTER SEAT</t>
  </si>
  <si>
    <t>BRACKET, FR INNER SEAT</t>
  </si>
  <si>
    <t>BRACKET, FR OUTER SEAT</t>
  </si>
  <si>
    <t>ITSL-01</t>
  </si>
  <si>
    <t>ITSL-02</t>
  </si>
  <si>
    <t>ITSL-03</t>
  </si>
  <si>
    <t>PIN, SEAT TRACK</t>
  </si>
  <si>
    <t>BRACKET , FR  SEAT TRACK RR INNER</t>
  </si>
  <si>
    <t>PD-63</t>
  </si>
  <si>
    <t>ITA</t>
  </si>
  <si>
    <t>EUR-S10</t>
  </si>
  <si>
    <t>EUR-S11</t>
  </si>
  <si>
    <t>EUR-S12</t>
  </si>
  <si>
    <t>EUR-S13</t>
  </si>
  <si>
    <t>EUR-S9</t>
  </si>
  <si>
    <t>ITI-93</t>
  </si>
  <si>
    <t>72130-X7V73</t>
  </si>
  <si>
    <t>ITI-95</t>
  </si>
  <si>
    <t>72140-X7V71</t>
  </si>
  <si>
    <t>ITI-97</t>
  </si>
  <si>
    <t>72140-X7V70</t>
  </si>
  <si>
    <t>ITI-99</t>
  </si>
  <si>
    <t>72130-X7V72</t>
  </si>
  <si>
    <t>ITO-94</t>
  </si>
  <si>
    <t>72110-X7V66</t>
  </si>
  <si>
    <t>ITO-96</t>
  </si>
  <si>
    <t>72110-X7V65</t>
  </si>
  <si>
    <t>ITO-98</t>
  </si>
  <si>
    <t>72120-X7V32</t>
  </si>
  <si>
    <t>72146-X7V67</t>
  </si>
  <si>
    <t>TRACK ASSY FR SEAT OUTER</t>
  </si>
  <si>
    <t>TRACK ASSY FR SEAT LH</t>
  </si>
  <si>
    <t>COVER,SEAT TRACK UPR RAIL,FR</t>
  </si>
  <si>
    <t>COVER,SEAT TRACK UPR RAIL,RR</t>
  </si>
  <si>
    <t>PLATE,INNER SEAT TRACK LOCK</t>
  </si>
  <si>
    <t>PD-64</t>
  </si>
  <si>
    <t>IUA</t>
  </si>
  <si>
    <t>PANEL, FR SEAT BACK FRAME, UPR</t>
  </si>
  <si>
    <t>IUA-01</t>
  </si>
  <si>
    <t>79015-X7V23</t>
  </si>
  <si>
    <t>PANEL SUB-ASSY, NO.1 SEAT BACK, UPR</t>
  </si>
  <si>
    <t>FRAM,FR SEAT BACK, CTR</t>
  </si>
  <si>
    <t>PD-65</t>
  </si>
  <si>
    <t>IAR</t>
  </si>
  <si>
    <t>EAR-01</t>
  </si>
  <si>
    <t>72503-X7V46</t>
  </si>
  <si>
    <t>ARM SUB-ASSY, RECLINING ADJ, LWR OUT RH</t>
  </si>
  <si>
    <t>EAR-02</t>
  </si>
  <si>
    <t>72505-X7V23</t>
  </si>
  <si>
    <t xml:space="preserve">ARM SUB-ASSY, RECLINING ADJ, LWR INN RH </t>
  </si>
  <si>
    <t>EAR-03</t>
  </si>
  <si>
    <t>72503-X7V45</t>
  </si>
  <si>
    <t xml:space="preserve">ARM SUB-ASSY, RECLINING ADJ, LWR OUT RH  </t>
  </si>
  <si>
    <t>EAR-04</t>
  </si>
  <si>
    <t>72505-X7V24</t>
  </si>
  <si>
    <t xml:space="preserve">ARM SUB-ASSY, RECLINING ADJ, LWR INN RH  </t>
  </si>
  <si>
    <t>ARM, RECLINING ADJUSTER LWR RH(M6)</t>
  </si>
  <si>
    <t>IAR-85</t>
  </si>
  <si>
    <t>72503-X7V49</t>
  </si>
  <si>
    <t>IAR-87</t>
  </si>
  <si>
    <t>72505-X7V27</t>
  </si>
  <si>
    <t>ARM SUB-ASSY, RECLINING ADJ, LWR INN RH</t>
  </si>
  <si>
    <t>IAR-89</t>
  </si>
  <si>
    <t>72503-X7V47</t>
  </si>
  <si>
    <t>IAR-91</t>
  </si>
  <si>
    <t>72503-X7V48</t>
  </si>
  <si>
    <t>BRACKT SEAT STOPPER</t>
  </si>
  <si>
    <t>PD-66</t>
  </si>
  <si>
    <t>IAL</t>
  </si>
  <si>
    <t>EAL-05</t>
  </si>
  <si>
    <t>72504-X7V45</t>
  </si>
  <si>
    <t>EAL-06</t>
  </si>
  <si>
    <t>72506-X7V28</t>
  </si>
  <si>
    <t>EAL-07</t>
  </si>
  <si>
    <t>72504-X7V24</t>
  </si>
  <si>
    <t>EAL-08</t>
  </si>
  <si>
    <t>72506-X7V27</t>
  </si>
  <si>
    <t>ARM, RECLINING ADJUSTER LWR LH(M6)</t>
  </si>
  <si>
    <t>IAL-84</t>
  </si>
  <si>
    <t>72506-X7V34</t>
  </si>
  <si>
    <t>ARM SUB-ASSY, RECL ADJ, LWR INNER, LH</t>
  </si>
  <si>
    <t>IAL-86</t>
  </si>
  <si>
    <t>IAL-88</t>
  </si>
  <si>
    <t>IAL-90</t>
  </si>
  <si>
    <t>BRACKET SEAT STOPPER</t>
  </si>
  <si>
    <t>PD-67</t>
  </si>
  <si>
    <t>TTL-S</t>
  </si>
  <si>
    <t xml:space="preserve">71371-X7V17    </t>
  </si>
  <si>
    <t xml:space="preserve">BRACKET, FR SEAT TRACK, RR OUTER                  </t>
  </si>
  <si>
    <t>BRACKET, FR INNER SEAT TRACK LWR, RR LH</t>
  </si>
  <si>
    <t>RAIL SUB-ASSY,FR OUTER SEAT TRACK,LWR</t>
  </si>
  <si>
    <t>RAIL SUB-ASSY,FR INN SEAT TRACK,LWR RH</t>
  </si>
  <si>
    <t>RAIL SUB-ASSY,FR INN SEAT TRACK,LWR LH</t>
  </si>
  <si>
    <t>PD-68</t>
  </si>
  <si>
    <t>TTU-S</t>
  </si>
  <si>
    <t>SPRING, PLATE</t>
  </si>
  <si>
    <t>BRACKET, SEAT TRACK HANDLE SUPPORT</t>
  </si>
  <si>
    <t>RAIL, SEAT TRACK, UPR SUB 8 WAY</t>
  </si>
  <si>
    <t>PD-69</t>
  </si>
  <si>
    <t>TTP-S</t>
  </si>
  <si>
    <t>D03L</t>
  </si>
  <si>
    <t>D03R</t>
  </si>
  <si>
    <t>BRACKET, FR SEAT CUSHION, RH</t>
  </si>
  <si>
    <t xml:space="preserve">72277-X7V01    </t>
  </si>
  <si>
    <t xml:space="preserve">SCREW. FR SEAT TRACL SIDE                         </t>
  </si>
  <si>
    <t xml:space="preserve">71820-X7V02    </t>
  </si>
  <si>
    <t xml:space="preserve">SLIDE MOTOR ASSY, FR SEAT CUSHION, LH             </t>
  </si>
  <si>
    <t xml:space="preserve">71810-X7V04    </t>
  </si>
  <si>
    <t xml:space="preserve">SLIDE MOTOR ASSY, FR SEAT CUSHION, RH             </t>
  </si>
  <si>
    <t>TTC724</t>
  </si>
  <si>
    <t xml:space="preserve">72219-X7V03    </t>
  </si>
  <si>
    <t xml:space="preserve">DAMPER,MOTOR HOUSING                              </t>
  </si>
  <si>
    <t xml:space="preserve">71449-X7V00    </t>
  </si>
  <si>
    <t xml:space="preserve">DAMPER,FR SEAT                                    </t>
  </si>
  <si>
    <t xml:space="preserve">89911-X7006    </t>
  </si>
  <si>
    <t xml:space="preserve">BOLT SEAT SET                                     </t>
  </si>
  <si>
    <t xml:space="preserve">71820-X7V03    </t>
  </si>
  <si>
    <t xml:space="preserve">71810-X7V05    </t>
  </si>
  <si>
    <t xml:space="preserve">71121-X7V05    </t>
  </si>
  <si>
    <t xml:space="preserve">BRACKET FR, SEAT CUSHION RH                       </t>
  </si>
  <si>
    <t xml:space="preserve">71122-X7V05    </t>
  </si>
  <si>
    <t xml:space="preserve">BRACKET FR, SEAT CUSHION LH                       </t>
  </si>
  <si>
    <t>HOUSING SUB-ASSY, POWER SEAT, LH</t>
  </si>
  <si>
    <t>1711/1</t>
  </si>
  <si>
    <t>71820-X7V09-00</t>
  </si>
  <si>
    <t>1711/2</t>
  </si>
  <si>
    <t>71810-X7V13-00</t>
  </si>
  <si>
    <t>1711/3</t>
  </si>
  <si>
    <t>71820-X7V10-00</t>
  </si>
  <si>
    <t>1711/4</t>
  </si>
  <si>
    <t>71810-X7V14-00</t>
  </si>
  <si>
    <t>PD-70</t>
  </si>
  <si>
    <t>TT1</t>
  </si>
  <si>
    <t>BRACKET RH</t>
  </si>
  <si>
    <t>BRACKET LH</t>
  </si>
  <si>
    <t>DT8-85</t>
  </si>
  <si>
    <t>721B0-X7V12</t>
  </si>
  <si>
    <t>TRACK ASSY, FR SEAT, INNER LH
(NORMAL,2P)</t>
  </si>
  <si>
    <t>DT8-86</t>
  </si>
  <si>
    <t>72071-X7V02</t>
  </si>
  <si>
    <t>DT8-87</t>
  </si>
  <si>
    <t>TRACK ASSY, FR SEAT, INNER RH
(NORMAL,2P)</t>
  </si>
  <si>
    <t>DT8-88</t>
  </si>
  <si>
    <t>72120-X7V49</t>
  </si>
  <si>
    <t>GL-01,02,03</t>
  </si>
  <si>
    <t>GUIDE, LWR</t>
  </si>
  <si>
    <t>GU-01</t>
  </si>
  <si>
    <t>GUIDE, UPR</t>
  </si>
  <si>
    <t>FR COVER PWR</t>
  </si>
  <si>
    <t>RR COVER</t>
  </si>
  <si>
    <t>TT8-07</t>
  </si>
  <si>
    <t>72140-X7V17</t>
  </si>
  <si>
    <t>TT8-08</t>
  </si>
  <si>
    <t>72110-X7V14</t>
  </si>
  <si>
    <t>TT8-09</t>
  </si>
  <si>
    <t>72140-X7V27</t>
  </si>
  <si>
    <t>TRACK ASSY, FR SEAT, INNER LH
(MEMORY,4P)</t>
  </si>
  <si>
    <t>TT8-10</t>
  </si>
  <si>
    <t>72130-X7V18</t>
  </si>
  <si>
    <t>TT8-11</t>
  </si>
  <si>
    <t>72130-X7V28</t>
  </si>
  <si>
    <t>TRACK ASSY, FR SEAT, INNER RH
(MEMORY,4P)</t>
  </si>
  <si>
    <t>TT8-12</t>
  </si>
  <si>
    <t>72120-X7V06</t>
  </si>
  <si>
    <t xml:space="preserve">72205-X7V76    </t>
  </si>
  <si>
    <t xml:space="preserve">HOUSING SUB-ASSY, POWER SEAT,NO.1     </t>
  </si>
  <si>
    <t xml:space="preserve">72205-X7V77    </t>
  </si>
  <si>
    <t xml:space="preserve">HOUSING SUB-ASSY,POWER SEAT,NO.1         </t>
  </si>
  <si>
    <t>RAIL SEAT TRACK LWR</t>
  </si>
  <si>
    <t>LWR RAIL,PWR OUT</t>
  </si>
  <si>
    <t>LWR RAIL,PWR INN RH</t>
  </si>
  <si>
    <t>LWR RAIL,PWRINN LH</t>
  </si>
  <si>
    <t>Motor LH,Memory(4P)</t>
  </si>
  <si>
    <t>Motor RH,Memory(4P)</t>
  </si>
  <si>
    <t>MotorLH,Normal (2P)</t>
  </si>
  <si>
    <t>Motor RH,Normal(2P)</t>
  </si>
  <si>
    <t>TT-S1</t>
  </si>
  <si>
    <t>BRACKET SCREW</t>
  </si>
  <si>
    <t>UPR RAIL PWR 8WAY</t>
  </si>
  <si>
    <t>SLIDE MOTOR ASSY, FR SEAT CUSHION, LH</t>
  </si>
  <si>
    <t>CAP,SEAT ADJUSTER COVER, FR</t>
  </si>
  <si>
    <t>PD-71</t>
  </si>
  <si>
    <t>TA-S</t>
  </si>
  <si>
    <t>BRACKET, SEAT BELT INNER ANCHOR, LH</t>
  </si>
  <si>
    <t>BRACKET, FR INN SEAT TRACK UPR RAIL, LH</t>
  </si>
  <si>
    <t>BRACKET, FR INN SEAT TRACK UPR RAIL, RH</t>
  </si>
  <si>
    <t xml:space="preserve">72439-X7V18                           </t>
  </si>
  <si>
    <t>PLATE, FR SEAT ADJUSTER, LH</t>
  </si>
  <si>
    <t>PLATE, FR SEAT ADJUSTER, RH</t>
  </si>
  <si>
    <t>HA8-S17</t>
  </si>
  <si>
    <t>71305-X7V21-A</t>
  </si>
  <si>
    <t>TIL SUB-ASSY,SEAT RH,OUT</t>
  </si>
  <si>
    <t>HA8-S18</t>
  </si>
  <si>
    <t>COVER, VERTICAL ADJUSTER BRACKER</t>
  </si>
  <si>
    <t xml:space="preserve">72498-42020                      </t>
  </si>
  <si>
    <t>MIT168</t>
  </si>
  <si>
    <t>89911-X1B03</t>
  </si>
  <si>
    <t>PIN,VERTICAL ADJUSTER NO.1</t>
  </si>
  <si>
    <t>GEAR, VERTICAL ADJUSTER</t>
  </si>
  <si>
    <t xml:space="preserve">72439-X7V23                 </t>
  </si>
  <si>
    <t>SCREW, TAPPING</t>
  </si>
  <si>
    <t>LINK, VERTICAL TRAVEL, NO.2</t>
  </si>
  <si>
    <t>TAP-S5</t>
  </si>
  <si>
    <t>TAP-S6</t>
  </si>
  <si>
    <t>TAP-S7</t>
  </si>
  <si>
    <t>TAP-S8</t>
  </si>
  <si>
    <t>LINK S/A, FR SEAT W/ADJUSTER, INNER RH</t>
  </si>
  <si>
    <t>LINK S/A, FR SEAT W/ADJUSTER, OUTER RH</t>
  </si>
  <si>
    <t>LINK S/A, FR SEAT W/ADJUSTER, OUTER LH</t>
  </si>
  <si>
    <t>TA-S13</t>
  </si>
  <si>
    <t>Rr Link s/a RH,OUT PWR</t>
  </si>
  <si>
    <t>TA-S14</t>
  </si>
  <si>
    <t>Rr Link s/a LH,OUT PWR</t>
  </si>
  <si>
    <t>TILT SUB-ASSY, FR SEAT, RH</t>
  </si>
  <si>
    <t>TILT SUB-ASSY, FR SEAT, LH</t>
  </si>
  <si>
    <t>GEAR, VERTICAL ADJUSTER RH</t>
  </si>
  <si>
    <t>LINK S/A, FR SEAT W/ADJUSTER, INNER LH</t>
  </si>
  <si>
    <t>GEAR, VERTICAL ADJUSTER LH</t>
  </si>
  <si>
    <t>BRACKET SUB-ASSY, BELT INNER ANCHOR, LH</t>
  </si>
  <si>
    <t>BRACKET SUB-ASSY, BELT INNER ANCHOR, RH</t>
  </si>
  <si>
    <t>72308-X7V15</t>
  </si>
  <si>
    <t>72309-X7V20</t>
  </si>
  <si>
    <t>72307-X7V12</t>
  </si>
  <si>
    <t>72306-X7V13</t>
  </si>
  <si>
    <t>SPACER, VERTICAL ADJUSTER</t>
  </si>
  <si>
    <t>75298-X7V31-00</t>
  </si>
  <si>
    <t>COLLER</t>
  </si>
  <si>
    <t>ARM,FR SEAT HINGE,UPR LH</t>
  </si>
  <si>
    <t>ARM, FR SEAT HINGE, UPR RH</t>
  </si>
  <si>
    <t>ARM, FR SEAT HINGE, UPR LH</t>
  </si>
  <si>
    <t>PD-72</t>
  </si>
  <si>
    <t>TAI</t>
  </si>
  <si>
    <t>HA8-16</t>
  </si>
  <si>
    <t>HA8-S15</t>
  </si>
  <si>
    <t>HA8-S4</t>
  </si>
  <si>
    <t>HA8-S5</t>
  </si>
  <si>
    <t>723017-X7V01</t>
  </si>
  <si>
    <t>LINK S/A FR SEAT W/ADJUSTER,INNER</t>
  </si>
  <si>
    <t>HAS-S1</t>
  </si>
  <si>
    <t>HAS-S2</t>
  </si>
  <si>
    <t>HAS-S5</t>
  </si>
  <si>
    <t>HAS-S6</t>
  </si>
  <si>
    <t>Lwr Arm 8 Way/INN LH</t>
  </si>
  <si>
    <t>COLLAR</t>
  </si>
  <si>
    <t>TA-16</t>
  </si>
  <si>
    <t>TIL T PANEL FR TIL LH INN</t>
  </si>
  <si>
    <t>TA6-17</t>
  </si>
  <si>
    <t xml:space="preserve">73042-X7V20    </t>
  </si>
  <si>
    <t>ADJUSTER SUB-ASSY, FR SEAT, INNER LH</t>
  </si>
  <si>
    <t>TA6-19</t>
  </si>
  <si>
    <t xml:space="preserve">72041-X7V19    </t>
  </si>
  <si>
    <t>ADJUSTER SUB-ASSY, FR SEAT, INNER RH</t>
  </si>
  <si>
    <t>TA8-21</t>
  </si>
  <si>
    <t xml:space="preserve">73042-X7V19    </t>
  </si>
  <si>
    <t>TA8-23</t>
  </si>
  <si>
    <t xml:space="preserve">72041-X7V18    </t>
  </si>
  <si>
    <t>72308-X7V16</t>
  </si>
  <si>
    <t>RR LINK S/A RH,INN</t>
  </si>
  <si>
    <t>72307-X7V11</t>
  </si>
  <si>
    <t>RR LINK S/A RH OUT</t>
  </si>
  <si>
    <t>71305-X7V19</t>
  </si>
  <si>
    <t>TILT PANEL RH,INN</t>
  </si>
  <si>
    <t>FR LINK S/A RH,INN</t>
  </si>
  <si>
    <t>FR LINK S/A LH,INN</t>
  </si>
  <si>
    <t>72309-X7V21</t>
  </si>
  <si>
    <t>RR LINK S/A LH,INN</t>
  </si>
  <si>
    <t>PD-73</t>
  </si>
  <si>
    <t>TAO</t>
  </si>
  <si>
    <t>HA8-S12</t>
  </si>
  <si>
    <t>HA8-S14</t>
  </si>
  <si>
    <t>HAS-S3</t>
  </si>
  <si>
    <t>LWR ARM 6 WAY/OUT RH</t>
  </si>
  <si>
    <t>HAS-S4</t>
  </si>
  <si>
    <t>LWR ARM 6 WAY/OUT LH</t>
  </si>
  <si>
    <t>HAS-S7</t>
  </si>
  <si>
    <t>HAS-S8</t>
  </si>
  <si>
    <t>LWR ARM 8 WAY/OUT RH</t>
  </si>
  <si>
    <t>TA6-18</t>
  </si>
  <si>
    <t xml:space="preserve">72031-X7V13    </t>
  </si>
  <si>
    <t>ADJUSTER SUB-ASSY, FR SEAT, OUTER RH</t>
  </si>
  <si>
    <t>TA6-20</t>
  </si>
  <si>
    <t xml:space="preserve">73032-X7V22    </t>
  </si>
  <si>
    <t>ADJUSTER SUB-ASSY, FR SEAT, OUTER LH</t>
  </si>
  <si>
    <t>TA8-22</t>
  </si>
  <si>
    <t>72031-X7V12</t>
  </si>
  <si>
    <t xml:space="preserve">ADJUSTER SUB-ASSY, FR SEAT, OUTER RH              </t>
  </si>
  <si>
    <t>TA8-24</t>
  </si>
  <si>
    <t>73032-X7V21</t>
  </si>
  <si>
    <t xml:space="preserve">ADJUSTER SUB-ASSY, FR SEAT, OUTER LH              </t>
  </si>
  <si>
    <t>LWR ARM 8 WAY/OUT LH</t>
  </si>
  <si>
    <t>72306-X7V12</t>
  </si>
  <si>
    <t>RR LINK S/A LH OUT</t>
  </si>
  <si>
    <t>71305-X7V18</t>
  </si>
  <si>
    <t>TILT PANEL RH,OUT</t>
  </si>
  <si>
    <t>72443-X7V35</t>
  </si>
  <si>
    <t>GEAR ADJUSTER RH MNL</t>
  </si>
  <si>
    <t>72443-X7V38</t>
  </si>
  <si>
    <t>GEAR ADJUSTER LH MNL</t>
  </si>
  <si>
    <t>72307-X7V13</t>
  </si>
  <si>
    <t>FR LINK S/A RH,OUT</t>
  </si>
  <si>
    <t>72306-X7V14</t>
  </si>
  <si>
    <t>FR LINK S/A LH,OUT</t>
  </si>
  <si>
    <t>1886/1</t>
  </si>
  <si>
    <t>PD-74</t>
  </si>
  <si>
    <t>TA4</t>
  </si>
  <si>
    <t>PATCH, FR SEAT CUSHION, RH</t>
  </si>
  <si>
    <t>PATCH, FR SEAT CUSHION, LH</t>
  </si>
  <si>
    <t>TA4-13</t>
  </si>
  <si>
    <t xml:space="preserve">72022-X7V12    </t>
  </si>
  <si>
    <t>TA4-14</t>
  </si>
  <si>
    <t xml:space="preserve">73031-X7V08    </t>
  </si>
  <si>
    <t>TA4-15</t>
  </si>
  <si>
    <t xml:space="preserve">72021-X7V07    </t>
  </si>
  <si>
    <t>TA4-16</t>
  </si>
  <si>
    <t xml:space="preserve">73032-X7V23    </t>
  </si>
  <si>
    <t>TAP-S1</t>
  </si>
  <si>
    <t>ARM, SUB-ASSY,RECLINING ADJUSTER, LWR LH</t>
  </si>
  <si>
    <t>73012-X7V15</t>
  </si>
  <si>
    <t>73011-X7V11</t>
  </si>
  <si>
    <t>PD-75</t>
  </si>
  <si>
    <t>TRL</t>
  </si>
  <si>
    <t xml:space="preserve"> 7X723-X1G01</t>
  </si>
  <si>
    <t>SPRING, RR SEAT LOCK, TENSION</t>
  </si>
  <si>
    <t xml:space="preserve"> 7X697-X1G01</t>
  </si>
  <si>
    <t xml:space="preserve">SPRING, RR SEAT LOCK, TORSION, NO.1 </t>
  </si>
  <si>
    <t xml:space="preserve"> 7X731-X1G01</t>
  </si>
  <si>
    <t>ROD, SEAT BACK LOCK, NO.1</t>
  </si>
  <si>
    <t xml:space="preserve"> 7X732-X1G01</t>
  </si>
  <si>
    <t>ROD, SEAT BACK LOCK, NO.2</t>
  </si>
  <si>
    <t xml:space="preserve"> 7X625-X1G01</t>
  </si>
  <si>
    <t xml:space="preserve">CASE, RR SEAT LOCK, NO.1 </t>
  </si>
  <si>
    <t xml:space="preserve"> 7X195-X1G01</t>
  </si>
  <si>
    <t>SNAP, DOOR LOCK OPEN LEVER</t>
  </si>
  <si>
    <t>BASE, SEAT BACK LOCK SUB, NO.1</t>
  </si>
  <si>
    <t>PD-76</t>
  </si>
  <si>
    <t>HTL-S</t>
  </si>
  <si>
    <t>HTLS-S3</t>
  </si>
  <si>
    <t>HTLS-S4</t>
  </si>
  <si>
    <t>PIN,VERTICAL ADJUST NO.1</t>
  </si>
  <si>
    <t>BOLT,WITH SHOULDER</t>
  </si>
  <si>
    <t>BRACKET, RR SEAT TRACK, RR OUTER</t>
  </si>
  <si>
    <t>BRACKET,SET TRACK,LWR RR</t>
  </si>
  <si>
    <t>PD-77</t>
  </si>
  <si>
    <t>TT2</t>
  </si>
  <si>
    <t>SUB ASSY</t>
  </si>
  <si>
    <t>HTI-13</t>
  </si>
  <si>
    <t>HTLS-03</t>
  </si>
  <si>
    <t>HTLS-04</t>
  </si>
  <si>
    <t>HTO-15</t>
  </si>
  <si>
    <t>COVER,SEAT TRACK,UPR RAIL FR</t>
  </si>
  <si>
    <t>COVER,SEAT TRACK,UPR RR</t>
  </si>
  <si>
    <t>PLATE INNER SEAT TRACK LOCK</t>
  </si>
  <si>
    <t>COVER,SEAT TRACK</t>
  </si>
  <si>
    <t>TT4-01</t>
  </si>
  <si>
    <t>72140-X7V19</t>
  </si>
  <si>
    <t>TRACK ASSY,
FR SEAT, INNER LH</t>
  </si>
  <si>
    <t>TT4-02</t>
  </si>
  <si>
    <t>72110-X7V17</t>
  </si>
  <si>
    <t>TT4-03</t>
  </si>
  <si>
    <t>72130-X7V20</t>
  </si>
  <si>
    <t>TT6-04</t>
  </si>
  <si>
    <t>72140-X7V18</t>
  </si>
  <si>
    <t>TT6-05</t>
  </si>
  <si>
    <t>72110-X7V15</t>
  </si>
  <si>
    <t>TT6-06</t>
  </si>
  <si>
    <t>72130-X7V19</t>
  </si>
  <si>
    <t>PD-78</t>
  </si>
  <si>
    <t>HFRO&amp;HFRI</t>
  </si>
  <si>
    <t>ARM, RECLINING ADJUSTER, CTR RH</t>
  </si>
  <si>
    <t>ARM, RECLINING ADJUSTER, CTR LH</t>
  </si>
  <si>
    <t>BRACKET, SPRING SUPPORT</t>
  </si>
  <si>
    <t>LINK, RECLINING CONTROL, RH</t>
  </si>
  <si>
    <t>FRAME, RR SEAT BACK SIDE, RH</t>
  </si>
  <si>
    <t>HRC-23</t>
  </si>
  <si>
    <t>79303-X1E05</t>
  </si>
  <si>
    <t>FRAME SUB-ASSY, NO.3 SEAT BACK, RH</t>
  </si>
  <si>
    <t>HRI-19</t>
  </si>
  <si>
    <t>79203-X1E12</t>
  </si>
  <si>
    <t>FRAME SUB-ASSY, NO.2 SEAT BACK, RH</t>
  </si>
  <si>
    <t>HRI-21</t>
  </si>
  <si>
    <t>79204-X1E13</t>
  </si>
  <si>
    <t>FRAME SUB-ASSY, NO.2 SEAT BACK, LH</t>
  </si>
  <si>
    <t>HRO-20</t>
  </si>
  <si>
    <t>79304-X1E07</t>
  </si>
  <si>
    <t>FRAME SUB-ASSY, NO.3 SEAT BACK, LH</t>
  </si>
  <si>
    <t>HRO-22</t>
  </si>
  <si>
    <t>79303-X1E07</t>
  </si>
  <si>
    <t>BRACKET, RR SEAT BACK HINGE, INNER RH</t>
  </si>
  <si>
    <t>PLATE, RR SEAT BACK</t>
  </si>
  <si>
    <t>BRACKET, RR SEAT BACK STOPPER</t>
  </si>
  <si>
    <t>LINK, RECLINING CONTROL, LH</t>
  </si>
  <si>
    <t>RING, E</t>
  </si>
  <si>
    <t>ADJUSTER ASSY, RECLINING SEAT, RH</t>
  </si>
  <si>
    <t>ADJUSTER ASSY, RECLINING SEAT, LH</t>
  </si>
  <si>
    <t>PD-79</t>
  </si>
  <si>
    <t>HA-S</t>
  </si>
  <si>
    <t>EUR-S1</t>
  </si>
  <si>
    <t>EUR-S2</t>
  </si>
  <si>
    <t>HA8-S1</t>
  </si>
  <si>
    <t>HA8-S11</t>
  </si>
  <si>
    <t>HA8-S8</t>
  </si>
  <si>
    <t>HA8-S9</t>
  </si>
  <si>
    <t>HAP-P2</t>
  </si>
  <si>
    <t>72503-X7V40</t>
  </si>
  <si>
    <t>72503-X7V39</t>
  </si>
  <si>
    <t>HAP-S3</t>
  </si>
  <si>
    <t>72504-X7V41</t>
  </si>
  <si>
    <t>ARM SUB-ASSY, RECLINING ADJ, LWR OUT LH</t>
  </si>
  <si>
    <t>73011-X7V25</t>
  </si>
  <si>
    <t>72307-X7V28</t>
  </si>
  <si>
    <t>72306-X7V33</t>
  </si>
  <si>
    <t>73012-X7V33</t>
  </si>
  <si>
    <t>73012-X7V34</t>
  </si>
  <si>
    <t>HA-S4</t>
  </si>
  <si>
    <t>HA-S5</t>
  </si>
  <si>
    <t>72443-X7V69</t>
  </si>
  <si>
    <t>HA-S7</t>
  </si>
  <si>
    <t>72443-X7V70</t>
  </si>
  <si>
    <t>72308-X7V31</t>
  </si>
  <si>
    <t>72309-X7V45</t>
  </si>
  <si>
    <t xml:space="preserve">72443-X7V30    </t>
  </si>
  <si>
    <t xml:space="preserve">GEAR, VERTICAL ADJUSTER                           </t>
  </si>
  <si>
    <t xml:space="preserve">72478-X7V20    </t>
  </si>
  <si>
    <t>72505-X7V13</t>
  </si>
  <si>
    <t>BRACKET, FR OUT SEAT TRACK UPR RAIL,LH</t>
  </si>
  <si>
    <t>LINK, VERTICAL TRAVEL, NO. 3</t>
  </si>
  <si>
    <t>2042/1</t>
  </si>
  <si>
    <t>2042/2</t>
  </si>
  <si>
    <t>2042/3</t>
  </si>
  <si>
    <t>2042/4</t>
  </si>
  <si>
    <t>2042/5</t>
  </si>
  <si>
    <t>2042/6</t>
  </si>
  <si>
    <t>2042/7</t>
  </si>
  <si>
    <t>TAP-P6</t>
  </si>
  <si>
    <t>2042/8</t>
  </si>
  <si>
    <t>2042/9</t>
  </si>
  <si>
    <t>2042/10</t>
  </si>
  <si>
    <t>2042/11</t>
  </si>
  <si>
    <t>2042/12</t>
  </si>
  <si>
    <t>HA8-S2</t>
  </si>
  <si>
    <t>7301B-X7V00</t>
  </si>
  <si>
    <t>2042/13</t>
  </si>
  <si>
    <t>7230A-X7V01</t>
  </si>
  <si>
    <t>2042/14</t>
  </si>
  <si>
    <t>72308-X7V59</t>
  </si>
  <si>
    <t>2042/15</t>
  </si>
  <si>
    <t>HA8-S6</t>
  </si>
  <si>
    <t>72307-X7V47</t>
  </si>
  <si>
    <t>2042/16</t>
  </si>
  <si>
    <t>HA8-S7</t>
  </si>
  <si>
    <t>72306-X7V53</t>
  </si>
  <si>
    <t>2042/17</t>
  </si>
  <si>
    <t>HA8-S10</t>
  </si>
  <si>
    <t>72307-X7V48</t>
  </si>
  <si>
    <t>PD-80</t>
  </si>
  <si>
    <t>HAM</t>
  </si>
  <si>
    <t>DA8-81</t>
  </si>
  <si>
    <t>73042-X7V49</t>
  </si>
  <si>
    <t>FR SEAT LH INNER</t>
  </si>
  <si>
    <t>DA8-82</t>
  </si>
  <si>
    <t>FR SEAT RH OUTTER</t>
  </si>
  <si>
    <t>DA8-83</t>
  </si>
  <si>
    <t>FR SEAT RH INNER</t>
  </si>
  <si>
    <t>DA8-84</t>
  </si>
  <si>
    <t>73032-X7V57</t>
  </si>
  <si>
    <t>FR SEAT LH OUTTER</t>
  </si>
  <si>
    <t>HA4-11</t>
  </si>
  <si>
    <t>72022-X7V25</t>
  </si>
  <si>
    <t>HA4-12</t>
  </si>
  <si>
    <t>73031-X7V15</t>
  </si>
  <si>
    <t>HA6-07</t>
  </si>
  <si>
    <t>73042-X7V32</t>
  </si>
  <si>
    <t>HA6-08</t>
  </si>
  <si>
    <t>72031-X7V24</t>
  </si>
  <si>
    <t>HA6-09</t>
  </si>
  <si>
    <t>72041-X7V32</t>
  </si>
  <si>
    <t>HA6-10</t>
  </si>
  <si>
    <t>73032-X7V40</t>
  </si>
  <si>
    <t>LINK ADJUSTER OUTTER RR RH</t>
  </si>
  <si>
    <t>LINK ADJUSTER OUTTER RR LH</t>
  </si>
  <si>
    <t>HA8-S13</t>
  </si>
  <si>
    <t>ARM RECLINING ADJUSTER PWR OUT LH</t>
  </si>
  <si>
    <t>ARM RECLINING ADJUSTER PWR INN LH</t>
  </si>
  <si>
    <t>LINK ADJUSTERINNER FR RH</t>
  </si>
  <si>
    <t>7230A-X7V09</t>
  </si>
  <si>
    <t>LINK ADJUSTERINNERFR LH</t>
  </si>
  <si>
    <t>LINK ADJUSTER OUTTER FR RH</t>
  </si>
  <si>
    <t>LINK ADJUSTER OUTTER FR LH</t>
  </si>
  <si>
    <t>7230A-X7V00</t>
  </si>
  <si>
    <t>LINK ADJUSTERINNER RR LH</t>
  </si>
  <si>
    <t>7230A-X7V58</t>
  </si>
  <si>
    <t>LINK ADJUSTERINNERRR LH</t>
  </si>
  <si>
    <t xml:space="preserve">SPACER, VERTICAL ADJUSTER                         </t>
  </si>
  <si>
    <t>72506-X7V17</t>
  </si>
  <si>
    <t>PD-81</t>
  </si>
  <si>
    <t>ETA</t>
  </si>
  <si>
    <t>ETA-09</t>
  </si>
  <si>
    <t>72110-X7V52</t>
  </si>
  <si>
    <t>ETA-10</t>
  </si>
  <si>
    <t>72140-X7V58</t>
  </si>
  <si>
    <t>ETA-11</t>
  </si>
  <si>
    <t>72120-X7V23</t>
  </si>
  <si>
    <t>ETA-12</t>
  </si>
  <si>
    <t>72130-X7V61</t>
  </si>
  <si>
    <t>ETA-13</t>
  </si>
  <si>
    <t>72130-X7V60</t>
  </si>
  <si>
    <t>ETA-14</t>
  </si>
  <si>
    <t>72110-X7V53</t>
  </si>
  <si>
    <t>72105-X7V40</t>
  </si>
  <si>
    <t>RAIL SUB-ASSY,FR SEAT TRACK UPR RH,OUT</t>
  </si>
  <si>
    <t>72105-X7V42</t>
  </si>
  <si>
    <t>RAIL SUB-ASSY,FR SEAT TRACK UPR LH,OUT</t>
  </si>
  <si>
    <t>72105-X7V41</t>
  </si>
  <si>
    <t>RAIL SUB-ASSY,FR SEAT TRACK UPR RH,INN</t>
  </si>
  <si>
    <t>72105-X7V43</t>
  </si>
  <si>
    <t>RAIL SUB-ASSY,FR SEAT TRACK UPR LH,INN</t>
  </si>
  <si>
    <t>72125-X7V08</t>
  </si>
  <si>
    <t>PD-82</t>
  </si>
  <si>
    <t>EUR-S</t>
  </si>
  <si>
    <t>PD-83</t>
  </si>
  <si>
    <t>ELRT-S</t>
  </si>
  <si>
    <t>RAIL SUB-ASSY, FR INN SEAT TRACK, LWR</t>
  </si>
  <si>
    <t>BRACKET, FR SEAT TRACK, RR INNER</t>
  </si>
  <si>
    <t>BRACKET,SEAT TRACK, LWR RR</t>
  </si>
  <si>
    <t>2113/1</t>
  </si>
  <si>
    <t>PD-84</t>
  </si>
  <si>
    <t>IOF</t>
  </si>
  <si>
    <t xml:space="preserve">PLATE, FR SEAT HINGE, RH </t>
  </si>
  <si>
    <t xml:space="preserve">BRACKET, RR SEAT BACK SET </t>
  </si>
  <si>
    <t>SPRING, TORSION  RH</t>
  </si>
  <si>
    <t>SPRING, TORSION  LH</t>
  </si>
  <si>
    <t>SUNPRESS S-484P(200L/1Pail)</t>
  </si>
  <si>
    <t xml:space="preserve">PLATE, RECLINING ADJUSTER LWR ARM, RH </t>
  </si>
  <si>
    <t xml:space="preserve">PLATE, RECLINING ADJUSTER LWR ARM, LH </t>
  </si>
  <si>
    <t>FRAME, FR SEAT BACK, OUTSIDE</t>
  </si>
  <si>
    <t>FRAME, FR SEAT BACK, OUTSIDE, LH</t>
  </si>
  <si>
    <t>IOF-05</t>
  </si>
  <si>
    <t>71103-X7A18</t>
  </si>
  <si>
    <t>IOF-06</t>
  </si>
  <si>
    <t>71104-X7A18</t>
  </si>
  <si>
    <t>PD-85</t>
  </si>
  <si>
    <t>IOT</t>
  </si>
  <si>
    <t>SPRING, TORSION</t>
  </si>
  <si>
    <t xml:space="preserve">KNOB, SEAT TRACK ADJUSTING HANDLE </t>
  </si>
  <si>
    <t>ROLLER (Selective use)</t>
  </si>
  <si>
    <t xml:space="preserve">BRACKET SUB-ASSY, FR OUT SEAT TRACK, LWR </t>
  </si>
  <si>
    <t>BRACKET SUB-ASSY, INN SEAT TRACK, LWR FR</t>
  </si>
  <si>
    <t xml:space="preserve">BRACKET SUB-ASSY, FR INN SEAT TRACK, LWR </t>
  </si>
  <si>
    <t xml:space="preserve">PIN SUB-ASSY, SEAT TRACK OPEN LEVER </t>
  </si>
  <si>
    <t xml:space="preserve">HANDLE SUB-ASSY, SEAT TRACK ADJ, LH </t>
  </si>
  <si>
    <t xml:space="preserve">LEVER, OUTER SEAT TRACK LOCK </t>
  </si>
  <si>
    <t>RING,E</t>
  </si>
  <si>
    <t>IOT-01</t>
  </si>
  <si>
    <t>72130-X7A17</t>
  </si>
  <si>
    <t>IOT-02</t>
  </si>
  <si>
    <t>72110-X7A17</t>
  </si>
  <si>
    <t>IOT-03</t>
  </si>
  <si>
    <t>72130-X7A18</t>
  </si>
  <si>
    <t>IOT-04</t>
  </si>
  <si>
    <t>72110-X7A18</t>
  </si>
  <si>
    <t>PD-86</t>
  </si>
  <si>
    <t>72531-X1F00</t>
  </si>
  <si>
    <t>PLATE, RECLINING ADJUSTER UPR ARM, RH</t>
  </si>
  <si>
    <t>570-B1</t>
  </si>
  <si>
    <t>GUIDE PLATE RH</t>
  </si>
  <si>
    <t>570-B10</t>
  </si>
  <si>
    <t>GUIDE PLATE LH</t>
  </si>
  <si>
    <t>570-B11</t>
  </si>
  <si>
    <t>570-B12</t>
  </si>
  <si>
    <t>570-B2</t>
  </si>
  <si>
    <t>570-B3</t>
  </si>
  <si>
    <t>570-B4</t>
  </si>
  <si>
    <t>570-B5</t>
  </si>
  <si>
    <t>570-B6</t>
  </si>
  <si>
    <t>570-B7</t>
  </si>
  <si>
    <t>570-B8</t>
  </si>
  <si>
    <t>570-B9</t>
  </si>
  <si>
    <t>570-C1</t>
  </si>
  <si>
    <t>RATCHET RH</t>
  </si>
  <si>
    <t>570-C2</t>
  </si>
  <si>
    <t>570-C3</t>
  </si>
  <si>
    <t>570-C4</t>
  </si>
  <si>
    <t>570-C5</t>
  </si>
  <si>
    <t>72531-X7V6</t>
  </si>
  <si>
    <t>RATCHET LH</t>
  </si>
  <si>
    <t>570-C6</t>
  </si>
  <si>
    <t>570-C7</t>
  </si>
  <si>
    <t>570-C8</t>
  </si>
  <si>
    <t>570-D1</t>
  </si>
  <si>
    <t>RATCHET,RECLINING ADJUSTER</t>
  </si>
  <si>
    <t>570-D2</t>
  </si>
  <si>
    <t>570-D3</t>
  </si>
  <si>
    <t>570-D4</t>
  </si>
  <si>
    <t>2188/1</t>
  </si>
  <si>
    <t>PD-87</t>
  </si>
  <si>
    <t>RATCHET, RECLINING ADJUSTER</t>
  </si>
  <si>
    <t>2189/1</t>
  </si>
  <si>
    <t>2189/2</t>
  </si>
  <si>
    <t>2189/3</t>
  </si>
  <si>
    <t>2189/4</t>
  </si>
  <si>
    <t>2189/5</t>
  </si>
  <si>
    <t>2189/6</t>
  </si>
  <si>
    <t>PD-88</t>
  </si>
  <si>
    <t xml:space="preserve">72523-X1M06    </t>
  </si>
  <si>
    <t>PD-89</t>
  </si>
  <si>
    <t>PAWL RECLINING ADJUSTER RH</t>
  </si>
  <si>
    <t>PAWL RECLINING ADJUSTER LH</t>
  </si>
  <si>
    <t>CAM,RECLINING PAWL LOCK(SLIDE CAM)</t>
  </si>
  <si>
    <t>CAM,RECLINING PAWL LOCK(HINGE CAM)</t>
  </si>
  <si>
    <t>72531-X1C02-P</t>
  </si>
  <si>
    <t>RATCHET RECLINING</t>
  </si>
  <si>
    <t>72523-X1M06-P</t>
  </si>
  <si>
    <t>GUIDE PLATE</t>
  </si>
  <si>
    <t>72513-X1F00-P</t>
  </si>
  <si>
    <t>RING PLATE</t>
  </si>
  <si>
    <t>SPRING SPRIAL</t>
  </si>
  <si>
    <t>PD-90</t>
  </si>
  <si>
    <t>PAWL,RECLINING ADJUSTER,RH</t>
  </si>
  <si>
    <t>PAWL,RECLINING ADJUSTER,LH</t>
  </si>
  <si>
    <t>SPRING,SPIRAL</t>
  </si>
  <si>
    <t>PD-91</t>
  </si>
  <si>
    <t>TGA-01</t>
  </si>
  <si>
    <t>72515-7X7V15</t>
  </si>
  <si>
    <t>RACHET RH</t>
  </si>
  <si>
    <t>PAWL 1 RH</t>
  </si>
  <si>
    <t>PAWL 2 RH</t>
  </si>
  <si>
    <t>CAM RH</t>
  </si>
  <si>
    <t>PD-92</t>
  </si>
  <si>
    <t>TGA-02</t>
  </si>
  <si>
    <t>RACHET LH</t>
  </si>
  <si>
    <t>PAWL 1 LH</t>
  </si>
  <si>
    <t>PAWL 2 LH</t>
  </si>
  <si>
    <t>CAM LH</t>
  </si>
  <si>
    <t>PD-93</t>
  </si>
  <si>
    <t>TGH-01</t>
  </si>
  <si>
    <t>PD-94</t>
  </si>
  <si>
    <t>TGH-02</t>
  </si>
  <si>
    <t>PD-95</t>
  </si>
  <si>
    <t>TGO-01</t>
  </si>
  <si>
    <t>PD-96</t>
  </si>
  <si>
    <t>TGO-02</t>
  </si>
  <si>
    <t>PD-97</t>
  </si>
  <si>
    <t>TGI-01 PQC</t>
  </si>
  <si>
    <t>PD-98</t>
  </si>
  <si>
    <t>OVERSHOOT TOGO</t>
  </si>
  <si>
    <t>2269/1</t>
  </si>
  <si>
    <t>2269/2</t>
  </si>
  <si>
    <t>2269/3</t>
  </si>
  <si>
    <t>2269/4</t>
  </si>
  <si>
    <t>2269/5</t>
  </si>
  <si>
    <t>2269/6</t>
  </si>
  <si>
    <t>2269/7</t>
  </si>
  <si>
    <t>PD-99</t>
  </si>
  <si>
    <t>CHC</t>
  </si>
  <si>
    <t>ZYTEL@70G33HS1L BK031 NYLON RESIN (1000KG/BAG)</t>
  </si>
  <si>
    <t>INJ02</t>
  </si>
  <si>
    <t>11285-X7M04</t>
  </si>
  <si>
    <t>COVER CYLINDER HEAD,UPR</t>
  </si>
  <si>
    <t>COVER, CYLINDER HEAD, UPR</t>
  </si>
  <si>
    <t>INJ04</t>
  </si>
  <si>
    <t>11285-X7A06</t>
  </si>
  <si>
    <t>INJ2</t>
  </si>
  <si>
    <t>MMT-01</t>
  </si>
  <si>
    <t xml:space="preserve">1035B313       </t>
  </si>
  <si>
    <t>COVER ASSY, ROCKER (11201-X7M02)</t>
  </si>
  <si>
    <t>MMT-03</t>
  </si>
  <si>
    <t>1035B394</t>
  </si>
  <si>
    <t>COVER ASSY,ROCKER</t>
  </si>
  <si>
    <t>MMT-04</t>
  </si>
  <si>
    <t>11220-X7M03</t>
  </si>
  <si>
    <t>COVER,CYLINDER HEAD UPR</t>
  </si>
  <si>
    <t>PA:6</t>
  </si>
  <si>
    <t>RECYCLE</t>
  </si>
  <si>
    <t>PA:66</t>
  </si>
  <si>
    <t>MEDIUM, SEPARATOR</t>
  </si>
  <si>
    <t>NYLON-RESIN(800 KG/BAG)</t>
  </si>
  <si>
    <t>GASKET, CYLINDER HEAD COVER</t>
  </si>
  <si>
    <t>GASKET, CYLINDER HEAD COVER,NO.1 ( 11213-851YL )</t>
  </si>
  <si>
    <t>GASKET, CYLINDER HEAD COVER,NO.2 ( 11214-851YL )</t>
  </si>
  <si>
    <t>GASKET, CYLINDER HEAD COVER,NO.3 ( 11159-851YL )</t>
  </si>
  <si>
    <t>GASKET</t>
  </si>
  <si>
    <t>PLATE, VENTILATION BAFFLE</t>
  </si>
  <si>
    <t>11238-X7M03</t>
  </si>
  <si>
    <t>PLATE VENTILATION BAFFLE</t>
  </si>
  <si>
    <t>PLATE OIL RETURN NO.1</t>
  </si>
  <si>
    <t>PLATE OIL RETURN NO.2</t>
  </si>
  <si>
    <t>12284-X7M04</t>
  </si>
  <si>
    <t>PD-100</t>
  </si>
  <si>
    <t>TBAR</t>
  </si>
  <si>
    <t>Frame Fr Seat Cushion</t>
  </si>
  <si>
    <t>PANEL FR SEAT BACK LH</t>
  </si>
  <si>
    <t>Panel Fr Seat back RH</t>
  </si>
  <si>
    <t>KGS.</t>
  </si>
  <si>
    <t>Pregnant Line</t>
  </si>
  <si>
    <t>GUA 5.0,5.1</t>
  </si>
  <si>
    <t>GUA 5.1,5.2</t>
  </si>
  <si>
    <t>GUA4.8-4.9</t>
  </si>
  <si>
    <t>GUA-4.8-5.0</t>
  </si>
  <si>
    <t>GUA-4.8-5.1</t>
  </si>
  <si>
    <t>GUA-4.9,5.0</t>
  </si>
  <si>
    <t>GUA-47</t>
  </si>
  <si>
    <t>GUA-48</t>
  </si>
  <si>
    <t>GUA-49</t>
  </si>
  <si>
    <t>GUA-50</t>
  </si>
  <si>
    <t>GUA-51</t>
  </si>
  <si>
    <t>GUA-52</t>
  </si>
  <si>
    <t>GUIDE,SEAT TRACK ROLLER,LWR</t>
  </si>
  <si>
    <t>GUIDE,SEAT TRACK ROLLER,UPR</t>
  </si>
  <si>
    <t>GUIDE SEAT TRACK</t>
  </si>
  <si>
    <t>BALL 5.2</t>
  </si>
  <si>
    <t>BALL 5.7</t>
  </si>
  <si>
    <t>BALL 4.6</t>
  </si>
  <si>
    <t>BALL 4.7</t>
  </si>
  <si>
    <t>BALL 4.8</t>
  </si>
  <si>
    <t>BALL 4.9</t>
  </si>
  <si>
    <t>BALL 5.0</t>
  </si>
  <si>
    <t>BALL 5.1</t>
  </si>
  <si>
    <t>E-RING</t>
  </si>
  <si>
    <t>TTC721</t>
  </si>
  <si>
    <t>Type</t>
  </si>
  <si>
    <t>No.</t>
  </si>
  <si>
    <t>TOTAL</t>
  </si>
  <si>
    <t>FG</t>
  </si>
  <si>
    <t>2ND HANDLE 4</t>
  </si>
  <si>
    <t>Daihatsu</t>
  </si>
  <si>
    <t>867B</t>
  </si>
  <si>
    <t>TNGA</t>
  </si>
  <si>
    <t>TFL-39</t>
  </si>
  <si>
    <t>ITI-83</t>
  </si>
  <si>
    <t>72056-X7A13</t>
  </si>
  <si>
    <t>ITO-82</t>
  </si>
  <si>
    <t>72052-X7A06</t>
  </si>
  <si>
    <t>TRACK SUB-ASSY, FR SEAT, OUTER LH</t>
  </si>
  <si>
    <t>FR SIDE FRAME RH SEAT OUTER BENCH</t>
  </si>
  <si>
    <t>New</t>
  </si>
  <si>
    <t>72021-X7V07</t>
  </si>
  <si>
    <t>ARM SUB-ASSY, RECLINING ADJ, LWR INN LH</t>
  </si>
  <si>
    <t>500D</t>
  </si>
  <si>
    <t>LF1-47</t>
  </si>
  <si>
    <t>72710-X1M09</t>
  </si>
  <si>
    <t>ADJUSTER ASSY, RR SEAT BACK, INNER RH</t>
  </si>
  <si>
    <t>ETI-22</t>
  </si>
  <si>
    <t>72140-X1V33</t>
  </si>
  <si>
    <t>72022-X7A02</t>
  </si>
  <si>
    <t>DAR-42</t>
  </si>
  <si>
    <t>72503-X7V84</t>
  </si>
  <si>
    <t>72130-BZ460</t>
  </si>
  <si>
    <t>181B</t>
  </si>
  <si>
    <t>71103-X1E13</t>
  </si>
  <si>
    <t>72743-X1704</t>
  </si>
  <si>
    <t>IPK-07</t>
  </si>
  <si>
    <t>72104-X1V32</t>
  </si>
  <si>
    <t>RAIL, SUB ASSY, FR INNER SEAT TRACK, LWR</t>
  </si>
  <si>
    <t>LTO-62</t>
  </si>
  <si>
    <t>721A0-X7V37</t>
  </si>
  <si>
    <t>188B</t>
  </si>
  <si>
    <t>IA8-99</t>
  </si>
  <si>
    <t>72504-X7V77</t>
  </si>
  <si>
    <t>198D</t>
  </si>
  <si>
    <t>TWA-01</t>
  </si>
  <si>
    <t>ARM SUB-ASSY, RECLINING ADJ, LWR INNER, LH</t>
  </si>
  <si>
    <t>535B</t>
  </si>
  <si>
    <t>716B</t>
  </si>
  <si>
    <t>OTI-41</t>
  </si>
  <si>
    <t>72140-X7A19</t>
  </si>
  <si>
    <t>Run Out</t>
  </si>
  <si>
    <t>AA0-04</t>
  </si>
  <si>
    <t>71014-0K020</t>
  </si>
  <si>
    <t>FR SIDE FRAME LH SEAT OUTER NML LIF</t>
  </si>
  <si>
    <t>AA0-13</t>
  </si>
  <si>
    <t>71013-0K100</t>
  </si>
  <si>
    <t>FR SIDE FRAME RH SEAT OUTER NML LIF</t>
  </si>
  <si>
    <t>25B-19</t>
  </si>
  <si>
    <t>71014-0K170</t>
  </si>
  <si>
    <t>FRAME SUB-ASSY,FR SEAT BACK,LH</t>
  </si>
  <si>
    <t>Service Part</t>
  </si>
  <si>
    <t>BB0-01</t>
  </si>
  <si>
    <t>72503-0K010</t>
  </si>
  <si>
    <t>FR LWR ARM RH SEAT OUTER LIFTER</t>
  </si>
  <si>
    <t>CA0-02</t>
  </si>
  <si>
    <t>72130-0K010</t>
  </si>
  <si>
    <t>FR RH SEAT TRACK INNER NML</t>
  </si>
  <si>
    <t>CA0-09</t>
  </si>
  <si>
    <t>72110-0K030</t>
  </si>
  <si>
    <t>FR RH SEAT TRACK OUTER W/I</t>
  </si>
  <si>
    <t>345-22</t>
  </si>
  <si>
    <t>72120-X7A00</t>
  </si>
  <si>
    <t>AB0-10</t>
  </si>
  <si>
    <t>72710-0K030</t>
  </si>
  <si>
    <t>2ND SIDE FRAME RH SEAT INNER 6 SUV</t>
  </si>
  <si>
    <t>EA0-04</t>
  </si>
  <si>
    <t>71360-0K020</t>
  </si>
  <si>
    <t>2ND LH SEAT HINGE INNER 4</t>
  </si>
  <si>
    <t>AC0-01</t>
  </si>
  <si>
    <t>79903-0K020</t>
  </si>
  <si>
    <t>3RD SIDE FRAME RH SEAT</t>
  </si>
  <si>
    <t>030-06</t>
  </si>
  <si>
    <t>79040-0K010-E1</t>
  </si>
  <si>
    <t>AE0-06</t>
  </si>
  <si>
    <t>71014-X1425</t>
  </si>
  <si>
    <t>FR SIDE FRAME LH OUT/INN PWR</t>
  </si>
  <si>
    <t>BD0-01</t>
  </si>
  <si>
    <t>72503-X1400</t>
  </si>
  <si>
    <t>FR LWR ARM RH SEAT OUTER MNL 4 WAY</t>
  </si>
  <si>
    <t>BE0-10</t>
  </si>
  <si>
    <t>72504-X1406</t>
  </si>
  <si>
    <t>FR LWR ARM LH OUT/INN PWR 8 WAY</t>
  </si>
  <si>
    <t>VB0-03</t>
  </si>
  <si>
    <t>72503-X1F05</t>
  </si>
  <si>
    <t>ARM SUB-ASSY, RECLINING ADJUSTER, LWR RH (M4)</t>
  </si>
  <si>
    <t>CD0-04</t>
  </si>
  <si>
    <t>72130-06040</t>
  </si>
  <si>
    <t>FR SEAT TRACK RH SEAT INNER AU MNL 4 WAY</t>
  </si>
  <si>
    <t>CD0-13</t>
  </si>
  <si>
    <t>72120-06030</t>
  </si>
  <si>
    <t>FR SEAT TRACK LH SEAT OUTER STD MNL 6 WAY</t>
  </si>
  <si>
    <t>CE0-18</t>
  </si>
  <si>
    <t>72130-X1412</t>
  </si>
  <si>
    <t>FR SEAT TRACK RH SEAT INNER STD  PWR 8 WAY</t>
  </si>
  <si>
    <t>CE0-31</t>
  </si>
  <si>
    <t>72110-X1412</t>
  </si>
  <si>
    <t>FR SEAT TRACK RH SEAT OUTER PWR</t>
  </si>
  <si>
    <t>YC0-06</t>
  </si>
  <si>
    <t>72130-0D050</t>
  </si>
  <si>
    <t>TRACK ASSY FR SEAT INNER RH</t>
  </si>
  <si>
    <t>VC0-03</t>
  </si>
  <si>
    <t>72120-0D040</t>
  </si>
  <si>
    <t>TRACK ASSY, FR SEAT, OUTER LH (M4)</t>
  </si>
  <si>
    <t>344-31</t>
  </si>
  <si>
    <t>72130-02111</t>
  </si>
  <si>
    <t>344-06</t>
  </si>
  <si>
    <t>72140-02110</t>
  </si>
  <si>
    <t>345-08</t>
  </si>
  <si>
    <t>72120-02120</t>
  </si>
  <si>
    <t>GC0-04</t>
  </si>
  <si>
    <t>72211-06020</t>
  </si>
  <si>
    <t>CFL-72</t>
  </si>
  <si>
    <t>71104-X1419</t>
  </si>
  <si>
    <t>CA4-02</t>
  </si>
  <si>
    <t>72504-X1415</t>
  </si>
  <si>
    <t>OA4-27</t>
  </si>
  <si>
    <t>72504-X1713</t>
  </si>
  <si>
    <t>CTI-39</t>
  </si>
  <si>
    <t>72130-X1421</t>
  </si>
  <si>
    <t>CTO-38</t>
  </si>
  <si>
    <t>72120-X1421</t>
  </si>
  <si>
    <t>CTI-20</t>
  </si>
  <si>
    <t>72140-X1425</t>
  </si>
  <si>
    <t>CTI-28</t>
  </si>
  <si>
    <t>72140-X1427</t>
  </si>
  <si>
    <t>CTO-49</t>
  </si>
  <si>
    <t>72110-X1437</t>
  </si>
  <si>
    <t>OTO-04</t>
  </si>
  <si>
    <t>72120-X1705</t>
  </si>
  <si>
    <t>OTI-13</t>
  </si>
  <si>
    <t>72140-X1709</t>
  </si>
  <si>
    <t>OTI-34</t>
  </si>
  <si>
    <t>72140-X1713</t>
  </si>
  <si>
    <t>ORL-23</t>
  </si>
  <si>
    <t>71204-X1701</t>
  </si>
  <si>
    <t>FRAME SUB-ASSY, RR SEAT BACK MAIN, RH</t>
  </si>
  <si>
    <t>STI-03</t>
  </si>
  <si>
    <t>72130-0K090</t>
  </si>
  <si>
    <t>DMX-06</t>
  </si>
  <si>
    <t>T05C7B4210051</t>
  </si>
  <si>
    <t>S05F2B4650011</t>
  </si>
  <si>
    <t>HINGE ASSY RH</t>
  </si>
  <si>
    <t>HAS-20</t>
  </si>
  <si>
    <t>72402-X7V72</t>
  </si>
  <si>
    <t>IPK-02</t>
  </si>
  <si>
    <t>RAIL SUB-ASSY, SET TRACK, UPR RH</t>
  </si>
  <si>
    <t>ITO-22</t>
  </si>
  <si>
    <t>72052-X7A00</t>
  </si>
  <si>
    <t>71103-X7V03</t>
  </si>
  <si>
    <t>ECI</t>
  </si>
  <si>
    <t>72504-X7V46</t>
  </si>
  <si>
    <t>LINK SUB-ASSY, FR VERTICAL, LH</t>
  </si>
  <si>
    <t>320D</t>
  </si>
  <si>
    <t>IFL-41</t>
  </si>
  <si>
    <t>LT1-02</t>
  </si>
  <si>
    <t>72170-0G010</t>
  </si>
  <si>
    <t>ETI-05</t>
  </si>
  <si>
    <t>72130-X1V12</t>
  </si>
  <si>
    <t>71103-X1V17</t>
  </si>
  <si>
    <t>ITI-81</t>
  </si>
  <si>
    <t>72055-X7A16</t>
  </si>
  <si>
    <t>73031-X7V08</t>
  </si>
  <si>
    <t>72120-BZ380</t>
  </si>
  <si>
    <t>DAL-45</t>
  </si>
  <si>
    <t>72506-X7V60</t>
  </si>
  <si>
    <t>72140-BZ420</t>
  </si>
  <si>
    <t>ETI-23</t>
  </si>
  <si>
    <t>72130-X1V31</t>
  </si>
  <si>
    <t>384D</t>
  </si>
  <si>
    <t>CT8-34</t>
  </si>
  <si>
    <t>721C0-X7V51</t>
  </si>
  <si>
    <t>CT8-38</t>
  </si>
  <si>
    <t>721B0-X7V53</t>
  </si>
  <si>
    <t>CT4-33</t>
  </si>
  <si>
    <t>721D0-X7V21</t>
  </si>
  <si>
    <t>CT4-32</t>
  </si>
  <si>
    <t>721B0-X7V56</t>
  </si>
  <si>
    <t>AA0-07</t>
  </si>
  <si>
    <t>71013-0K040</t>
  </si>
  <si>
    <t>FR SIDE FRAME LH SEAT INNER W/I</t>
  </si>
  <si>
    <t>AA0-16</t>
  </si>
  <si>
    <t>71014-0K110</t>
  </si>
  <si>
    <t>BA0-01</t>
  </si>
  <si>
    <t>72503-0K030</t>
  </si>
  <si>
    <t>FR LWR ARM RH SEAT OUTER NML W/I</t>
  </si>
  <si>
    <t>BB0-04</t>
  </si>
  <si>
    <t>72504-0K020</t>
  </si>
  <si>
    <t>FR LWR ARM LH SEAT OUTER LIFTER</t>
  </si>
  <si>
    <t>CA0-05</t>
  </si>
  <si>
    <t>72110-0K020</t>
  </si>
  <si>
    <t>FR RH SEAT TRACK OUTER LIFTER</t>
  </si>
  <si>
    <t>CA0-12</t>
  </si>
  <si>
    <t>72140-0K030</t>
  </si>
  <si>
    <t>FR LH SEAT TRACK INNER W/I</t>
  </si>
  <si>
    <t>GA0-01</t>
  </si>
  <si>
    <t>72211-0K010</t>
  </si>
  <si>
    <t>FR HANDLE (CAP)</t>
  </si>
  <si>
    <t>CB0-02</t>
  </si>
  <si>
    <t>72160-0K070</t>
  </si>
  <si>
    <t>2ND RH SEAT TRACK INNER 6</t>
  </si>
  <si>
    <t>EA0-13</t>
  </si>
  <si>
    <t>71360-0K050</t>
  </si>
  <si>
    <t>2ND LH SEAT HINGE OUTER 4 AR</t>
  </si>
  <si>
    <t>HA0-02</t>
  </si>
  <si>
    <t>79040-0K010-A0</t>
  </si>
  <si>
    <t>3RD LH SEAT LEG</t>
  </si>
  <si>
    <t>GB0-01</t>
  </si>
  <si>
    <t>72211-0K040</t>
  </si>
  <si>
    <t>2ND HANDLE 5</t>
  </si>
  <si>
    <t>YA0-01</t>
  </si>
  <si>
    <t>71013-X1F05</t>
  </si>
  <si>
    <t>FRAME SUB-ASSY FR SEAT BACK RH</t>
  </si>
  <si>
    <t>BD0-04</t>
  </si>
  <si>
    <t>72503-X1401</t>
  </si>
  <si>
    <t>FR LWR ARM LH SEAT INNER MNL 4 WAY</t>
  </si>
  <si>
    <t>YB0-01</t>
  </si>
  <si>
    <t>72503-X1F02</t>
  </si>
  <si>
    <t>ARM SUB-ASSY REC ADJ LWR RH</t>
  </si>
  <si>
    <t>152-02</t>
  </si>
  <si>
    <t>72504-X1F00</t>
  </si>
  <si>
    <t>CD0-07</t>
  </si>
  <si>
    <t>72140-06020</t>
  </si>
  <si>
    <t>FR SEAT TRACK LH SEAT INNER STD MNL 4 WAY</t>
  </si>
  <si>
    <t>CD0-16</t>
  </si>
  <si>
    <t>72140-06050</t>
  </si>
  <si>
    <t>FR SEAT TRACK LH SEAT INNER AU MNL 6 WAY</t>
  </si>
  <si>
    <t>CE0-21</t>
  </si>
  <si>
    <t>72140-X1410</t>
  </si>
  <si>
    <t>FR SEAT TRACK LH SEAT INNER STD PWR 8 WAY</t>
  </si>
  <si>
    <t>CE0-34</t>
  </si>
  <si>
    <t>72140-X1412</t>
  </si>
  <si>
    <t>FR SEAT TRACK LH SEAT INNER PWR</t>
  </si>
  <si>
    <t>YC0-09</t>
  </si>
  <si>
    <t>72120-0D050</t>
  </si>
  <si>
    <t>TRACK ASSY FR SEAT OUTER LH</t>
  </si>
  <si>
    <t>VC0-06</t>
  </si>
  <si>
    <t>72130-0D070</t>
  </si>
  <si>
    <t>TRACK ASSY, FR SEAT, INNER RH (M4)</t>
  </si>
  <si>
    <t>344-03</t>
  </si>
  <si>
    <t>72140-02160</t>
  </si>
  <si>
    <t>344-29</t>
  </si>
  <si>
    <t>72130-X1715</t>
  </si>
  <si>
    <t>345-11</t>
  </si>
  <si>
    <t>72110-02140</t>
  </si>
  <si>
    <t>CFL-13</t>
  </si>
  <si>
    <t>71104-X1406</t>
  </si>
  <si>
    <t>OA4-30</t>
  </si>
  <si>
    <t>72503-X1713</t>
  </si>
  <si>
    <t>CTI-40</t>
  </si>
  <si>
    <t>72140-X1419</t>
  </si>
  <si>
    <t>CTO-45</t>
  </si>
  <si>
    <t>72110-X1423</t>
  </si>
  <si>
    <t>CTI-61</t>
  </si>
  <si>
    <t>72130-X1445</t>
  </si>
  <si>
    <t>CTI-50</t>
  </si>
  <si>
    <t>72140-X1434</t>
  </si>
  <si>
    <t>CTO-55</t>
  </si>
  <si>
    <t>72120-X1435</t>
  </si>
  <si>
    <t>OTI-06</t>
  </si>
  <si>
    <t>72140-X1704</t>
  </si>
  <si>
    <t>OTO-16</t>
  </si>
  <si>
    <t>72110-X1706</t>
  </si>
  <si>
    <t>ISA-04</t>
  </si>
  <si>
    <t>STI-06</t>
  </si>
  <si>
    <t>72140-0K100</t>
  </si>
  <si>
    <t>FR LH SEAT TRACK INNER LIFTER</t>
  </si>
  <si>
    <t>DMX-09</t>
  </si>
  <si>
    <t>U05C7B4210361</t>
  </si>
  <si>
    <t>TFR-30</t>
  </si>
  <si>
    <t>71103-X7V38</t>
  </si>
  <si>
    <t>HSU-26</t>
  </si>
  <si>
    <t>72750-X1E06</t>
  </si>
  <si>
    <t>ADJUSTER ASSY, NO.3 SEAT RECLINING, RH</t>
  </si>
  <si>
    <t>ELR-15</t>
  </si>
  <si>
    <t>72405-X7V15</t>
  </si>
  <si>
    <t>LINK SUB-ASSY, FR VERTICAL, RH</t>
  </si>
  <si>
    <t>ADJUSTER ASSY, RR SEAT BACK, INNER LH</t>
  </si>
  <si>
    <t>72506-X7V32</t>
  </si>
  <si>
    <t>LF1-54</t>
  </si>
  <si>
    <t>72740-X1M16</t>
  </si>
  <si>
    <t>ADJUSTER ASSY, RR SEAT BACK, OUTER LH</t>
  </si>
  <si>
    <t>72012-0K010</t>
  </si>
  <si>
    <t>FR SIDE FRAME LH SEAT INNER BENCH</t>
  </si>
  <si>
    <t>72503-X1B13</t>
  </si>
  <si>
    <t>DAL-41</t>
  </si>
  <si>
    <t>72506-X7V59</t>
  </si>
  <si>
    <t>560B</t>
  </si>
  <si>
    <t>IT8-D4</t>
  </si>
  <si>
    <t>72120-X7V41</t>
  </si>
  <si>
    <t>CT8-35</t>
  </si>
  <si>
    <t>721A0-X7V30</t>
  </si>
  <si>
    <t>IPK-08</t>
  </si>
  <si>
    <t>72104-X1V31</t>
  </si>
  <si>
    <t>LTI-61</t>
  </si>
  <si>
    <t>721C0-X7V61</t>
  </si>
  <si>
    <t>72120-X7V61</t>
  </si>
  <si>
    <t>TWL-06</t>
  </si>
  <si>
    <t>TAS-31</t>
  </si>
  <si>
    <t>72401-X7V13</t>
  </si>
  <si>
    <t>CT8-36</t>
  </si>
  <si>
    <t>721C0-X7V53</t>
  </si>
  <si>
    <t>645B</t>
  </si>
  <si>
    <t>72503-X7A25</t>
  </si>
  <si>
    <t>AA0-03</t>
  </si>
  <si>
    <t>71013-0K020</t>
  </si>
  <si>
    <t>FR SIDE FRAME LH SEAT INNER NML LIF</t>
  </si>
  <si>
    <t>AA0-12</t>
  </si>
  <si>
    <t>71014-0K090</t>
  </si>
  <si>
    <t>25A-20</t>
  </si>
  <si>
    <t>71013-0K150</t>
  </si>
  <si>
    <t>FRAME SUB-ASSY,FR SEAT BACK,RH</t>
  </si>
  <si>
    <t>BA0-04</t>
  </si>
  <si>
    <t>72504-0K030</t>
  </si>
  <si>
    <t>FR LWR ARM LH SEAT OUTER NML W/I</t>
  </si>
  <si>
    <t>CA0-01</t>
  </si>
  <si>
    <t>72110-0K010</t>
  </si>
  <si>
    <t>FR RH SEAT TRACK OUTER NML</t>
  </si>
  <si>
    <t>CA0-16</t>
  </si>
  <si>
    <t>72140-0K021</t>
  </si>
  <si>
    <t>345-21</t>
  </si>
  <si>
    <t>72110-X7A00</t>
  </si>
  <si>
    <t>AB0-09</t>
  </si>
  <si>
    <t>72730-0K030</t>
  </si>
  <si>
    <t>2ND SIDE FRAME RH SEAT OUTER 6 SUV</t>
  </si>
  <si>
    <t>EA0-03</t>
  </si>
  <si>
    <t>71360-0K010</t>
  </si>
  <si>
    <t>2NDLH SEAT HINGE OUTER 4</t>
  </si>
  <si>
    <t>FA0-04</t>
  </si>
  <si>
    <t>72660-0K050</t>
  </si>
  <si>
    <t>2ND LH SEAT LOCK INNER 4</t>
  </si>
  <si>
    <t>030-05</t>
  </si>
  <si>
    <t>79030-0K010-E1</t>
  </si>
  <si>
    <t>AE0-05</t>
  </si>
  <si>
    <t>71013-X1427</t>
  </si>
  <si>
    <t>FR SIDE FRAME RH OUT/INN PWR</t>
  </si>
  <si>
    <t>163-02</t>
  </si>
  <si>
    <t>71014-X1416</t>
  </si>
  <si>
    <t>FRAME SUB-ASSY, FR SEAT BACK, LH</t>
  </si>
  <si>
    <t>BE0-09</t>
  </si>
  <si>
    <t>72503-X1406</t>
  </si>
  <si>
    <t>FR LWR ARM RH OUT/INN PWR 8 WAY</t>
  </si>
  <si>
    <t>VB0-02</t>
  </si>
  <si>
    <t>72504-X1F06</t>
  </si>
  <si>
    <t>ARM SUB-ASSY, RECLINING ADJUSTER, LWR LH (M4)</t>
  </si>
  <si>
    <t>CD0-03</t>
  </si>
  <si>
    <t>72130-06020</t>
  </si>
  <si>
    <t>FR SEAT TRACK RH SEAT INNER STD MNL 4 WAY</t>
  </si>
  <si>
    <t>CD0-12</t>
  </si>
  <si>
    <t>72130-06050</t>
  </si>
  <si>
    <t>FR SEAT TRACK RH SEAT INNER AU  MNL 6 WAY</t>
  </si>
  <si>
    <t>CE0-17</t>
  </si>
  <si>
    <t>72110-X1411</t>
  </si>
  <si>
    <t>FR SEAT TRACK RH SEAT OUTER PWR 8 WAY</t>
  </si>
  <si>
    <t>CE0-26</t>
  </si>
  <si>
    <t>72140-X1409</t>
  </si>
  <si>
    <t>FR SEAT TRACK LH SEAT INNER PWR 4 WAY</t>
  </si>
  <si>
    <t>YC0-05</t>
  </si>
  <si>
    <t>72130-0D060</t>
  </si>
  <si>
    <t>VC0-02</t>
  </si>
  <si>
    <t>72130-0D040</t>
  </si>
  <si>
    <t>TRACK ASSY, FR SEAT, INNER RH (M6)</t>
  </si>
  <si>
    <t>344-01</t>
  </si>
  <si>
    <t>72130-02110</t>
  </si>
  <si>
    <t>344-33</t>
  </si>
  <si>
    <t>72130-02141</t>
  </si>
  <si>
    <t>345-07</t>
  </si>
  <si>
    <t>72110-02110</t>
  </si>
  <si>
    <t>345-19</t>
  </si>
  <si>
    <t>72120-02180</t>
  </si>
  <si>
    <t>CFR-71</t>
  </si>
  <si>
    <t>71103-X1416</t>
  </si>
  <si>
    <t>CA4-03</t>
  </si>
  <si>
    <t>72503-X1411</t>
  </si>
  <si>
    <t xml:space="preserve">ARM SUB-ASSY, RECLINING ADJUSTER, RH </t>
  </si>
  <si>
    <t>OA4-26</t>
  </si>
  <si>
    <t>72503-X1716</t>
  </si>
  <si>
    <t>CTO-34</t>
  </si>
  <si>
    <t>72120-X1419</t>
  </si>
  <si>
    <t xml:space="preserve">TRACK ASSY, FR SEAT, OUTER LH </t>
  </si>
  <si>
    <t>CTI-36</t>
  </si>
  <si>
    <t>72140-X1422</t>
  </si>
  <si>
    <t>CTO-21</t>
  </si>
  <si>
    <t>72110-X1427</t>
  </si>
  <si>
    <t>CTO-29</t>
  </si>
  <si>
    <t>72110-X1429</t>
  </si>
  <si>
    <t>CTI-67</t>
  </si>
  <si>
    <t>72140-X1443</t>
  </si>
  <si>
    <t>OTI-02</t>
  </si>
  <si>
    <t>72140-X1705</t>
  </si>
  <si>
    <t>OTO-12</t>
  </si>
  <si>
    <t>72120-X1703</t>
  </si>
  <si>
    <t>OTI-33</t>
  </si>
  <si>
    <t>72130-X1712</t>
  </si>
  <si>
    <t>ORR-22</t>
  </si>
  <si>
    <t>71203-X1701</t>
  </si>
  <si>
    <t>ST0-02</t>
  </si>
  <si>
    <t>72120-0K090</t>
  </si>
  <si>
    <t>FR LH SEAT TRACK OUTER NML</t>
  </si>
  <si>
    <t>DMX-05</t>
  </si>
  <si>
    <t>T05C7B4210041</t>
  </si>
  <si>
    <t>T05Z1B4100091</t>
  </si>
  <si>
    <t>HAS-18</t>
  </si>
  <si>
    <t>72402-X7V47</t>
  </si>
  <si>
    <t>IA8-92</t>
  </si>
  <si>
    <t>72504-X7V47</t>
  </si>
  <si>
    <t>Round</t>
  </si>
  <si>
    <t>RR0-01</t>
  </si>
  <si>
    <t>ADJUSTER ASSY, FR SEAT RECLINING RH (For Packing)</t>
  </si>
  <si>
    <t>RR0-02</t>
  </si>
  <si>
    <t>ADJUSTER ASSY, FR SEAT RECLINING LH (For Packing)</t>
  </si>
  <si>
    <t>RR0-03</t>
  </si>
  <si>
    <t>72510-X1M15-IN</t>
  </si>
  <si>
    <t>ADJUSTER ASSY,FR SEAT RECLINING RH (For Packing)</t>
  </si>
  <si>
    <t>RR0-04</t>
  </si>
  <si>
    <t>72520-X1M16-IN</t>
  </si>
  <si>
    <t>ADJUSTER ASSY,FR SEAT RECLINING LH (For Packing)</t>
  </si>
  <si>
    <t>TOGO</t>
  </si>
  <si>
    <t>TGR-03</t>
  </si>
  <si>
    <t>TGL-04</t>
  </si>
  <si>
    <t>71104-X7V06</t>
  </si>
  <si>
    <t>BRACKET SUB-ASSY, NO.3 SEAT BACK, LH</t>
  </si>
  <si>
    <t>72130-BZ420</t>
  </si>
  <si>
    <t>LT1-01</t>
  </si>
  <si>
    <t>72180-0G010</t>
  </si>
  <si>
    <t>ETO-07</t>
  </si>
  <si>
    <t>72110-X1V14</t>
  </si>
  <si>
    <t>ARM SUB-ASSY, RECLININIG ADJUSTER, LER LH</t>
  </si>
  <si>
    <t>72022-X7V12</t>
  </si>
  <si>
    <t>DAR-46</t>
  </si>
  <si>
    <t>72503-X7V92</t>
  </si>
  <si>
    <t>LTO-42</t>
  </si>
  <si>
    <t>72051-X7V61</t>
  </si>
  <si>
    <t>IPK-06</t>
  </si>
  <si>
    <t>72103-X1V27</t>
  </si>
  <si>
    <t>RAIL, SUB ASSY, FR OUTER SEAT TRACK, LWR</t>
  </si>
  <si>
    <t>350B</t>
  </si>
  <si>
    <t>IT8-D3</t>
  </si>
  <si>
    <t>72110-X7V82</t>
  </si>
  <si>
    <t>CT4-30</t>
  </si>
  <si>
    <t>721C0-X7V52</t>
  </si>
  <si>
    <t>73032-X7V22</t>
  </si>
  <si>
    <t>CT4-31</t>
  </si>
  <si>
    <t>721A0-X7V31</t>
  </si>
  <si>
    <t>AA0-06</t>
  </si>
  <si>
    <t>71014-0K050</t>
  </si>
  <si>
    <t>FR SIDE FRAME RH SEAT INNER W/I</t>
  </si>
  <si>
    <t>AA0-15</t>
  </si>
  <si>
    <t>71013-0K110</t>
  </si>
  <si>
    <t>25B-22</t>
  </si>
  <si>
    <t>71013-0K340</t>
  </si>
  <si>
    <t>BB0-03</t>
  </si>
  <si>
    <t>72503-0K020</t>
  </si>
  <si>
    <t>FR LWR ARM LH SEAT INNER LIFTER</t>
  </si>
  <si>
    <t>CA0-04</t>
  </si>
  <si>
    <t>72140-0K010</t>
  </si>
  <si>
    <t>FR LH SEAT TRACK INNER NML</t>
  </si>
  <si>
    <t>CA0-11</t>
  </si>
  <si>
    <t>72120-0K030</t>
  </si>
  <si>
    <t>FR LH SEAT TRACK OUTER W/I</t>
  </si>
  <si>
    <t>DA0-02</t>
  </si>
  <si>
    <t>72409-0K020</t>
  </si>
  <si>
    <t>FR ROD LH SEAT LIFTER</t>
  </si>
  <si>
    <t>CB0-01</t>
  </si>
  <si>
    <t>72160-0K060</t>
  </si>
  <si>
    <t>2ND RH SEAT TRACK OUTER 6</t>
  </si>
  <si>
    <t>EA0-12</t>
  </si>
  <si>
    <t>71350-0K060</t>
  </si>
  <si>
    <t>2ND RH SEAT HINGE INNER 6 AR</t>
  </si>
  <si>
    <t>HA0-01</t>
  </si>
  <si>
    <t>79030-0K010-A0</t>
  </si>
  <si>
    <t>3RD RH SEAT LEG</t>
  </si>
  <si>
    <t>030-08</t>
  </si>
  <si>
    <t>79040-0K010-E0</t>
  </si>
  <si>
    <t>AE0-08</t>
  </si>
  <si>
    <t>71014-X7A00</t>
  </si>
  <si>
    <t>BD0-03</t>
  </si>
  <si>
    <t>72504-X1400</t>
  </si>
  <si>
    <t>FR LWR ARM LH SEAT OUTER MNL 4 WAY</t>
  </si>
  <si>
    <t>BE0-12</t>
  </si>
  <si>
    <t>72504-X1408</t>
  </si>
  <si>
    <t>FR LWR ARM LH OUT/INN PWR 4 WAY</t>
  </si>
  <si>
    <t>152-01</t>
  </si>
  <si>
    <t>72503-X1F00</t>
  </si>
  <si>
    <t>CD0-06</t>
  </si>
  <si>
    <t>72120-06040</t>
  </si>
  <si>
    <t>FR SEAT TRACK LH SEAT OUTER AU MNL 4 WAY</t>
  </si>
  <si>
    <t>CD0-15</t>
  </si>
  <si>
    <t>72140-06030</t>
  </si>
  <si>
    <t>FR SEAT TRACK LH SEAT INNER STD MNL 6 WAY</t>
  </si>
  <si>
    <t>CE0-20</t>
  </si>
  <si>
    <t>72120-X1410</t>
  </si>
  <si>
    <t>FR SEAT TRACK LH SEAT OUTER PWR 8 WAY</t>
  </si>
  <si>
    <t>CE0-33</t>
  </si>
  <si>
    <t>72130-X1414</t>
  </si>
  <si>
    <t>FR SEAT TRACK RH SEAT INNER PWR</t>
  </si>
  <si>
    <t>YC0-08</t>
  </si>
  <si>
    <t>72120-0D060</t>
  </si>
  <si>
    <t>VC0-05</t>
  </si>
  <si>
    <t>72110-0D070</t>
  </si>
  <si>
    <t>TRACK ASSY, FR SEAT, OUTER RH (M4)</t>
  </si>
  <si>
    <t>344-32</t>
  </si>
  <si>
    <t>72140-02121</t>
  </si>
  <si>
    <t>344-13</t>
  </si>
  <si>
    <t>72130-X1700</t>
  </si>
  <si>
    <t>345-10</t>
  </si>
  <si>
    <t>72110-02100</t>
  </si>
  <si>
    <t>VD0-01</t>
  </si>
  <si>
    <t>72211-0D060</t>
  </si>
  <si>
    <t>CA4-04</t>
  </si>
  <si>
    <t>72504-X1413</t>
  </si>
  <si>
    <t xml:space="preserve">ARM SUB-ASSY, RECLINING ADJUSTER, LH </t>
  </si>
  <si>
    <t>OA4-29</t>
  </si>
  <si>
    <t>72504-X1708</t>
  </si>
  <si>
    <t>CTO-41</t>
  </si>
  <si>
    <t>72110-X1421</t>
  </si>
  <si>
    <t>CTI-65</t>
  </si>
  <si>
    <t>72130-X1446</t>
  </si>
  <si>
    <t>CTI-23</t>
  </si>
  <si>
    <t>72130-X1428</t>
  </si>
  <si>
    <t>CTI-48</t>
  </si>
  <si>
    <t>72130-X1437</t>
  </si>
  <si>
    <t>CTO-54</t>
  </si>
  <si>
    <t>72110-X1438</t>
  </si>
  <si>
    <t>OTO-07</t>
  </si>
  <si>
    <t>72110-X1703</t>
  </si>
  <si>
    <t>OTI-14</t>
  </si>
  <si>
    <t>72130-X1706</t>
  </si>
  <si>
    <t>OTI-35</t>
  </si>
  <si>
    <t>72130-X1714</t>
  </si>
  <si>
    <t>ISA-01</t>
  </si>
  <si>
    <t>ST0-05</t>
  </si>
  <si>
    <t>72120-0K100</t>
  </si>
  <si>
    <t>FR LH SEAT TRACK OUTER LIFTER</t>
  </si>
  <si>
    <t>DMX-08</t>
  </si>
  <si>
    <t>U05C7B4210211</t>
  </si>
  <si>
    <t>TFL-29</t>
  </si>
  <si>
    <t>71104-X7V38</t>
  </si>
  <si>
    <t>HSU-25</t>
  </si>
  <si>
    <t>72750-X1E05</t>
  </si>
  <si>
    <t>ELL-16</t>
  </si>
  <si>
    <t>72406-X7V17</t>
  </si>
  <si>
    <t>ADJUSTER ASSY, RR SEAT BACK, OUTER RH</t>
  </si>
  <si>
    <t>LF1-53</t>
  </si>
  <si>
    <t>72720-X1M05</t>
  </si>
  <si>
    <t>72041-X7V44</t>
  </si>
  <si>
    <t>72140-BZ460</t>
  </si>
  <si>
    <t>IT8-D1</t>
  </si>
  <si>
    <t>72140-X7V91</t>
  </si>
  <si>
    <t>ETO-11</t>
  </si>
  <si>
    <t>72110-X1V15</t>
  </si>
  <si>
    <t>ETO-08</t>
  </si>
  <si>
    <t>72120-X1V14</t>
  </si>
  <si>
    <t>721B0-X7V66</t>
  </si>
  <si>
    <t>TWL-03</t>
  </si>
  <si>
    <t>72504-X7A25</t>
  </si>
  <si>
    <t>AA0-02</t>
  </si>
  <si>
    <t>71014-0K010</t>
  </si>
  <si>
    <t>FR SIDE FRAME RH SEAT INNER NML LIF</t>
  </si>
  <si>
    <t>AA0-11</t>
  </si>
  <si>
    <t>71013-0K090</t>
  </si>
  <si>
    <t>24B-18</t>
  </si>
  <si>
    <t>71014-0K180</t>
  </si>
  <si>
    <t>BA0-05</t>
  </si>
  <si>
    <t>72503-0K041</t>
  </si>
  <si>
    <t>FR LWR ARM LH SEAT INNER NML W/I</t>
  </si>
  <si>
    <t>150-16</t>
  </si>
  <si>
    <t>72504-X1F05</t>
  </si>
  <si>
    <t>ARM SUB-ASSY RECLINING ADJUSTER LWR RH</t>
  </si>
  <si>
    <t>CA0-08</t>
  </si>
  <si>
    <t>72140-0K020</t>
  </si>
  <si>
    <t>344-25</t>
  </si>
  <si>
    <t>72140-X7A12</t>
  </si>
  <si>
    <t>AB0-08</t>
  </si>
  <si>
    <t>72740-0K020</t>
  </si>
  <si>
    <t>2ND SIDE FRAME LH SEAT OUTER 4</t>
  </si>
  <si>
    <t>EA0-02</t>
  </si>
  <si>
    <t>71350-0K020</t>
  </si>
  <si>
    <t>2ND RH SEAT HINGE INNER 6</t>
  </si>
  <si>
    <t>FA0-03</t>
  </si>
  <si>
    <t>72660-0K010</t>
  </si>
  <si>
    <t>2ND LH SEAT LOCK OUTER 4</t>
  </si>
  <si>
    <t>HA0-08</t>
  </si>
  <si>
    <t>79040-0K010-C0</t>
  </si>
  <si>
    <t>LEG ASSY, RR NO.2 SEAT, LH (136B)</t>
  </si>
  <si>
    <t>AD0-04</t>
  </si>
  <si>
    <t>71014-X1422</t>
  </si>
  <si>
    <t>FR SIDE FRAME LH SEAT OUTER MNL</t>
  </si>
  <si>
    <t>162-01</t>
  </si>
  <si>
    <t>71013-X1418</t>
  </si>
  <si>
    <t>FRAME SUB-ASSY, FR SEAT BACK, RH</t>
  </si>
  <si>
    <t>BD0-08</t>
  </si>
  <si>
    <t>72503-X1403</t>
  </si>
  <si>
    <t>FR LWR ARM LH SEAT INNER MNL 6 WAY</t>
  </si>
  <si>
    <t>VB0-01</t>
  </si>
  <si>
    <t>72503-X1F04</t>
  </si>
  <si>
    <t>CD0-02</t>
  </si>
  <si>
    <t>72110-06040</t>
  </si>
  <si>
    <t>FR SEAT TRACK RH SEAT OUTER AU MNL 4 WAY</t>
  </si>
  <si>
    <t>CD0-11</t>
  </si>
  <si>
    <t>72130-06030</t>
  </si>
  <si>
    <t>FR SEAT TRACK RH SEAT INNER STD MNL 6 WAY</t>
  </si>
  <si>
    <t>CD0-30</t>
  </si>
  <si>
    <t>72120-06070</t>
  </si>
  <si>
    <t>FR SEAT TRACK LH SEAT OUTER MNL</t>
  </si>
  <si>
    <t>CE0-25</t>
  </si>
  <si>
    <t>72120-X1409</t>
  </si>
  <si>
    <t>FR SEAT TRACK LH SEAT OUTER PWR 4 WAY</t>
  </si>
  <si>
    <t>YC0-04</t>
  </si>
  <si>
    <t>72130-0D020</t>
  </si>
  <si>
    <t>TRACK ASSY, F/S INNER RH</t>
  </si>
  <si>
    <t>VC0-01</t>
  </si>
  <si>
    <t>72110-0D040</t>
  </si>
  <si>
    <t>TRACK ASSY, FR SEAT, OUTER RH (M6)</t>
  </si>
  <si>
    <t>VC0-10</t>
  </si>
  <si>
    <t>72140-0D071</t>
  </si>
  <si>
    <t>TRACK ASSY, FR SEAT, INNER LH (M6)</t>
  </si>
  <si>
    <t>344-05</t>
  </si>
  <si>
    <t>72130-02140</t>
  </si>
  <si>
    <t>344-28</t>
  </si>
  <si>
    <t>72140-X1716</t>
  </si>
  <si>
    <t>345-18</t>
  </si>
  <si>
    <t>72120-X1701</t>
  </si>
  <si>
    <t>CFR-70</t>
  </si>
  <si>
    <t>71103-X1415</t>
  </si>
  <si>
    <t>CA4-69</t>
  </si>
  <si>
    <t>72503-X1437</t>
  </si>
  <si>
    <t>OA8-19</t>
  </si>
  <si>
    <t>72503-X1709</t>
  </si>
  <si>
    <t>CTI-32</t>
  </si>
  <si>
    <t>72140-X1420</t>
  </si>
  <si>
    <t xml:space="preserve">TRACK ASSY, FR SEAT, INNER LH </t>
  </si>
  <si>
    <t>CTO-37</t>
  </si>
  <si>
    <t>72110-X1424</t>
  </si>
  <si>
    <t>CTI-19</t>
  </si>
  <si>
    <t>72130-X1427</t>
  </si>
  <si>
    <t>CTI-27</t>
  </si>
  <si>
    <t>72130-X1429</t>
  </si>
  <si>
    <t>CTI-53</t>
  </si>
  <si>
    <t>72140-X1435</t>
  </si>
  <si>
    <t>OTO-03</t>
  </si>
  <si>
    <t>72110-X1704</t>
  </si>
  <si>
    <t>OTI-10</t>
  </si>
  <si>
    <t>72140-X1703</t>
  </si>
  <si>
    <t>OTI-32</t>
  </si>
  <si>
    <t>72140-X1712</t>
  </si>
  <si>
    <t>ORL-21</t>
  </si>
  <si>
    <t>71204-X1700</t>
  </si>
  <si>
    <t>FRAME SUB-ASSY, RR SEAT BACK MAIN, LH</t>
  </si>
  <si>
    <t>ST0-01</t>
  </si>
  <si>
    <t>72110-0K100</t>
  </si>
  <si>
    <t>DMX-04</t>
  </si>
  <si>
    <t>T05C7B4620031</t>
  </si>
  <si>
    <t>SLIDE OUTTER LHD</t>
  </si>
  <si>
    <t>DMX-13</t>
  </si>
  <si>
    <t>U05C7B4000011</t>
  </si>
  <si>
    <t>PUSH NUT</t>
  </si>
  <si>
    <t>HAS-17</t>
  </si>
  <si>
    <t>72401-X7V42</t>
  </si>
  <si>
    <t>IFR-41</t>
  </si>
  <si>
    <t>72503-X7A22</t>
  </si>
  <si>
    <t>LOCK ASSY, RR SEAT, LH</t>
  </si>
  <si>
    <t>73042-X7V19</t>
  </si>
  <si>
    <t>IFR-40</t>
  </si>
  <si>
    <t>LTO-44</t>
  </si>
  <si>
    <t>72052-X7V18</t>
  </si>
  <si>
    <t>72140-BZ430</t>
  </si>
  <si>
    <t>721C0-X7V62</t>
  </si>
  <si>
    <t>72140-X7V54</t>
  </si>
  <si>
    <t>72110-BZ400</t>
  </si>
  <si>
    <t>EA4-25</t>
  </si>
  <si>
    <t>72503-X1V45</t>
  </si>
  <si>
    <t>72211-0D320</t>
  </si>
  <si>
    <t>LTI-63</t>
  </si>
  <si>
    <t>721B0-X7V64</t>
  </si>
  <si>
    <t>TWA-02</t>
  </si>
  <si>
    <t>72503-X7V22</t>
  </si>
  <si>
    <t>DAR-44</t>
  </si>
  <si>
    <t>72505-X7V41</t>
  </si>
  <si>
    <t>TAS-32</t>
  </si>
  <si>
    <t>72402-X7V18</t>
  </si>
  <si>
    <t>AA0-08</t>
  </si>
  <si>
    <t>71014-0K060</t>
  </si>
  <si>
    <t>FR SIDE FRAME LH SEAT OUTER W/I</t>
  </si>
  <si>
    <t>AB0-02</t>
  </si>
  <si>
    <t>72021-0K010</t>
  </si>
  <si>
    <t>FR SIDE FRAME RH SEAT INNER BENCH</t>
  </si>
  <si>
    <t>BA0-02</t>
  </si>
  <si>
    <t>72504-0K040</t>
  </si>
  <si>
    <t>FR LWR ARM RH SEAT INNER NML W/I</t>
  </si>
  <si>
    <t>150-13</t>
  </si>
  <si>
    <t>72503-X7A01</t>
  </si>
  <si>
    <t>CA0-06</t>
  </si>
  <si>
    <t>72130-0K020</t>
  </si>
  <si>
    <t>FR RH SEAT TRACK INNER LIFTER</t>
  </si>
  <si>
    <t>344-20</t>
  </si>
  <si>
    <t>72130-X7A00</t>
  </si>
  <si>
    <t>AB0-05</t>
  </si>
  <si>
    <t>72730-0K020</t>
  </si>
  <si>
    <t>2ND SIDE FRAME RH SEAT OUTER 6</t>
  </si>
  <si>
    <t>CB0-03</t>
  </si>
  <si>
    <t>72170-0K060</t>
  </si>
  <si>
    <t>2ND LH SEAT TRACK OUTER 4</t>
  </si>
  <si>
    <t>EA0-14</t>
  </si>
  <si>
    <t>71360-0K060</t>
  </si>
  <si>
    <t>2ND LH SEAT HINGE INNER 4 AR</t>
  </si>
  <si>
    <t>HA0-03</t>
  </si>
  <si>
    <t>79030-0K010-B0</t>
  </si>
  <si>
    <t>AD0-01</t>
  </si>
  <si>
    <t>71013-X1421</t>
  </si>
  <si>
    <t>FR SIDE FRAME RH SEAT OUTER MNL</t>
  </si>
  <si>
    <t>YA0-02</t>
  </si>
  <si>
    <t>71014-X1F06</t>
  </si>
  <si>
    <t>FRAME SUB-ASSY FR SEAT BACK LH</t>
  </si>
  <si>
    <t>BD0-05</t>
  </si>
  <si>
    <t>72503-X1402</t>
  </si>
  <si>
    <t>FR LWR ARM RH SEAT OUTER MNL 6 WAY</t>
  </si>
  <si>
    <t>YB0-02</t>
  </si>
  <si>
    <t>72504-X1F02</t>
  </si>
  <si>
    <t>ARM SUB-ASSY REC ADJ LWR LH</t>
  </si>
  <si>
    <t>152-03</t>
  </si>
  <si>
    <t>72503-X1F01</t>
  </si>
  <si>
    <t>CD0-08</t>
  </si>
  <si>
    <t>72140-06040</t>
  </si>
  <si>
    <t>FR SEAT TRACK LH SEAT INNER AU MNL 4 WAY</t>
  </si>
  <si>
    <t>CD0-27</t>
  </si>
  <si>
    <t>72110-06070</t>
  </si>
  <si>
    <t>FR SEAT TRACK RH SEAT OUTER STD MNL</t>
  </si>
  <si>
    <t>CE0-22</t>
  </si>
  <si>
    <t>72140-X1411</t>
  </si>
  <si>
    <t>FR SEAT TRACK LH SEAT INNER AU PWR 8 WAY</t>
  </si>
  <si>
    <t>YC0-01</t>
  </si>
  <si>
    <t>72110-0D020</t>
  </si>
  <si>
    <t>TRACK ASSY, OUTER RH</t>
  </si>
  <si>
    <t>YC0-10</t>
  </si>
  <si>
    <t>72140-0D020</t>
  </si>
  <si>
    <t>TRACK ASSY, F/S INNER LH</t>
  </si>
  <si>
    <t>VC0-09</t>
  </si>
  <si>
    <t>72130-0D071</t>
  </si>
  <si>
    <t>344-26</t>
  </si>
  <si>
    <t>72140-02161</t>
  </si>
  <si>
    <t>344-14</t>
  </si>
  <si>
    <t>72140-X1700</t>
  </si>
  <si>
    <t>345-12</t>
  </si>
  <si>
    <t>72120-02110</t>
  </si>
  <si>
    <t>CFR-15</t>
  </si>
  <si>
    <t>71103-X1406</t>
  </si>
  <si>
    <t>CFR-17</t>
  </si>
  <si>
    <t>71103-X1B04</t>
  </si>
  <si>
    <t>Disuse</t>
  </si>
  <si>
    <t>IA6-62</t>
  </si>
  <si>
    <t>72504-X7A07</t>
  </si>
  <si>
    <t>CTI-62</t>
  </si>
  <si>
    <t>72140-X1444</t>
  </si>
  <si>
    <t>CTI-44</t>
  </si>
  <si>
    <t>72140-X1421</t>
  </si>
  <si>
    <t>CTO-25</t>
  </si>
  <si>
    <t>72110-X1428</t>
  </si>
  <si>
    <t>CTI-60</t>
  </si>
  <si>
    <t>72140-X1442</t>
  </si>
  <si>
    <t>ETI-09</t>
  </si>
  <si>
    <t>72130-X1V13</t>
  </si>
  <si>
    <t>OTO-08</t>
  </si>
  <si>
    <t>72120-X1704</t>
  </si>
  <si>
    <t>OTI-17</t>
  </si>
  <si>
    <t>72130-X1707</t>
  </si>
  <si>
    <t>ISA-03</t>
  </si>
  <si>
    <t>DMX-01</t>
  </si>
  <si>
    <t>T05C7B4620061</t>
  </si>
  <si>
    <t>SLIDE INNER RHD</t>
  </si>
  <si>
    <t>DMX-10</t>
  </si>
  <si>
    <t>U05C7B4620021</t>
  </si>
  <si>
    <t>PIN VIRTICAL, ADJUSTER NO.1</t>
  </si>
  <si>
    <t>TFL-37</t>
  </si>
  <si>
    <t>71104-X7V79</t>
  </si>
  <si>
    <t>HSU-27</t>
  </si>
  <si>
    <t>72760-X1E06</t>
  </si>
  <si>
    <t>ADJUSTER ASSY, NO.3 SEAT RECLINING, LH</t>
  </si>
  <si>
    <t>ITO-20</t>
  </si>
  <si>
    <t>72051-X7A07</t>
  </si>
  <si>
    <t>ROD RR SEAT BACK LOCK CONNECTING</t>
  </si>
  <si>
    <t>72504-X7A22</t>
  </si>
  <si>
    <t>72120-BZ360</t>
  </si>
  <si>
    <t>73032-X7V23</t>
  </si>
  <si>
    <t>LF1-48</t>
  </si>
  <si>
    <t>72730-X1M16</t>
  </si>
  <si>
    <t>ETO-12</t>
  </si>
  <si>
    <t>72120-X1V15</t>
  </si>
  <si>
    <t>EA4-24</t>
  </si>
  <si>
    <t>72504-X1V43</t>
  </si>
  <si>
    <t>BRACKET SUB-ASSY, NO.3 SEAT BACK, RH</t>
  </si>
  <si>
    <t>72120-BZ400</t>
  </si>
  <si>
    <t>LTI-41</t>
  </si>
  <si>
    <t>72055-X7V53</t>
  </si>
  <si>
    <t>IPK-05</t>
  </si>
  <si>
    <t>72103-X1V26</t>
  </si>
  <si>
    <t>IT8-D2</t>
  </si>
  <si>
    <t>72130-X7V92</t>
  </si>
  <si>
    <t>TWL-05</t>
  </si>
  <si>
    <t>72041-X7V19</t>
  </si>
  <si>
    <t>OTO-42</t>
  </si>
  <si>
    <t>72120-X7A18</t>
  </si>
  <si>
    <t>72504-X7V42</t>
  </si>
  <si>
    <t>AA0-05</t>
  </si>
  <si>
    <t>71013-0K030</t>
  </si>
  <si>
    <t>FR SIDE FRAME RH SEAT OUTER W/I</t>
  </si>
  <si>
    <t>AA0-14</t>
  </si>
  <si>
    <t>71014-0K100</t>
  </si>
  <si>
    <t>24B-21</t>
  </si>
  <si>
    <t>71014-0K290</t>
  </si>
  <si>
    <t>BB0-02</t>
  </si>
  <si>
    <t>72504-0K010</t>
  </si>
  <si>
    <t>FR LWR ARM RH SEAT INNER LIFTER</t>
  </si>
  <si>
    <t>CA0-03</t>
  </si>
  <si>
    <t>72120-0K010</t>
  </si>
  <si>
    <t>CA0-10</t>
  </si>
  <si>
    <t>72130-0K030</t>
  </si>
  <si>
    <t>FR RH SEAT TRACK INNER W/I</t>
  </si>
  <si>
    <t>DA0-01</t>
  </si>
  <si>
    <t>72409-0K010</t>
  </si>
  <si>
    <t>FR ROD RH SEAT LIFTER</t>
  </si>
  <si>
    <t>AB0-12</t>
  </si>
  <si>
    <t>72740-0K030</t>
  </si>
  <si>
    <t>2ND SIDE FRAME LH SEAT OUTER 4 SUV</t>
  </si>
  <si>
    <t>EA0-11</t>
  </si>
  <si>
    <t>71350-0K050</t>
  </si>
  <si>
    <t>2ND RH SEAT HINGE OUTER 6 AR</t>
  </si>
  <si>
    <t>AC0-02</t>
  </si>
  <si>
    <t>79904-0K020</t>
  </si>
  <si>
    <t>3RD SIDE FRAME LH SEAT</t>
  </si>
  <si>
    <t>030-07</t>
  </si>
  <si>
    <t>79030-0K010-E0</t>
  </si>
  <si>
    <t>AE0-07</t>
  </si>
  <si>
    <t>71013-X7A00</t>
  </si>
  <si>
    <t>BD0-02</t>
  </si>
  <si>
    <t>72504-X1401</t>
  </si>
  <si>
    <t>FR LWR ARM RH SEAT INNER MNL 4 WAY</t>
  </si>
  <si>
    <t>BE0-11</t>
  </si>
  <si>
    <t>72503-X1408</t>
  </si>
  <si>
    <t>FR LWR ARM RH OUT/INN PWR 4 WAY</t>
  </si>
  <si>
    <t>VB0-04</t>
  </si>
  <si>
    <t>72504-X1F07</t>
  </si>
  <si>
    <t>CD0-05</t>
  </si>
  <si>
    <t>72120-06020</t>
  </si>
  <si>
    <t>FR SEAT TRACK LH SEAT OUTER STD MNL 4 WAY</t>
  </si>
  <si>
    <t>CD0-14</t>
  </si>
  <si>
    <t>72120-06050</t>
  </si>
  <si>
    <t>FR SEAT TRACK LH SEAT OUTER AU MNL 6 WAY</t>
  </si>
  <si>
    <t>CE0-19</t>
  </si>
  <si>
    <t>72130-X1413</t>
  </si>
  <si>
    <t>FR SEAT TRACK RH SEAT INNER AU PWR 8 WAY</t>
  </si>
  <si>
    <t>CE0-32</t>
  </si>
  <si>
    <t>72120-X1411</t>
  </si>
  <si>
    <t>FR SEAT TRACK LH SEAT OUTER PWR</t>
  </si>
  <si>
    <t>YC0-07</t>
  </si>
  <si>
    <t>72120-0D020</t>
  </si>
  <si>
    <t>TRACK ASSY, F/S OUTER LH</t>
  </si>
  <si>
    <t>VC0-04</t>
  </si>
  <si>
    <t>72140-0D040</t>
  </si>
  <si>
    <t>TRACK ASSY, FR SEAT, INNER LH (M4)</t>
  </si>
  <si>
    <t>344-02</t>
  </si>
  <si>
    <t>72140-02120</t>
  </si>
  <si>
    <t>344-30</t>
  </si>
  <si>
    <t>72140-02111</t>
  </si>
  <si>
    <t>345-09</t>
  </si>
  <si>
    <t>72120-02170</t>
  </si>
  <si>
    <t>YD0-01</t>
  </si>
  <si>
    <t>72211-0D040</t>
  </si>
  <si>
    <t>HANDLE SEAT TRACK ADJUSTING</t>
  </si>
  <si>
    <t>CFL-73</t>
  </si>
  <si>
    <t>71104-X1420</t>
  </si>
  <si>
    <t>CA4-68</t>
  </si>
  <si>
    <t>72504-X1433</t>
  </si>
  <si>
    <t>OA6-28</t>
  </si>
  <si>
    <t>72503-X1717</t>
  </si>
  <si>
    <t>CTI-63</t>
  </si>
  <si>
    <t>72130-X1447</t>
  </si>
  <si>
    <t>CTI-43</t>
  </si>
  <si>
    <t>72130-X1423</t>
  </si>
  <si>
    <t>CTO-22</t>
  </si>
  <si>
    <t>72120-X1424</t>
  </si>
  <si>
    <t>CTO-30</t>
  </si>
  <si>
    <t>72120-X1426</t>
  </si>
  <si>
    <t>CTO-51</t>
  </si>
  <si>
    <t>72120-X1434</t>
  </si>
  <si>
    <t>OTI-05</t>
  </si>
  <si>
    <t>72130-X1703</t>
  </si>
  <si>
    <t>OTO-15</t>
  </si>
  <si>
    <t>72120-X1708</t>
  </si>
  <si>
    <t>OTI-36</t>
  </si>
  <si>
    <t>72130-X1713</t>
  </si>
  <si>
    <t>ISA-02</t>
  </si>
  <si>
    <t>STI-04</t>
  </si>
  <si>
    <t>72140-0K090</t>
  </si>
  <si>
    <t>DMX-07</t>
  </si>
  <si>
    <t>U05C7B4210101</t>
  </si>
  <si>
    <t>SPIRAL SPRING</t>
  </si>
  <si>
    <t>S05F2B4650021</t>
  </si>
  <si>
    <t>HRC-24</t>
  </si>
  <si>
    <t>79304-X1E05</t>
  </si>
  <si>
    <t>IPK-01</t>
  </si>
  <si>
    <t>BRACKET,TRACK ASSY INNER RH</t>
  </si>
  <si>
    <t>72506-X7V33</t>
  </si>
  <si>
    <t>397D</t>
  </si>
  <si>
    <t>DRL-76</t>
  </si>
  <si>
    <t>72640-X7V02</t>
  </si>
  <si>
    <t>72130-BZ440</t>
  </si>
  <si>
    <t>FRAME SUB-ASSY, FR SEAT BACK MIAN, RH</t>
  </si>
  <si>
    <t>LTI-45</t>
  </si>
  <si>
    <t>72056-X7V45</t>
  </si>
  <si>
    <t>HAS-19</t>
  </si>
  <si>
    <t>72401-X7V62</t>
  </si>
  <si>
    <t>LTI-43</t>
  </si>
  <si>
    <t>72056-X7V44</t>
  </si>
  <si>
    <t>TWL-04</t>
  </si>
  <si>
    <t>72031-X7V13</t>
  </si>
  <si>
    <t>72730-X7A02</t>
  </si>
  <si>
    <t>ITO-80</t>
  </si>
  <si>
    <t>72051-X7A14</t>
  </si>
  <si>
    <t>TRACK SUB-ASSY, FR SEAT,OUTER RH</t>
  </si>
  <si>
    <t>AA0-01</t>
  </si>
  <si>
    <t>71013-0K010</t>
  </si>
  <si>
    <t>AA0-10</t>
  </si>
  <si>
    <t>71014-0K040</t>
  </si>
  <si>
    <t>24A-17</t>
  </si>
  <si>
    <t>71013-0K120</t>
  </si>
  <si>
    <t>BA0-03</t>
  </si>
  <si>
    <t>72503-0K040</t>
  </si>
  <si>
    <t>150-15</t>
  </si>
  <si>
    <t>72503-X7A02</t>
  </si>
  <si>
    <t>CA0-07</t>
  </si>
  <si>
    <t>72120-0K020</t>
  </si>
  <si>
    <t>344-23</t>
  </si>
  <si>
    <t>72140-X7A00</t>
  </si>
  <si>
    <t>AB0-07</t>
  </si>
  <si>
    <t>72720-0K020</t>
  </si>
  <si>
    <t>2ND SIDE FRAME LH SEAT INNER 4</t>
  </si>
  <si>
    <t>EA0-01</t>
  </si>
  <si>
    <t>71350-0K010</t>
  </si>
  <si>
    <t>2ND RH SEAT HINGE OUTER 6</t>
  </si>
  <si>
    <t>FA0-02</t>
  </si>
  <si>
    <t>72650-0K050</t>
  </si>
  <si>
    <t>2ND RH SEAT LOCK INNER 6</t>
  </si>
  <si>
    <t>HA0-07</t>
  </si>
  <si>
    <t>79030-0K010-C0</t>
  </si>
  <si>
    <t>LEG ASSY, RR NO.2 SEAT, RH (136B)</t>
  </si>
  <si>
    <t>AD0-03</t>
  </si>
  <si>
    <t>71013-X1424</t>
  </si>
  <si>
    <t>FR SIDE FRAME LH SEAT INNER MNL</t>
  </si>
  <si>
    <t>YA0-04</t>
  </si>
  <si>
    <t>71014-X1F05</t>
  </si>
  <si>
    <t>BD0-07</t>
  </si>
  <si>
    <t>72504-X1402</t>
  </si>
  <si>
    <t>FR LWR ARM LH SEAT OUTER MNL 6 WAY</t>
  </si>
  <si>
    <t>YB0-04</t>
  </si>
  <si>
    <t>72504-X1F03</t>
  </si>
  <si>
    <t>CD0-01</t>
  </si>
  <si>
    <t>72110-06020</t>
  </si>
  <si>
    <t>FR SEAT TRACK RH SEAT OUTER STD MNL 4 WAY</t>
  </si>
  <si>
    <t>CD0-10</t>
  </si>
  <si>
    <t>72110-06050</t>
  </si>
  <si>
    <t>FR SEAT TRACK RH SEAT OUTER AU MNL 6 WAY</t>
  </si>
  <si>
    <t>CD0-29</t>
  </si>
  <si>
    <t>72140-06070</t>
  </si>
  <si>
    <t>FR SEAT TRACK LH SEAT INNER MNL</t>
  </si>
  <si>
    <t>CE0-24</t>
  </si>
  <si>
    <t>72130-X1411</t>
  </si>
  <si>
    <t>FR SEAT TRACK RH SEAT INNER PWR 4 WAY</t>
  </si>
  <si>
    <t>YC0-03</t>
  </si>
  <si>
    <t>72110-0D050</t>
  </si>
  <si>
    <t>TRACK ASSY FR SEAT OUTER RH</t>
  </si>
  <si>
    <t>YC0-12</t>
  </si>
  <si>
    <t>72140-0D050</t>
  </si>
  <si>
    <t>TRACK ASSY FR SEAT INNER LH</t>
  </si>
  <si>
    <t>VC0-08</t>
  </si>
  <si>
    <t>72140-0D070</t>
  </si>
  <si>
    <t>344-27</t>
  </si>
  <si>
    <t>72130-02101</t>
  </si>
  <si>
    <t>344-17</t>
  </si>
  <si>
    <t>72140-X1701</t>
  </si>
  <si>
    <t>345-16</t>
  </si>
  <si>
    <t>72120-X1700</t>
  </si>
  <si>
    <t>CFL-16</t>
  </si>
  <si>
    <t>71104-X1408</t>
  </si>
  <si>
    <t>CA4-01</t>
  </si>
  <si>
    <t>72503-X1412</t>
  </si>
  <si>
    <t>EA4-02</t>
  </si>
  <si>
    <t>72503-X1V23</t>
  </si>
  <si>
    <t>CTO-33</t>
  </si>
  <si>
    <t>72110-X1422</t>
  </si>
  <si>
    <t xml:space="preserve">TRACK ASSY, FR SEAT, OUTER RH </t>
  </si>
  <si>
    <t>CTI-35</t>
  </si>
  <si>
    <t>72130-X1424</t>
  </si>
  <si>
    <t>CTO-46</t>
  </si>
  <si>
    <t>72120-X1420</t>
  </si>
  <si>
    <t>CTO-26</t>
  </si>
  <si>
    <t>72120-X1425</t>
  </si>
  <si>
    <t>CTI-66</t>
  </si>
  <si>
    <t>72130-X1444</t>
  </si>
  <si>
    <t>OTI-01</t>
  </si>
  <si>
    <t>72130-X1704</t>
  </si>
  <si>
    <t>OTO-11</t>
  </si>
  <si>
    <t>72110-X1702</t>
  </si>
  <si>
    <t>OTI-31</t>
  </si>
  <si>
    <t>72130-X1711</t>
  </si>
  <si>
    <t>ORR-20</t>
  </si>
  <si>
    <t>71203-X1700</t>
  </si>
  <si>
    <t>ISA-05</t>
  </si>
  <si>
    <t>DMX-03</t>
  </si>
  <si>
    <t>T05C7B4620051</t>
  </si>
  <si>
    <t>DMX-12</t>
  </si>
  <si>
    <t>U05C7B4210371</t>
  </si>
  <si>
    <t>HTO-16</t>
  </si>
  <si>
    <t>72110-X7V43</t>
  </si>
  <si>
    <t>IA6-29</t>
  </si>
  <si>
    <t>72503-X7A24</t>
  </si>
  <si>
    <t>72211-BZ180</t>
  </si>
  <si>
    <t>LINK SUB-ASSY, FR SEAT VERTICAL</t>
  </si>
  <si>
    <t>DRR-75</t>
  </si>
  <si>
    <t>72630-X7V03</t>
  </si>
  <si>
    <t>72031-X7V36</t>
  </si>
  <si>
    <t>72041-X7V18</t>
  </si>
  <si>
    <t>72110-BZ410</t>
  </si>
  <si>
    <t>721A0-X7V38</t>
  </si>
  <si>
    <t>72110-X7V42</t>
  </si>
  <si>
    <t>CT8-37</t>
  </si>
  <si>
    <t>721D0-X7V19</t>
  </si>
  <si>
    <t>ETI-06</t>
  </si>
  <si>
    <t>72140-X1V13</t>
  </si>
  <si>
    <t>CT8-39</t>
  </si>
  <si>
    <t>721B0-X7V55</t>
  </si>
  <si>
    <t>LTO-64</t>
  </si>
  <si>
    <t>72120-X7V60</t>
  </si>
  <si>
    <t>73042-X7V20</t>
  </si>
  <si>
    <t>DAL-43</t>
  </si>
  <si>
    <t>72504-X7V78</t>
  </si>
  <si>
    <t>AA0-09</t>
  </si>
  <si>
    <t>71013-0K080</t>
  </si>
  <si>
    <t>AB0-03</t>
  </si>
  <si>
    <t>72022-0K010</t>
  </si>
  <si>
    <t>FR SIDE FRAME LH SEAT OUTER BENCH</t>
  </si>
  <si>
    <t>BA0-06</t>
  </si>
  <si>
    <t>72504-0K041</t>
  </si>
  <si>
    <t>150-14</t>
  </si>
  <si>
    <t>72504-X7A01</t>
  </si>
  <si>
    <t>ARM SUB-ASSY RECLINING ADJUSTER LWR LH</t>
  </si>
  <si>
    <t>CA0-14</t>
  </si>
  <si>
    <t>72130-0K021</t>
  </si>
  <si>
    <t>344-24</t>
  </si>
  <si>
    <t>72130-X7A12</t>
  </si>
  <si>
    <t>AB0-06</t>
  </si>
  <si>
    <t>72710-0K020</t>
  </si>
  <si>
    <t>2ND SIDE FRAME RH SEAT INNER 6</t>
  </si>
  <si>
    <t>CB0-04</t>
  </si>
  <si>
    <t>72170-0K070</t>
  </si>
  <si>
    <t>2ND LH SEAT TRACK INNER 4</t>
  </si>
  <si>
    <t>FA0-01</t>
  </si>
  <si>
    <t>72650-0K010</t>
  </si>
  <si>
    <t>2ND RH SEAT LOCK OUTER 6</t>
  </si>
  <si>
    <t>HA0-04</t>
  </si>
  <si>
    <t>79040-0K010-B0</t>
  </si>
  <si>
    <t>AD0-02</t>
  </si>
  <si>
    <t>71014-X1419</t>
  </si>
  <si>
    <t>FR SIDE FRAME RH SEAT INNER MNL</t>
  </si>
  <si>
    <t>YA0-03</t>
  </si>
  <si>
    <t>71013-X1F06</t>
  </si>
  <si>
    <t>BD0-06</t>
  </si>
  <si>
    <t>72504-X1403</t>
  </si>
  <si>
    <t>FR LWR ARM RH SEAT INNER MNL 6 WAY</t>
  </si>
  <si>
    <t>YB0-03</t>
  </si>
  <si>
    <t>72503-X1F03</t>
  </si>
  <si>
    <t>152-04</t>
  </si>
  <si>
    <t>72504-X1F01</t>
  </si>
  <si>
    <t>CD0-09</t>
  </si>
  <si>
    <t>72110-06030</t>
  </si>
  <si>
    <t>FR SEAT TRACK RH SEAT OUTER STD MNL 6 WAY</t>
  </si>
  <si>
    <t>CD0-28</t>
  </si>
  <si>
    <t>72130-06070</t>
  </si>
  <si>
    <t>FR SEAT TRACK RH SEAT INNER MNL</t>
  </si>
  <si>
    <t>CE0-23</t>
  </si>
  <si>
    <t>72110-X1410</t>
  </si>
  <si>
    <t>FR SEAT TRACK RH SEAT OUTER PWR 4 WAY</t>
  </si>
  <si>
    <t>YC0-02</t>
  </si>
  <si>
    <t>72110-0D060</t>
  </si>
  <si>
    <t>YC0-11</t>
  </si>
  <si>
    <t>72140-0D060</t>
  </si>
  <si>
    <t>VC0-07</t>
  </si>
  <si>
    <t>72120-0D070</t>
  </si>
  <si>
    <t>TRACK ASSY, FR SEAT, OUTER LH (M6)</t>
  </si>
  <si>
    <t>344-04</t>
  </si>
  <si>
    <t>72130-02100</t>
  </si>
  <si>
    <t>344-34</t>
  </si>
  <si>
    <t>72140-X1717</t>
  </si>
  <si>
    <t>345-15</t>
  </si>
  <si>
    <t>72110-X1700</t>
  </si>
  <si>
    <t>CFR-14</t>
  </si>
  <si>
    <t>71103-X1407</t>
  </si>
  <si>
    <t>CFL-18</t>
  </si>
  <si>
    <t>71104-X1B04</t>
  </si>
  <si>
    <t>EA4-01</t>
  </si>
  <si>
    <t>72504-X1V19</t>
  </si>
  <si>
    <t>CTI-31</t>
  </si>
  <si>
    <t>72130-X1422</t>
  </si>
  <si>
    <t>CTO-42</t>
  </si>
  <si>
    <t>72120-X1418</t>
  </si>
  <si>
    <t>CTI-64</t>
  </si>
  <si>
    <t>72140-X1445</t>
  </si>
  <si>
    <t>CTI-24</t>
  </si>
  <si>
    <t>72140-X1426</t>
  </si>
  <si>
    <t>CTI-52</t>
  </si>
  <si>
    <t>72130-X1438</t>
  </si>
  <si>
    <t>ETI-10</t>
  </si>
  <si>
    <t>72140-X1V14</t>
  </si>
  <si>
    <t>OTI-09</t>
  </si>
  <si>
    <t>72130-X1702</t>
  </si>
  <si>
    <t>OTO-18</t>
  </si>
  <si>
    <t>72110-X1707</t>
  </si>
  <si>
    <t>CHT-47</t>
  </si>
  <si>
    <t>72211-06110</t>
  </si>
  <si>
    <t>ISA-06</t>
  </si>
  <si>
    <t>DMX-02</t>
  </si>
  <si>
    <t>T05C7B4620041</t>
  </si>
  <si>
    <t>SLIDE OUTTER RHD</t>
  </si>
  <si>
    <t>DMX-11</t>
  </si>
  <si>
    <t>U05C7B4620011</t>
  </si>
  <si>
    <t>TFR-36</t>
  </si>
  <si>
    <t>71103-X7V80</t>
  </si>
  <si>
    <t>HTI-14</t>
  </si>
  <si>
    <t>72140-X7V55</t>
  </si>
  <si>
    <t>HSU-28</t>
  </si>
  <si>
    <t>72760-X1E05</t>
  </si>
  <si>
    <t>CHC_TMT</t>
  </si>
  <si>
    <t>STM-08</t>
  </si>
  <si>
    <t>11201-0E012-00</t>
  </si>
  <si>
    <t>COVER SUB-ASSY, CYLINDER HEAD</t>
  </si>
  <si>
    <t>STM-09</t>
  </si>
  <si>
    <t>11201-0E012-EX</t>
  </si>
  <si>
    <t>CHC_MMTH</t>
  </si>
  <si>
    <t>MMT-06</t>
  </si>
  <si>
    <t>13264A010P</t>
  </si>
  <si>
    <t>COVER ASSY, ROCKER</t>
  </si>
  <si>
    <t>MMT-02</t>
  </si>
  <si>
    <t>1035B281</t>
  </si>
  <si>
    <t>GASKET, ROCKER COVER (11213-X7M01)</t>
  </si>
  <si>
    <t>STM-03</t>
  </si>
  <si>
    <t>11213-0E010</t>
  </si>
  <si>
    <t>GASKET, CYLINDER HEAD COVER (11213-X7A00)</t>
  </si>
  <si>
    <t>STM-05</t>
  </si>
  <si>
    <t>11159-0E010</t>
  </si>
  <si>
    <t>GASKET,CAMSHAFT BEARING CAP OIL HOLE (11213-X7A02)</t>
  </si>
  <si>
    <t>STM-04</t>
  </si>
  <si>
    <t>11214-0E010</t>
  </si>
  <si>
    <t>GASKET, CYLINDER HEAD COVER NO.2 (11213-X7A01)</t>
  </si>
  <si>
    <t>13264A000P</t>
  </si>
  <si>
    <t>1035B313</t>
  </si>
  <si>
    <t>MMT-05</t>
  </si>
  <si>
    <t>13270A000PG</t>
  </si>
  <si>
    <t>GASKET, ROCKER COVER (11213-X7M02)</t>
  </si>
  <si>
    <t>STM-01</t>
  </si>
  <si>
    <t>11201-0E010-00</t>
  </si>
  <si>
    <t>STM-02</t>
  </si>
  <si>
    <t>11201-0E010-EX</t>
  </si>
  <si>
    <t>STM-06</t>
  </si>
  <si>
    <t>11201-0E011-00</t>
  </si>
  <si>
    <t>STM-07</t>
  </si>
  <si>
    <t>11201-0E011-EX</t>
  </si>
  <si>
    <t>China</t>
  </si>
  <si>
    <t>72523-X1M06-CN</t>
  </si>
  <si>
    <t>PLATE, RECLINING ADJUSTER LWR ARM, RH (GUIDE)</t>
  </si>
  <si>
    <t>72531-X1C02-CN</t>
  </si>
  <si>
    <t>72533-X1Y02-CN</t>
  </si>
  <si>
    <t>PAWL, RECLINING ADJUSTER, RH</t>
  </si>
  <si>
    <t>72534-X1Y02-CN</t>
  </si>
  <si>
    <t>PAWL, RECLINING ADJUSTER, LH</t>
  </si>
  <si>
    <t>72537-X1F00-CN</t>
  </si>
  <si>
    <t>CHI169</t>
  </si>
  <si>
    <t>72537-X1M11-CN</t>
  </si>
  <si>
    <t>Press</t>
  </si>
  <si>
    <t>BRACKET, FR SEAT BACK, LWR</t>
  </si>
  <si>
    <t>FRAME, FR SEAT CUSHION</t>
  </si>
  <si>
    <t>FRAME, NO.1 SEAT BACK</t>
  </si>
  <si>
    <t>FRAME, NO.2 SEAT BACK</t>
  </si>
  <si>
    <t>COVER PROTECTER</t>
  </si>
  <si>
    <t>PANEL, FR SEAT CUSHION, A</t>
  </si>
  <si>
    <t>PLATE,FR SEAT BACK,LWR</t>
  </si>
  <si>
    <t>PLATE, RECLINING ADJUSTER LWR ARM, RH (MNL)</t>
  </si>
  <si>
    <t>PLATE, RECLINING ADJUSTER LWR ARM, LH (MNL)</t>
  </si>
  <si>
    <t>PATCH, FR SEAT CUSHION</t>
  </si>
  <si>
    <t>RAIL, SEAT TRACK, UPR RH/LH</t>
  </si>
  <si>
    <t>COVER, RECLINING ADJUSTER INSIDE, RH</t>
  </si>
  <si>
    <t>COVER, RECLINING ADJUSTER INSIDE, LH</t>
  </si>
  <si>
    <t>FRAME, RR SEATR BACK SIDE, LH</t>
  </si>
  <si>
    <t>FRAME, RR SEATR BACK SIDE, RH</t>
  </si>
  <si>
    <t>TBPAK</t>
  </si>
  <si>
    <t>OTI-38</t>
  </si>
  <si>
    <t>72118-X1700</t>
  </si>
  <si>
    <t>RAIL, FR INNER SEAT TRACK, LWR LH</t>
  </si>
  <si>
    <t>OTO-40</t>
  </si>
  <si>
    <t>72116-X1701</t>
  </si>
  <si>
    <t>RAIL, FR OUTER SEAT TRACK, LWR LH</t>
  </si>
  <si>
    <t>OTO-39</t>
  </si>
  <si>
    <t>72115-X1706</t>
  </si>
  <si>
    <t>RAIL, FR OUTER SEAT TRACK, LWR RH</t>
  </si>
  <si>
    <t>OTI-37</t>
  </si>
  <si>
    <t>72117-X1704</t>
  </si>
  <si>
    <t>RAIL, FR INNER SEAT TRACK, LWR RH</t>
  </si>
  <si>
    <t>PLATE, FR SEAT BACK SPRING SET</t>
  </si>
  <si>
    <t>CFR-58</t>
  </si>
  <si>
    <t>72010-X1306</t>
  </si>
  <si>
    <t>ADJUSTER ASSY FR SEAT RH</t>
  </si>
  <si>
    <t>CFL-59</t>
  </si>
  <si>
    <t>72020-X1307</t>
  </si>
  <si>
    <t>ADJUSTER ASSY FR SEAT LH</t>
  </si>
  <si>
    <t>CFR-60</t>
  </si>
  <si>
    <t>CFL-61</t>
  </si>
  <si>
    <t>EFR-26</t>
  </si>
  <si>
    <t>EFL-27</t>
  </si>
  <si>
    <t>FRAME, FR SEAT BACK</t>
  </si>
  <si>
    <t>OA4-62</t>
  </si>
  <si>
    <t>ARM RECLINING ADJUSTER LWR RH (M4)</t>
  </si>
  <si>
    <t>OA4-63</t>
  </si>
  <si>
    <t>ARM RECLINING ADJUSTER LWR LH (M4)</t>
  </si>
  <si>
    <t>PLATE, RECLINING ADJUSTER LWR ARM, LH (PWR)</t>
  </si>
  <si>
    <t>BRACKET RR SEAT CTR AR</t>
  </si>
  <si>
    <t>IPK-03</t>
  </si>
  <si>
    <t>IPK-04</t>
  </si>
  <si>
    <t>R3</t>
  </si>
  <si>
    <t>PLATE FR SEAT BELT ANCHOR</t>
  </si>
  <si>
    <t>SPRING PLATE</t>
  </si>
  <si>
    <t>PIN, VERTICAL ADJUSTER NO.4</t>
  </si>
  <si>
    <t>PLATE RR SEAT</t>
  </si>
  <si>
    <t>BRACKET, SEAT TRACK NO.2</t>
  </si>
  <si>
    <t>LINK, VERTICAL TRAVEL No.1</t>
  </si>
  <si>
    <t xml:space="preserve">CUSHION RR SEAT CUSHION LOCK(S1)                  </t>
  </si>
  <si>
    <t>HOOK SUB-ASSY, RR SEAT CUSHION LOCK</t>
  </si>
  <si>
    <t>COVER, SEAT TRACK UPR RAIL(RR)</t>
  </si>
  <si>
    <t>BRACKET, SEAT TRACK HANDLE SUPPORT, RH/LH</t>
  </si>
  <si>
    <t>LOCK SUB-ASSY, SEAT TRACK, RH</t>
  </si>
  <si>
    <t>LOCK SUB-ASSY, SEAT TRACK, LH</t>
  </si>
  <si>
    <t>PIN RR SEAT BACK NO.2</t>
  </si>
  <si>
    <t>LINK, VERTICAL TRAVEL No.4</t>
  </si>
  <si>
    <t>REINFORCEMENT, SEAT TRACK</t>
  </si>
  <si>
    <t>HOUSING SUB-ASSY, FR SEAT VERTICAL, RH</t>
  </si>
  <si>
    <t>HOUSING SUB-ASSY, FR SEAT TILT, RH</t>
  </si>
  <si>
    <t>SHAFT RECLINING ADJUSTING HANDLE</t>
  </si>
  <si>
    <t>PIN FR SEAT HINGE</t>
  </si>
  <si>
    <t>PIN RECLINING HINGE</t>
  </si>
  <si>
    <t>PLATE, VERTICAL ADJUSTER LH</t>
  </si>
  <si>
    <t>BRACKET SEAT BELT INNER ANCHOR NO.1 LH</t>
  </si>
  <si>
    <t>BRACKET FR OUT SEAT TRACK UPR RAIL LH</t>
  </si>
  <si>
    <t>HOUSING SUB-ASSY, FR SEAT MOTOR SIDE, RH (Renka Device)</t>
  </si>
  <si>
    <t>HOUSING SUB-ASSY, FR SEAT VERTICAL, LH</t>
  </si>
  <si>
    <t>HOUSING SUB-ASSY, FR SEAT TILT, LH</t>
  </si>
  <si>
    <t>HOUSING SUB-ASSY, FR SEAT MOTOR SIDE, RH</t>
  </si>
  <si>
    <t>HOUSING SUB-ASSY, FR SEAT MOTOR SIDE, LH</t>
  </si>
  <si>
    <t>BRACKET, RECLINING CONTROL CABLE, RH</t>
  </si>
  <si>
    <t>PLATE, VERTICAL ADJUSTER</t>
  </si>
  <si>
    <t>LEVER, RR SEAT RECLINING RELEASE, RH</t>
  </si>
  <si>
    <t>PATCH, SEAT FRAME</t>
  </si>
  <si>
    <t>HOOK, RR SEAT RECLINING CONTROL, RH</t>
  </si>
  <si>
    <t>LINK, RECLINING REMOTE CONTROL LEVER, LH</t>
  </si>
  <si>
    <t>PLATE,RR SEAT BACK HINGE,INNER</t>
  </si>
  <si>
    <t>PLATE, RECLINING STOP</t>
  </si>
  <si>
    <t>SPRING, RR SEAT BACK LOCK, LH</t>
  </si>
  <si>
    <t>PLATE, RECLINING RELEASE ARM</t>
  </si>
  <si>
    <t>PLATE, SPRING SET</t>
  </si>
  <si>
    <t>LEG, NO.1 SEAT, RH</t>
  </si>
  <si>
    <t>LEG, NO.1 SEAT, LH</t>
  </si>
  <si>
    <t>LEG, NO.1 SEAT, INNER RH</t>
  </si>
  <si>
    <t>LEG, NO.1 SEAT, INNER LH</t>
  </si>
  <si>
    <t>RATCHET,SUB SEAT LOCK, RH</t>
  </si>
  <si>
    <t xml:space="preserve">SPRING, RR SEAT BACK LOCK, LH           </t>
  </si>
  <si>
    <t>JA0-01</t>
  </si>
  <si>
    <t>3RD BAND HOOK</t>
  </si>
  <si>
    <t>JA0-02</t>
  </si>
  <si>
    <t>78960-0K040</t>
  </si>
  <si>
    <t>JA0-03</t>
  </si>
  <si>
    <t>BAND ASSY,FOLD SEAT STOPPER,NO.2</t>
  </si>
  <si>
    <t>JA0-04</t>
  </si>
  <si>
    <t>JA0-05</t>
  </si>
  <si>
    <t>JA0-06</t>
  </si>
  <si>
    <t>BAND ASSY,FOLD SEAT STOPPER,NO.2 (136B)</t>
  </si>
  <si>
    <t>JA0-07</t>
  </si>
  <si>
    <t>JA0-08</t>
  </si>
  <si>
    <t>BAND ASSY,FOLD SEAT STOPPER,NO.2 (201B)</t>
  </si>
  <si>
    <t>JA0-09</t>
  </si>
  <si>
    <t>JA0-10</t>
  </si>
  <si>
    <t>SD Change</t>
  </si>
  <si>
    <t>ZB0-01</t>
  </si>
  <si>
    <t>SPRING TORSON, RH</t>
  </si>
  <si>
    <t>ZB0-02</t>
  </si>
  <si>
    <t>SPRING TORSON, LH</t>
  </si>
  <si>
    <t>ZB0-06</t>
  </si>
  <si>
    <t xml:space="preserve">PLATE RECLINER ADJUSTER RH              </t>
  </si>
  <si>
    <t>ZB0-07</t>
  </si>
  <si>
    <t xml:space="preserve">PLATE RECLINER ADJUSTER LH              </t>
  </si>
  <si>
    <t>ZV0-01</t>
  </si>
  <si>
    <t>89966-X1F02</t>
  </si>
  <si>
    <t>ZB0-03</t>
  </si>
  <si>
    <t>ZA0-01</t>
  </si>
  <si>
    <t>ZA0-02</t>
  </si>
  <si>
    <t>ZA0-03</t>
  </si>
  <si>
    <t>ZA0-04</t>
  </si>
  <si>
    <t>BRAKE SUB-ASSY VERTICAL ADJUSTER FR</t>
  </si>
  <si>
    <t>SHAFT SUB-ASSY VERTICAL ADJUSTER</t>
  </si>
  <si>
    <t>PLATE VERTICAL ADJUSTER LH</t>
  </si>
  <si>
    <t>ZA0-12</t>
  </si>
  <si>
    <t>72649-0K050</t>
  </si>
  <si>
    <t>ZA0-13</t>
  </si>
  <si>
    <t>72649-0K060</t>
  </si>
  <si>
    <t>SPRNG</t>
  </si>
  <si>
    <t>ZA0-20</t>
  </si>
  <si>
    <t>ZA0-21</t>
  </si>
  <si>
    <t>79299-0K020</t>
  </si>
  <si>
    <t>ZA0-22</t>
  </si>
  <si>
    <t>79481-0K010</t>
  </si>
  <si>
    <t>PLATE</t>
  </si>
  <si>
    <t>ZB0-04</t>
  </si>
  <si>
    <t>72456-X1F04</t>
  </si>
  <si>
    <t>BRACKET , SEAT FRAME SET , NO.2</t>
  </si>
  <si>
    <t>ZB0-05</t>
  </si>
  <si>
    <t>72456-X1F05</t>
  </si>
  <si>
    <t>RATCHET,RR SEAT CUSHION LOCK</t>
  </si>
  <si>
    <t>HOOK, RR SEAT CUSHION LOCK</t>
  </si>
  <si>
    <t>ZA0-43</t>
  </si>
  <si>
    <t>HING, RR SEAT CUSHION</t>
  </si>
  <si>
    <t>BRACKET, No.1 SEAT CUSHION</t>
  </si>
  <si>
    <t>ZA0-45</t>
  </si>
  <si>
    <t>ZA0-46</t>
  </si>
  <si>
    <t>TRACK, LWR RR BRACKET, FR OUTER SEAT</t>
  </si>
  <si>
    <t>ZA0-47</t>
  </si>
  <si>
    <t>ZA0-48</t>
  </si>
  <si>
    <t>ZA0-49</t>
  </si>
  <si>
    <t>BRACKET, FR INNER SEAT TRACK, LWR RR</t>
  </si>
  <si>
    <t>GEAR VERTICAL ADJUSTER</t>
  </si>
  <si>
    <t>ZA0-57</t>
  </si>
  <si>
    <t>PIN,SEAT TRACK LOCK OPEN LEVER</t>
  </si>
  <si>
    <t>ZA0-58</t>
  </si>
  <si>
    <t>SPRING,TORSION,RH</t>
  </si>
  <si>
    <t>ZA0-59</t>
  </si>
  <si>
    <t>SPRING,TORSION,LH</t>
  </si>
  <si>
    <t>ZA0-60</t>
  </si>
  <si>
    <t>ZA0-61</t>
  </si>
  <si>
    <t>SPRING RR SEAT CUSHION SUPPORT</t>
  </si>
  <si>
    <t>ZA0-62</t>
  </si>
  <si>
    <t>BRACKET RR SEAT CUSHION HOLDER RH</t>
  </si>
  <si>
    <t>BRACKET RR SEAT CUSHION HOLDER LH</t>
  </si>
  <si>
    <t>PLATE RR SEAT LOCK RELEASE</t>
  </si>
  <si>
    <t>PLATE SEAT TURN LOCK NO1</t>
  </si>
  <si>
    <t>PLATE SEAT TURN LOCK NO2</t>
  </si>
  <si>
    <t>ZA0-72</t>
  </si>
  <si>
    <t>BRACKET NO1 SEAT LOCK</t>
  </si>
  <si>
    <t>ZA0-73</t>
  </si>
  <si>
    <t>PIN SEAT LOCK CONNECTING</t>
  </si>
  <si>
    <t>PIN RR SEAT CUSHION SUPPORT</t>
  </si>
  <si>
    <t>PIN RR SEAT BACK LOCK RATCHET</t>
  </si>
  <si>
    <t>ZA0-80</t>
  </si>
  <si>
    <t>CUSHION RR SEAT CUSHION LOCK</t>
  </si>
  <si>
    <t>CAR003</t>
  </si>
  <si>
    <t>72689-0K030</t>
  </si>
  <si>
    <t>HOOK SUB-ASSY RR SEAT CUSHION LOCK</t>
  </si>
  <si>
    <t xml:space="preserve">HOOK SUB-ASSY RR SEAT CUSHION LOCK </t>
  </si>
  <si>
    <t>RATCHET RR SEAT CUSHION LOCK</t>
  </si>
  <si>
    <t>LOCK SUB-ASSY RR SEAT RH</t>
  </si>
  <si>
    <t>LOCK SUB-ASSY RR SEAT LH</t>
  </si>
  <si>
    <t>BRACKET RR SEAT LOCKING CABLE RH</t>
  </si>
  <si>
    <t>BRACKET RR SEAT CABLE LH</t>
  </si>
  <si>
    <t>LINK RR SEAT BACK LOCK CONTROL NO1 RH</t>
  </si>
  <si>
    <t>LINK RR SEAT BACK LOCK CONTROL NO1 LH</t>
  </si>
  <si>
    <t>LEVER RR SEAT LOCK CONTROL RH</t>
  </si>
  <si>
    <t>LEVER RR SEAT LOCK CONTROL LH</t>
  </si>
  <si>
    <t>ZA0-93</t>
  </si>
  <si>
    <t>BRACKET RR SEAT LOCK RH</t>
  </si>
  <si>
    <t>ZA0-94</t>
  </si>
  <si>
    <t>ZA0-97</t>
  </si>
  <si>
    <t>BRACKET RR SEAT LOCK LH</t>
  </si>
  <si>
    <t>ZA0-98</t>
  </si>
  <si>
    <t>PLATE(T=0.3)</t>
  </si>
  <si>
    <t>HOOK RR SEAT</t>
  </si>
  <si>
    <t>BAR, VERTICAL ADJUSTER TORSION</t>
  </si>
  <si>
    <t>ZOT-03</t>
  </si>
  <si>
    <t>ZOT-04</t>
  </si>
  <si>
    <t>ZOT-05</t>
  </si>
  <si>
    <t>ZOT-12</t>
  </si>
  <si>
    <t>ZOT-13</t>
  </si>
  <si>
    <t>ZB0-13</t>
  </si>
  <si>
    <t>HOOK (201B)</t>
  </si>
  <si>
    <t>KEN104</t>
  </si>
  <si>
    <t>72749-X1M01</t>
  </si>
  <si>
    <t>KEN099</t>
  </si>
  <si>
    <t>72265-X1B00</t>
  </si>
  <si>
    <t>COVER, SEAT TRACK UPR RAIL(FR)</t>
  </si>
  <si>
    <t>ZET-05</t>
  </si>
  <si>
    <t>72425-X1B01</t>
  </si>
  <si>
    <t>BAR, VERTICAL ADJUSTER TORSION RH/LH</t>
  </si>
  <si>
    <t>ZET-06</t>
  </si>
  <si>
    <t>72426-X1B01</t>
  </si>
  <si>
    <t>KEN100</t>
  </si>
  <si>
    <t>72265-X1B01</t>
  </si>
  <si>
    <t>SCR001</t>
  </si>
  <si>
    <t>BAR OUTER SEAT TRACK LOCK NO.2</t>
  </si>
  <si>
    <t xml:space="preserve">SPRING, RR SEAT BACK LOCK, RH           </t>
  </si>
  <si>
    <t>ARM A</t>
  </si>
  <si>
    <t>ARM B</t>
  </si>
  <si>
    <t>SOB218</t>
  </si>
  <si>
    <t>P8)?GEAR, VERTICAL TRAVEL, NO.3</t>
  </si>
  <si>
    <t>PIN , RR SEAT HINGE , NO.2</t>
  </si>
  <si>
    <t>PIN , SEAT LOCK CONNECTING</t>
  </si>
  <si>
    <t>PIN . RR SEAT CUSHION SUPPORT</t>
  </si>
  <si>
    <t>COVER, CYLINDER HEAD</t>
  </si>
  <si>
    <t>COVER, CYLINDER HEAD (Cust.No. 11211-0E010)</t>
  </si>
  <si>
    <t>COVER, CYLINDER HEAD (Cust.No. 11211-0E011)</t>
  </si>
  <si>
    <t>COVER, CYLINDER HEAD (Cust.No. 11211-0E012)</t>
  </si>
  <si>
    <t>GASKET, CYLINDER HEAD COVER,NO.1 ( 11213-0E010 )</t>
  </si>
  <si>
    <t>GASKET, CYLINDER HEAD COVER,NO.2 ( 11214-0E010 )</t>
  </si>
  <si>
    <t>GASKET, CYLINDER HEAD COVER,NO.3 ( 11159-0E010 )</t>
  </si>
  <si>
    <t>COVER, CLYINDER HEAD, UPR</t>
  </si>
  <si>
    <t>PLATE S/A, VENTILATION BAFFLE</t>
  </si>
  <si>
    <t>PLATE, OIL RETURN, NO.1</t>
  </si>
  <si>
    <t>PLATE, OIL RETURN, NO.2</t>
  </si>
  <si>
    <t>PLATE SUB-ASSY RR SEAT LEG RH</t>
  </si>
  <si>
    <t>PLATE SUB-ASSY RR SEAT LEG LH</t>
  </si>
  <si>
    <t>FRAME, SUB-ASSY, FR SEAT BACK MAIN, LH</t>
  </si>
  <si>
    <t>BRACKET,SEAT TRACK ADJ HANDLE SET</t>
  </si>
  <si>
    <t>BRACKET, FR SEAT CUSHION INSIDE, LH</t>
  </si>
  <si>
    <t>BRACKET,FR SEAT CUSHION,RH</t>
  </si>
  <si>
    <t>BRACKET,FR SEAT CUSHION, RH</t>
  </si>
  <si>
    <t>BRACKET FR, SEAT CUSHION RH</t>
  </si>
  <si>
    <t>BRACKET, FR SEAT CUSHION,RH</t>
  </si>
  <si>
    <t>BRACKET,FR SEAT CUSHION,LH</t>
  </si>
  <si>
    <t>BRACKET,FR SEAT CUSHION, LH</t>
  </si>
  <si>
    <t>BRACKET FR, SEAT CUSHION LH</t>
  </si>
  <si>
    <t>BRACKET, FR SEAT CUSHION,LH</t>
  </si>
  <si>
    <t>PLATE FR SEAT BACK LWR</t>
  </si>
  <si>
    <t>FRAME, FR SEAT BACK  SIDE , LH</t>
  </si>
  <si>
    <t>BRACKET FR SEAT SIDE SUPPORT</t>
  </si>
  <si>
    <t>BRACKET FR SEAT BACK HINGE SUPPORT</t>
  </si>
  <si>
    <t>BRACKET, SEAT LEG</t>
  </si>
  <si>
    <t>PLATE,RR SEAT CUSHION SPRING SET, NO.1</t>
  </si>
  <si>
    <t>PLATE,RR SEAT CUSHION LEG LOCK</t>
  </si>
  <si>
    <t>PLATE,RR SEAT CUSHION SPRING SET, NO.2</t>
  </si>
  <si>
    <t>PLATE,RR SEAT CUSHION SPR SET,NO.2</t>
  </si>
  <si>
    <t>HINGE SUB-ASSY RR SEAT RH</t>
  </si>
  <si>
    <t>HINGE SUB-ASSY RR SEAT CUSHION</t>
  </si>
  <si>
    <t>HINGE SUB-ASSY RR SEAT LH</t>
  </si>
  <si>
    <t>LEG SUB-ASSY,RR SEAT,RH?</t>
  </si>
  <si>
    <t>LEG SUB-ASSY,RR SEAT,LH?</t>
  </si>
  <si>
    <t>PLATE, FR SEAT HINGE, RH</t>
  </si>
  <si>
    <t>HINGE RR SEAT CUSHION</t>
  </si>
  <si>
    <t>PIN RR SEAT HINGE</t>
  </si>
  <si>
    <t>PIN,RR SEAT HINGE,N0.1</t>
  </si>
  <si>
    <t>PIN,RR SEAT HINGE,N0.2</t>
  </si>
  <si>
    <t>SPACER,RR SEAT BACK HINGE</t>
  </si>
  <si>
    <t>PLATE,RR SEAT CUSHION LEG LOCK,RH</t>
  </si>
  <si>
    <t>PLATE,RR SEAT CUSHION LEG LOCK,LH</t>
  </si>
  <si>
    <t>PLATE RR SEAT CUSHION LEG LOCK</t>
  </si>
  <si>
    <t>BRACKET, FR SEAT SET, NO.1</t>
  </si>
  <si>
    <t>BRACKET FR SEAT SET NO.1</t>
  </si>
  <si>
    <t>BRACKET,FR SEAT SET,NO.1</t>
  </si>
  <si>
    <t>BRACKET, FR SEAT TRACK,FR</t>
  </si>
  <si>
    <t>BRACKET,FR SEAT TRACK,RR OUTER</t>
  </si>
  <si>
    <t>PATCH</t>
  </si>
  <si>
    <t>BRACKET, RR SEAT CUSHION HOLDER, RH</t>
  </si>
  <si>
    <t>BRACKET,RR SEAT CUSHION HOLDER,LH</t>
  </si>
  <si>
    <t>BRACKET, RR SEAT CUSHION HOLDER, LH</t>
  </si>
  <si>
    <t>SPRING NO2 SEAT LOCK LH</t>
  </si>
  <si>
    <t>BRACKET,RR SEAT CUSHION HOLDER,RH</t>
  </si>
  <si>
    <t>BRACKET, RR SEAT BACK SET</t>
  </si>
  <si>
    <t>PATCH RR SEAT LEG</t>
  </si>
  <si>
    <t>DAMPER,FR SEAT</t>
  </si>
  <si>
    <t>SPRING,RR SEAT CUSHION N0.3</t>
  </si>
  <si>
    <t>SPRING,RR SEAT CUSHION N0.4</t>
  </si>
  <si>
    <t>BRACKET FR SEAT SHIELD SET NO.1</t>
  </si>
  <si>
    <t>BRACKET SHEELD SET NO1</t>
  </si>
  <si>
    <t>BRACKET SHEELD SET NO2</t>
  </si>
  <si>
    <t>CAP, SEAT ADJUSTER, FR</t>
  </si>
  <si>
    <t>HOOK, SEAT COVER</t>
  </si>
  <si>
    <t>ADJUSTER ASSY, FR SEAT, RH</t>
  </si>
  <si>
    <t>ADJUSTER ASSY, FR SEAT,RH</t>
  </si>
  <si>
    <t>UPR RAIL S/A</t>
  </si>
  <si>
    <t>RAIL SUB-ASSY RR SEAT TRACK LWR RH</t>
  </si>
  <si>
    <t>RAIL SUB-ASSY RR SEAT TRACK LWR LH</t>
  </si>
  <si>
    <t>ADJUSTER  ASSY, FR SEAT, LH</t>
  </si>
  <si>
    <t>ADJUSTER ASSY, FR SEAT, LH</t>
  </si>
  <si>
    <t>ADJUSTER ASSY, FR SEAT ,LH</t>
  </si>
  <si>
    <t>TRACKK SUB-ASSY, FR SEAT, INNER RH</t>
  </si>
  <si>
    <t>HOOK RR SEAT CUSHION LOCK</t>
  </si>
  <si>
    <t>LWR RAIL S/A</t>
  </si>
  <si>
    <t>RAIL SUB-ASSY, FR OTR SEAT TRACK, LWR RH</t>
  </si>
  <si>
    <t>RAIL SUB-ASSY,FR OTR SEAT TRACK,LWR LH</t>
  </si>
  <si>
    <t>RAIL SUB-ASSY FR OUTER SEAT TRACK LWR RH</t>
  </si>
  <si>
    <t>RAIL SUB-ASSY, FR OTR SEAT TRACK,LWR LH</t>
  </si>
  <si>
    <t>RAIL SUB-ASSY FR OUTER SEAT TRACK LWR LH</t>
  </si>
  <si>
    <t>BRACKET SUB-ASSY, FR INN SEAT TRACK, LWR</t>
  </si>
  <si>
    <t>RAIL SUB ASSY FR INN SEAT TRACK LWR RH</t>
  </si>
  <si>
    <t>RAIL SUB-ASSY FR INNER SEAT TRACK LWR RH</t>
  </si>
  <si>
    <t>RAIL SUB-ASSY, FR OUTER SEAT TRACK, LWR RH</t>
  </si>
  <si>
    <t>RAIL SUB ASSY FR INN SEAT TRACK LWR LH</t>
  </si>
  <si>
    <t>RAIL SUB-ASSY FR INNER SEAT TRACK LWR LH</t>
  </si>
  <si>
    <t>RAIL SUB-ASSY,FR OTR SEAT TRACK,UPR RH</t>
  </si>
  <si>
    <t>RAIL, SUB-ASSY, FR INN SEAT TRACK, UPR RH</t>
  </si>
  <si>
    <t>RAIL SUB-ASSY FR OTR SEAT TRACK UPR RH</t>
  </si>
  <si>
    <t>RAIL SUB-ASSY, RR SEAT TRACK, UPR RH</t>
  </si>
  <si>
    <t>RAIL SUB-ASSY, FR SEAT TRACK, UPR(HEAT&amp;</t>
  </si>
  <si>
    <t>RAIL SUB-ASSY, FR  SEAT TRACK, UPR</t>
  </si>
  <si>
    <t>RAIL SUB-ASSY FR OTR SEAT TRACK UPR LH</t>
  </si>
  <si>
    <t>BRACKET FR OUT SEAT TRACK UPR RAIL RH</t>
  </si>
  <si>
    <t>RAIL SUB-ASSY, SEAT TRACK, UPR RH</t>
  </si>
  <si>
    <t>RAIL SUB-ASSY, RR SEAT TRACK, UPR LH</t>
  </si>
  <si>
    <t>RAIL SUB-ASSY FR INN SEAT TRACK UPR RH</t>
  </si>
  <si>
    <t>RAIL SUB-ASSY RR SEAT TRACK UPR</t>
  </si>
  <si>
    <t>RAIL SUB-ASSY,FR INN SEAT TRACK,UPR LH</t>
  </si>
  <si>
    <t>RAIL SUB-ASSY, SEAT TRACK, UPR LH</t>
  </si>
  <si>
    <t>RAIL SUB-ASSY, FR INN SEAT TRACK, UPR LH</t>
  </si>
  <si>
    <t>RAIL SUB-ASSY FR INN SEAT TRACK UPR LH</t>
  </si>
  <si>
    <t>RAIL FR OUTER SEAT TRACK UPR RH</t>
  </si>
  <si>
    <t>RAIL, FR OUTER SEAT TRACK, UPR RH</t>
  </si>
  <si>
    <t>RAIL FR SEAT TRACK UPR OUTSIDE OUT RH</t>
  </si>
  <si>
    <t>RAIL, SEAT TRACK, UPR PWR</t>
  </si>
  <si>
    <t>RAIL FR SEAT TRACK UPR OUTSIDE OUT LH</t>
  </si>
  <si>
    <t>RAIL FR SEAT TRACK UPR INSIDE OUT RH</t>
  </si>
  <si>
    <t>RAIL FR SEAT TRACK UPR INSIDE OUT LH</t>
  </si>
  <si>
    <t>RAIL, FR SEAT TRACK, LWR OUTER</t>
  </si>
  <si>
    <t>RAIL, FR SEAT TRACK, LWR</t>
  </si>
  <si>
    <t>RAIL FR SEAT TRACK LWR INNER</t>
  </si>
  <si>
    <t>COVER,SEAT TRACK UPR,RR</t>
  </si>
  <si>
    <t>PROTECTOR SEAT TRACK LWR RAIL</t>
  </si>
  <si>
    <t>PROTECTER SEAT TRACK LWR RAIL</t>
  </si>
  <si>
    <t>BRACKET SEAT TRACK RAIL FR RH</t>
  </si>
  <si>
    <t>BRACKET , FR OUT SEAT TRACK UPR RAIL, RH</t>
  </si>
  <si>
    <t>BRACKET SEAT TRACK RAIL FR LH</t>
  </si>
  <si>
    <t>BRACKET ,FR OUT SEAT TRACK UPR RAIL,LH</t>
  </si>
  <si>
    <t>BRACKET , FR OUT SEAT TRACK UPR RAIL, LH</t>
  </si>
  <si>
    <t>BKT, FR INN SEAT TRACK UPR RIAL, RH</t>
  </si>
  <si>
    <t>BRACKET,FR INN SEAT TRACK UPR RAIL, RH</t>
  </si>
  <si>
    <t>BRACKET FR SEAT TRACK RAIL RR RH</t>
  </si>
  <si>
    <t>BRACKET SEAT TRACK RAIL RR RH</t>
  </si>
  <si>
    <t>BKT, FR INN SEAT TRACK UPR RAIL, LH</t>
  </si>
  <si>
    <t>BRACKET FR INNER SEAT TRACK UPR RAIL LH</t>
  </si>
  <si>
    <t>BRACKET FR SEAT TRACK RAIL RR LH</t>
  </si>
  <si>
    <t>BRACKET SEAT TRACK RAIL RR LH</t>
  </si>
  <si>
    <t>COVER, SEAT TRACK</t>
  </si>
  <si>
    <t>BRACKET FR OUTER SEAT TRACK LWR FR RH</t>
  </si>
  <si>
    <t>BRACKET, FR OUTER SEAT TRACK, LWR FR</t>
  </si>
  <si>
    <t>BRACKET,FR OUTER SEAT TRACK,LWR FR RH</t>
  </si>
  <si>
    <t>BRACKET FR OUTER SEAT TRACK LWR RAIL RH</t>
  </si>
  <si>
    <t>BRACKET, FR OUTER SEAT TRACK,LWR FR RH</t>
  </si>
  <si>
    <t>BRACKET FR OUTER SEAT TRACK LWR FR LH</t>
  </si>
  <si>
    <t>BRACKET,FR OUTER SEAT TRACK,LWR FR LH</t>
  </si>
  <si>
    <t>BRACKET FR OUTER SEAT TRACK LWR RAIL LH</t>
  </si>
  <si>
    <t>BRACKET FR OUTER SEAT TRACK LWR RR RH</t>
  </si>
  <si>
    <t>BRACKET,FR OUTER SEAT TRACK,LWR RR RH</t>
  </si>
  <si>
    <t>BRACKET,FR OUTER SEAT TRACK,LWR RR LH</t>
  </si>
  <si>
    <t>BRACKET FR OUTER SEAT TRACK LWR RR</t>
  </si>
  <si>
    <t>BRACKT,SEAT TRACK, LWR FR</t>
  </si>
  <si>
    <t>BRACKET, FR OUTER SEAT TRACK,LWR RR RH</t>
  </si>
  <si>
    <t>BRACKET FR OUTER SEAT TRACK LWR RR LH</t>
  </si>
  <si>
    <t>BRACKET FR INNER SEAT TRACK LWR FR RH</t>
  </si>
  <si>
    <t>BRACKET,FR INNER SEAT TRACK,LWR FR RH</t>
  </si>
  <si>
    <t>BRACKET, FR INNER SEAT TRACK,LWR FR RH</t>
  </si>
  <si>
    <t>BRACKET FR INNER SEAT TRACK LWR FR LH</t>
  </si>
  <si>
    <t>BRACKET,FR INNER SEAT TRACK,LWR FR LH</t>
  </si>
  <si>
    <t>BRACKET FR INNER SEAT TRACK LWR RR RH</t>
  </si>
  <si>
    <t>BRACKET FR INNER SEAT TRACK LWR RR</t>
  </si>
  <si>
    <t>BRACKET FR INNER SEAT TRACK LWR RR LH</t>
  </si>
  <si>
    <t>BRACKET, FR INNER SEAT TRACK, LWR RR LH</t>
  </si>
  <si>
    <t>PIN FR SEAT LOCATION</t>
  </si>
  <si>
    <t>BRACKET SEAT TRACK HANDLE SUPPORT RH</t>
  </si>
  <si>
    <t>BRACKET, SEAT TRACK HANDLE SUPPORT, RH</t>
  </si>
  <si>
    <t>BRACKET,SEAT TRACK HANDLE SUPPORT,RH</t>
  </si>
  <si>
    <t>BRACKET SEAT TRACK HANDLE SUPPORT</t>
  </si>
  <si>
    <t>BRACKET SEAT TRACK HANDLE SUPPORT LH</t>
  </si>
  <si>
    <t>BRACKET, SEAT TRACK HANDLE SUPPORT, LH</t>
  </si>
  <si>
    <t>BRACKET,SEAT TRACK HANDLE SUPPORT,LH</t>
  </si>
  <si>
    <t>BRACKET,RR OUTER SEAT TRACK,LWR FR RH</t>
  </si>
  <si>
    <t>BRACKET,RR OUTER SEAT TRACK,LWR FR LH</t>
  </si>
  <si>
    <t>BRACKET, RR SEAT TRACK, NO.1</t>
  </si>
  <si>
    <t>BRACKET, RR SEAT TRACK, NO.2</t>
  </si>
  <si>
    <t>HANDLE SUB-ASSY, SEAT TRACK ADJ, LH</t>
  </si>
  <si>
    <t>LOCK SUB-ASSY SEAT TRACK RH</t>
  </si>
  <si>
    <t>LOCK SUB-ASSY SEAT TRCK RH</t>
  </si>
  <si>
    <t>LOCK SUB-ASSY SEAT TRACK LH</t>
  </si>
  <si>
    <t>LOCK SUB-ASSY SEAT TRCK LH</t>
  </si>
  <si>
    <t>PIN SUB-ASSY, SEAT TRACK OPEN LEVER</t>
  </si>
  <si>
    <t>HOUSING SUB-ASSY, POWER SEAT,NO.1</t>
  </si>
  <si>
    <t>HOUSING SUB-ASSY,POWER SEAT,NO.1</t>
  </si>
  <si>
    <t>HANDLE SEAT TRACK</t>
  </si>
  <si>
    <t>KNOB, SEAT TRACK ADJUSTING HANDLE</t>
  </si>
  <si>
    <t>BRKT S/A</t>
  </si>
  <si>
    <t>BRACKET, SEAT TRACK, NO.1</t>
  </si>
  <si>
    <t>BAR OUTER SEAT TRACK</t>
  </si>
  <si>
    <t>BAR, SEAT TRACK LOCK TORSION, RH</t>
  </si>
  <si>
    <t>BAR, SEAT TRACK LOCK TORSION, LH</t>
  </si>
  <si>
    <t>LEVER, OUTER SEAT TRACK LOCK</t>
  </si>
  <si>
    <t>REINFORCEMENT,SEAT TRACK</t>
  </si>
  <si>
    <t>REINFORCEMENT SEAT TRACK</t>
  </si>
  <si>
    <t>PROTECTER FR MNL SEAT TRACK UPR RAIL RR</t>
  </si>
  <si>
    <t>BRACKET SEAT TRACK CONTROL CABLE RH</t>
  </si>
  <si>
    <t>CLAMP SEAT TRACK CONTROL CABLE</t>
  </si>
  <si>
    <t>BRACKET SEAT TRACK CONTROL CABLE LH</t>
  </si>
  <si>
    <t>STOPPER FR SEAT TRACK SLIDE</t>
  </si>
  <si>
    <t>SCREW FR SEAT TRACK SIDE</t>
  </si>
  <si>
    <t>SCREW. FR SEAT TRACL SIDE</t>
  </si>
  <si>
    <t>PIN SEAT TRACK LOCK OPEN LEVER</t>
  </si>
  <si>
    <t>PIN SEAT TRACK OPEN NO1</t>
  </si>
  <si>
    <t>HOOK SEAT TRACK HELPER SPRING NO1</t>
  </si>
  <si>
    <t>HOOK SEAT TRACK HELPER SPRING NO2</t>
  </si>
  <si>
    <t>PLATE SEAT TRACK MEMORY NO1</t>
  </si>
  <si>
    <t>PLATE SEAT TRACK MEMORY NO2</t>
  </si>
  <si>
    <t>PLATE SEAT TRACK MEMORY LOCK LEVER</t>
  </si>
  <si>
    <t>PIN SEAT TRACK MEMORY</t>
  </si>
  <si>
    <t>ARM, RECLINING ADJUSTER, LWR INNER,LH</t>
  </si>
  <si>
    <t>PIPE, RECLINING CONNECTING</t>
  </si>
  <si>
    <t>NUT SIDE SUPPORT RH</t>
  </si>
  <si>
    <t>GUIDE SUB-ASSY VERTICAL ADJUSTER FR</t>
  </si>
  <si>
    <t>GUIDE SUB-ASSY SEAT TRACK ROLL</t>
  </si>
  <si>
    <t>GUIDE SUB-ASSY SEAT TRACK ROLLER</t>
  </si>
  <si>
    <t>BRAKE SUB-ASSY,VERTICAL ADJUSTER,FR</t>
  </si>
  <si>
    <t>HOUSING SUB-ASSY, FR/S MOTOR SIDE, RH (Renka)</t>
  </si>
  <si>
    <t>BRACKET SUB-ASSY,SEAT FRAME SET</t>
  </si>
  <si>
    <t>BRACKET,SUB ASSY SEAT FRAME SET</t>
  </si>
  <si>
    <t>LINK SUB-ASSY VERTICAL SEAT</t>
  </si>
  <si>
    <t>LINK SUB-ASSY,VERTICAL SEAT</t>
  </si>
  <si>
    <t>LINK SUB-ASSY FR SEAT ADJUSTER</t>
  </si>
  <si>
    <t>GUIDE SEAT TRACK ROLLER</t>
  </si>
  <si>
    <t>GUIDE,FR SEAT TRACK ROLLER</t>
  </si>
  <si>
    <t>NUT FR SEAT VERTICAL GEAR</t>
  </si>
  <si>
    <t>PLATE, VERTICAL ADJUSTER ?RH</t>
  </si>
  <si>
    <t>PLATE VERTICAL ADJUSTER RH</t>
  </si>
  <si>
    <t>PIN GEAR ASSY RH</t>
  </si>
  <si>
    <t>LINK VERTICAL TRAVEL NO1</t>
  </si>
  <si>
    <t>LINK VERTICAL TRAVEL NO2</t>
  </si>
  <si>
    <t>LINK, VERTICAL TRAVER, NO.3</t>
  </si>
  <si>
    <t>LINK, VERTICAL TRAVEL, NO. 2</t>
  </si>
  <si>
    <t>M6)?GEAR, VERTICAL TRAVEL, NO.3</t>
  </si>
  <si>
    <t>GEAR VERTICAL ADJUSTER RH</t>
  </si>
  <si>
    <t>GEAR VERTICAL ADJUSTER LH</t>
  </si>
  <si>
    <t>LINK, VERTICAL TRAVER, NO.4</t>
  </si>
  <si>
    <t>LINK, VERTICAL TRAVEL,NO.4</t>
  </si>
  <si>
    <t>PIN, VERTICAL ADJUST, NO.1</t>
  </si>
  <si>
    <t>PIN,VERTICAL ADJUSTER No.1</t>
  </si>
  <si>
    <t>PIN VERTICAL ADJUSTER NO2</t>
  </si>
  <si>
    <t>BRACKET MOTOR SETTING NO.1</t>
  </si>
  <si>
    <t>BRACKET MOTOR SETTING NO.2</t>
  </si>
  <si>
    <t>BRACKET SEAT FRAME SET NO1</t>
  </si>
  <si>
    <t>BRACKET SEAT FRAME SET,NO.1</t>
  </si>
  <si>
    <t>BRACKET FR SEAT FRAME SET NO1</t>
  </si>
  <si>
    <t>BRACKET SEAT FRAME SET NO.2</t>
  </si>
  <si>
    <t>BRACKET SEAT FRAME SET,NO.2</t>
  </si>
  <si>
    <t>BRACKET SEAT FRAME SET NO2</t>
  </si>
  <si>
    <t>PIN, VERTICAL ADJUSTER, NO.5</t>
  </si>
  <si>
    <t>PIN VERTICAL ADJUSTER NO1</t>
  </si>
  <si>
    <t>PIN VERTICAL ADJUSTER NO6</t>
  </si>
  <si>
    <t>BUSH,VERTICAL ADJUSTER</t>
  </si>
  <si>
    <t>LINK VERTICAL TRAVEL NO6 RH</t>
  </si>
  <si>
    <t>LINK VERTICAL TRAVEL NO6 LH</t>
  </si>
  <si>
    <t>FR LWR ARM RH SEAT OUTER MNL</t>
  </si>
  <si>
    <t>ARM SUB-ASSY OUTER RH</t>
  </si>
  <si>
    <t>FR LWR ARM RH SEAT INNER POWER</t>
  </si>
  <si>
    <t>ARM, SUB-ASSY,RECLINING ADJUSTER, LWR OUT RH</t>
  </si>
  <si>
    <t>FR LWR ARM LH SEAT OUTER MNL</t>
  </si>
  <si>
    <t>ARM SUB-ASSY OUTER LH</t>
  </si>
  <si>
    <t>FR LWR ARM LH SEAT INNER POWER</t>
  </si>
  <si>
    <t>ARM S/A RECLINING ADJUSTER RH</t>
  </si>
  <si>
    <t>ARM S/A RECLINING ADJUSTER LH</t>
  </si>
  <si>
    <t>HANDLE SUB-ASSY, RECLINING RELEASE (136B)</t>
  </si>
  <si>
    <t>HANDLE SUB-ASSY, RECLINING RELEASE (457B)</t>
  </si>
  <si>
    <t>HANDLE SUB-ASSY, RECLINING RELEASE (GRAY)</t>
  </si>
  <si>
    <t>HANDLE SUB-ASSY, RECLINING RELEASE (IVORY)</t>
  </si>
  <si>
    <t>ADJUSTER ASSY,RECLINING SEAT,OUTER RH</t>
  </si>
  <si>
    <t>ADJUSTER ASSY, RECLINING SEAT RH</t>
  </si>
  <si>
    <t>ADJUSTER ASSY, FR SEAT RECLINING,RH</t>
  </si>
  <si>
    <t>PLATE, RECLINING ADJUSTER UPR ARM, RH (RING PLATE)</t>
  </si>
  <si>
    <t>ARM RECLINING ADJUSTER RELEASE RH</t>
  </si>
  <si>
    <t>ARM,RECLINING ADJUSTER RELEASE,RH</t>
  </si>
  <si>
    <t>ARM RECLINING ADJUSTER RH</t>
  </si>
  <si>
    <t>PLATE, RECLINING ADJUSTER (Ring )</t>
  </si>
  <si>
    <t>ARM RECLINING ADJUSTER RELEASE LH</t>
  </si>
  <si>
    <t>ARM,RECLINING ADJUSTER RELEASE,LH</t>
  </si>
  <si>
    <t>ARM RECLINING ADJUSTER LH</t>
  </si>
  <si>
    <t>PLATE,RECLINING RELEASE ARM</t>
  </si>
  <si>
    <t>PIN, RECLINING HINGE, OUTER</t>
  </si>
  <si>
    <t>ADJUSTER ASSY,RECLINING SEAT,OUTER LH</t>
  </si>
  <si>
    <t>ADJUSTER ASSY, RECLINING SEAT LH</t>
  </si>
  <si>
    <t>ADJUSTER ASSY, FR SEAT RECLINING,LH</t>
  </si>
  <si>
    <t>ARM, RECLINING ADJUSTER LWR, LH</t>
  </si>
  <si>
    <t>ARM, RECLINING ADJUSTER, LWR OUTER,LH</t>
  </si>
  <si>
    <t>ARM,RECLINING ADJUSTER,LWR,LH</t>
  </si>
  <si>
    <t>PLATE RECLINING ADJUSTER LWR ARM RH</t>
  </si>
  <si>
    <t>PLATE, RECLINING ADJUSTER LWR, ARM,RH</t>
  </si>
  <si>
    <t>PLATE, RECLINING ADJUSTER</t>
  </si>
  <si>
    <t>PLATE, RECLINING ADJUSTER LWR ARM, RH (Guide)</t>
  </si>
  <si>
    <t>PLATE RECLINING ADJUSTER LWR ARM LH</t>
  </si>
  <si>
    <t>PLATE, RECLINING ADJUSTER LWR, ARM,LH</t>
  </si>
  <si>
    <t>PLATE, RECLINING ADJUSTER LWR ARM, LH  (Guide)</t>
  </si>
  <si>
    <t>PIN, RECLINING HINGE, INNER</t>
  </si>
  <si>
    <t>SHAFT, RECLINING ADJUSTING HANDLE</t>
  </si>
  <si>
    <t>RATCHET, RECLINING ADJUSTER (RATCHET)</t>
  </si>
  <si>
    <t>RATCHET, RECLINING ADJUSTER, RH (Rachet)</t>
  </si>
  <si>
    <t>RATCHET, RECLINING ADJUSTER, RL (Rachet)</t>
  </si>
  <si>
    <t>CLAMP RECLINING PAWL LOCK</t>
  </si>
  <si>
    <t>CAM RECLINING PAWL LOCK</t>
  </si>
  <si>
    <t>CAM, RECLINING PAWL LOCK, LH</t>
  </si>
  <si>
    <t>PIN RECLINING CONTROL LINK</t>
  </si>
  <si>
    <t>PIN, FR SEAT</t>
  </si>
  <si>
    <t>LINK,RECLINING REMOTE CONTROL LEVER,RH</t>
  </si>
  <si>
    <t>BRACKER,RECLINING CONTROL CABLE,LH</t>
  </si>
  <si>
    <t>SPRING RECLINING ADJUSTER MEMORY</t>
  </si>
  <si>
    <t>SPRING RECLOINING ADJUSTER MEMORY</t>
  </si>
  <si>
    <t>STOPPER FR SEAT BACK RH</t>
  </si>
  <si>
    <t>STOPPER, FR SEAT BACK, RH</t>
  </si>
  <si>
    <t>STOPPER, FR SSEAT BACK</t>
  </si>
  <si>
    <t>STOPPER FR SEAT BACK LH</t>
  </si>
  <si>
    <t>STOPPER, FR SEAT BACK, LH</t>
  </si>
  <si>
    <t>BASE,RECLINING REMOTE CONTROL,RH</t>
  </si>
  <si>
    <t>BASE,RECLINING REMOTE CONTROL,LH</t>
  </si>
  <si>
    <t>BRACKET,RR SEAT LOCK,RH</t>
  </si>
  <si>
    <t>BRACKET, RR SEAT LOCK, RH</t>
  </si>
  <si>
    <t>BRACKET,RR SEAT LOCK,LH</t>
  </si>
  <si>
    <t>LOCK ASSY, RR SEAT BACK,RH</t>
  </si>
  <si>
    <t>BASE,RR SEAT LOCK,RH</t>
  </si>
  <si>
    <t>BASE,RR SEAT LOCK,LH</t>
  </si>
  <si>
    <t>SPRING, RR SEAT BACK LOCK,LH</t>
  </si>
  <si>
    <t>SPRING, RR SEAT BACK LOCK,RH</t>
  </si>
  <si>
    <t>LOCK ASSY, RR SEAT BACK,LH</t>
  </si>
  <si>
    <t>PIN RR SEAT BACK LOCK NO2</t>
  </si>
  <si>
    <t>BRACKET,RR SEAT LOCKING CABLE,RH</t>
  </si>
  <si>
    <t>BRACKET,RR SEAT LOCKING CABLE,LH</t>
  </si>
  <si>
    <t>ROD,RR SEAT LOCK</t>
  </si>
  <si>
    <t>PIN, RR SEAT CUSHION SUPPORT</t>
  </si>
  <si>
    <t>LEVER,RR SEAT LOCK CONTOROL,RH</t>
  </si>
  <si>
    <t>LEVER,RR SEAT LOCK CONTOROL,LH</t>
  </si>
  <si>
    <t>HOOK,SEAT CUSHION LOCK</t>
  </si>
  <si>
    <t>PLATE RR SEAT LOCKING RELEASE</t>
  </si>
  <si>
    <t>HOOK,RR SEAT RECLINING CONTROL,RH</t>
  </si>
  <si>
    <t>HOOK,RR SEAT RECLINING CONTROL,LH</t>
  </si>
  <si>
    <t>LEVER,RR SEAT RECLINING RELEASE,RH</t>
  </si>
  <si>
    <t>LEVER,RR SEAT RECLINING RELEASE,LH</t>
  </si>
  <si>
    <t>ARM RR SEAT RECLINING LWR RH</t>
  </si>
  <si>
    <t>ARM RR SEAT RECLINING LWR LH</t>
  </si>
  <si>
    <t>PLATE RR SEAT RECLINING BRACKET</t>
  </si>
  <si>
    <t>SPACER RR SEAT TURN SIDE</t>
  </si>
  <si>
    <t>PLATE,RR SEAT TURN,UPR RH</t>
  </si>
  <si>
    <t>PLATE, RR SEAT TURN, LWR LH</t>
  </si>
  <si>
    <t>BRACKET SEAT BELT INNER ANCHOR RH</t>
  </si>
  <si>
    <t>BRACKET S/ASSY FR SEAT BELT ANCOR RH</t>
  </si>
  <si>
    <t>BRACKET S/ASSY FR SEAT BELT ANCOR LH</t>
  </si>
  <si>
    <t>BRACKET SEAT BELT INNER ANCHOR NO.1 RH</t>
  </si>
  <si>
    <t>BRACKET,SEAT BELT INNER ANCHOR,NO.1.RH</t>
  </si>
  <si>
    <t>BRACKET SEAT BELT INNER ANCHOR NO 1 RH</t>
  </si>
  <si>
    <t>Mid  BKT  LH</t>
  </si>
  <si>
    <t>BRACKET SEAT BELT INNER ANCHOR NO1 RH</t>
  </si>
  <si>
    <t>BRACKET FR SEAT BELT ANCHOR RH</t>
  </si>
  <si>
    <t>BRACHET FR SEAT BELT ANCOR RH</t>
  </si>
  <si>
    <t>BRACKET, SEAT BELT INNER ANCHOR, NO. 1 RH</t>
  </si>
  <si>
    <t>BRACKET,SEAT BELT INNER ANCHOR,NO.1.LH</t>
  </si>
  <si>
    <t>BRACKET SEAT BELT INNER ANCHOR NO 1 LH</t>
  </si>
  <si>
    <t>BRACKET SEAT BELT INNER ANCHOR NO1 LH</t>
  </si>
  <si>
    <t>BRACKET FR SEAT BELT ANCHOR LH</t>
  </si>
  <si>
    <t>BRACKET FR SEAT BELT ANCOR LH</t>
  </si>
  <si>
    <t>BRACKET, SEAT BELT INNER ANCHOR,  LH</t>
  </si>
  <si>
    <t>DAMPER, ACCELERATOR PULL BACK SPR, NO.1</t>
  </si>
  <si>
    <t>SPRING TORSION RH</t>
  </si>
  <si>
    <t>SPRING,TORSION , RH</t>
  </si>
  <si>
    <t>SPRING TORSION LH</t>
  </si>
  <si>
    <t>SPRING, TORSION , LH</t>
  </si>
  <si>
    <t>BOLT,SUB SEAT</t>
  </si>
  <si>
    <t>PLATE(T=0.5)</t>
  </si>
  <si>
    <t>BRACKET NO1 SEAT CUSHION</t>
  </si>
  <si>
    <t>LEG NO1 SEAT OUTER</t>
  </si>
  <si>
    <t>LEG,NO.1 SEAT,RH</t>
  </si>
  <si>
    <t>LEG,NO.1 SEAT,LH</t>
  </si>
  <si>
    <t>LEG NO1 SEAT INNER</t>
  </si>
  <si>
    <t>LEG,NO.1 SEAT,INNER RH</t>
  </si>
  <si>
    <t>LEG NO1 SEAT LWR</t>
  </si>
  <si>
    <t>LEG,NO.1 SEAT,INNER LH</t>
  </si>
  <si>
    <t>LEG SUB-ASSY,N0.2 SEAT,RH</t>
  </si>
  <si>
    <t>LEG SUB-ASSY,N0.2 SEAT,LH</t>
  </si>
  <si>
    <t>BRACKET?SUB-ASSY,N0.2 SEAT LEG,RH</t>
  </si>
  <si>
    <t>BRACKET SUB-ASSY,NO.2 SEAT LEG ,RH</t>
  </si>
  <si>
    <t>BRACKET?SUB-ASSY,N0.2 SEAT LEG,LH</t>
  </si>
  <si>
    <t>BRACKET SUB-ASSY,NO.2 SEAT LEG ,LH</t>
  </si>
  <si>
    <t>HOOK NO2 SEAT STOP ( 201B )</t>
  </si>
  <si>
    <t>LEG,NO.3 SEAT, OUTER RH</t>
  </si>
  <si>
    <t>LEG, NO.3 SEAT, OUTER RR</t>
  </si>
  <si>
    <t>LEG,NO.3 SEAT, OUTER RR</t>
  </si>
  <si>
    <t>LEG,NO.3 SEAT, OUTER LH</t>
  </si>
  <si>
    <t>LEG,NO.3 SEAT, OUTER RR LH</t>
  </si>
  <si>
    <t>BRACKET, NO.3 SEAT HINGE, LWR</t>
  </si>
  <si>
    <t>BRACKET FOLD SEAT LEG FR</t>
  </si>
  <si>
    <t>BRACKET, CUSHION FRAME</t>
  </si>
  <si>
    <t>PATCH,SEAT FRAME,RH</t>
  </si>
  <si>
    <t>PATCH,SEAT FRAME,LH</t>
  </si>
  <si>
    <t>LINK SUB-ASSY, FR NML SEAT LIFTER, FR1</t>
  </si>
  <si>
    <t>SNAP, DOOP LOCK OPEN LEVER</t>
  </si>
  <si>
    <t>CASE, SEAT BACK LOCK, NO.1</t>
  </si>
  <si>
    <t>SPRING, SEAT BACK LOCK, TENSION</t>
  </si>
  <si>
    <t>SPRING, RR SEAT LOCK, TORSION NO.1</t>
  </si>
  <si>
    <t>COVER,PROTECTOR</t>
  </si>
  <si>
    <t>COVER PROTECTOR</t>
  </si>
  <si>
    <t>BOLT,WELD</t>
  </si>
  <si>
    <t>BOLT WELD</t>
  </si>
  <si>
    <t>BOLT,SEAT SET</t>
  </si>
  <si>
    <t>BOLT, WITH SHOULDER</t>
  </si>
  <si>
    <t>ROLLER</t>
  </si>
  <si>
    <t>ROLLER #0 ( HEAT&amp;SURFACETREATMENT )</t>
  </si>
  <si>
    <t>ROLLER #1 ( HEAT&amp;SURFACETREATMENT )</t>
  </si>
  <si>
    <t>ROLLER #2 ( HEAT&amp;SURFACETREATMENT )</t>
  </si>
  <si>
    <t>ROLLER #3 ( HEAT&amp;SURFACETREATMENT )</t>
  </si>
  <si>
    <t>ROLLER #4 ( HEAT&amp;SURFACETREATMENT )</t>
  </si>
  <si>
    <t>ROLLER #5 ( HEAT&amp;SURFACETREATMENT )</t>
  </si>
  <si>
    <t>ROLLER #6 ( HEAT&amp;SURFACETREATMENT )</t>
  </si>
  <si>
    <t>ROLLER #7 ( HEAT&amp;SURFACETREATMENT )</t>
  </si>
  <si>
    <t>ROLLER #8 ( HEAT&amp;SURFACETREATMENT )</t>
  </si>
  <si>
    <t>RIVET ROUND</t>
  </si>
  <si>
    <t>NUT WELD (Aoyama Thai)</t>
  </si>
  <si>
    <t>LWR ARM-SUB TILT PANEL S/A RH INN</t>
  </si>
  <si>
    <t>LWR ARM-SUB TILT PANEL S/A LH INN</t>
  </si>
  <si>
    <t>LWR ARM-SUB TILT PANEL S/A RH OUT</t>
  </si>
  <si>
    <t>LWR ARM-SUB TILT PANEL S/A LH OUT</t>
  </si>
  <si>
    <t>ACCELERATOR-131 (25 KG/CON)</t>
  </si>
  <si>
    <t>ADDITIVE-4813 (25 KG/CON)</t>
  </si>
  <si>
    <t>ADDITIVE-4856 (25 KG/CON)</t>
  </si>
  <si>
    <t>ARMBAND PREVENT SHARP 16BEIGE""</t>
  </si>
  <si>
    <t>ARMBAND PREVENT SHARP (THICK WOVEN) WHITE</t>
  </si>
  <si>
    <t>ARMBAND PREVENT SHARP 16.5BLACK""</t>
  </si>
  <si>
    <t>ASACLEAN NEW EX ( 25 KG./BAG )</t>
  </si>
  <si>
    <t>Kiswel-KC-28 AWS:ER70S-6 1.0 MM (300Kg P/Pack)</t>
  </si>
  <si>
    <t>PIPE=12.0 T=0.7 L=642.0</t>
  </si>
  <si>
    <t>PIPE F=12 T=0.8 L=674 FR MNL</t>
  </si>
  <si>
    <t>PIPE F=12 T=0.8 L=735 FR MNL</t>
  </si>
  <si>
    <t>PIPE F=12.0 T=1.2 L=740</t>
  </si>
  <si>
    <t>PIPE F=12 T=0.8 L=764 FR</t>
  </si>
  <si>
    <t>PIPE F=12.0 T=0.8 L=910 MM.</t>
  </si>
  <si>
    <t>PIPE F=12.0 T=0.8 L=920 MM.</t>
  </si>
  <si>
    <t>PIPE F=12.7 T=1.2 L=848 MM</t>
  </si>
  <si>
    <t>PIPE F=12.7 T=2.0 L=278.3</t>
  </si>
  <si>
    <t>PIPE F22.2 T=2.0 L=514</t>
  </si>
  <si>
    <t>REMNANT OF CLOTH WASTE 25 kg.</t>
  </si>
  <si>
    <t>COTTON GLOVES (600 G) GREY</t>
  </si>
  <si>
    <t>COTTON GLOVES (600 G) WHITE ( 10 Dozen )</t>
  </si>
  <si>
    <t>MITSUBISHI CRAYON BLACK #7600</t>
  </si>
  <si>
    <t>MITSUBISHI CRAYON BLUE #7600</t>
  </si>
  <si>
    <t>MITSUBISHI CRAYON GREEN #7600</t>
  </si>
  <si>
    <t>MITSUBISHI CRAYON PINK #7600</t>
  </si>
  <si>
    <t>MITSUBISHI CRAYON RED #7600</t>
  </si>
  <si>
    <t>MITSUBISHI CRAYON SKY BLUE #7600</t>
  </si>
  <si>
    <t>MITSUBISHI CRAYON WHITE #7600</t>
  </si>
  <si>
    <t>MITSUBISHI CRAYON YELLOW #7600</t>
  </si>
  <si>
    <t>SEAT TRACK LWR RAIL SUB INNER</t>
  </si>
  <si>
    <t>SEAT TRACK LWR RAIL SUB OUTER</t>
  </si>
  <si>
    <t>TEARDOWN, SEAT ADJUSTER</t>
  </si>
  <si>
    <t>ELECRON ADDITIVE E</t>
  </si>
  <si>
    <t>ELECRON GT-10LF BLACK F1</t>
  </si>
  <si>
    <t>ELECRON GT-10LF BLACK F2</t>
  </si>
  <si>
    <t>ELECRON ADDITIVE N1</t>
  </si>
  <si>
    <t>UPR RAIL RH</t>
  </si>
  <si>
    <t>UPR RAIL LH</t>
  </si>
  <si>
    <t>NON WOVEN FACE MASK 3 PLY PERIPHERY (50 PCS.)</t>
  </si>
  <si>
    <t>FACE MASK 3 PLY ( 50 PCS )</t>
  </si>
  <si>
    <t>FACE MASK 6 PLY WITH CARBON ( 10 PCS )</t>
  </si>
  <si>
    <t>FINE CLEANER T5008 (25 KG/BAG)</t>
  </si>
  <si>
    <t>MARKER GANGY PAINT NO.150 GOLD ( GANGY )</t>
  </si>
  <si>
    <t>MARKER GANGY PAINT NO.150 WHITE ( GANGY )</t>
  </si>
  <si>
    <t>KEVLAR GLOVE 11 ( 1 SET )"</t>
  </si>
  <si>
    <t>GLOVE TC FREE SIZE ( QC )</t>
  </si>
  <si>
    <t>TOWA GLOVES NITRILE COATING SIZE:M</t>
  </si>
  <si>
    <t>TOWA GLOVES NITRILE COATING SIZE:L</t>
  </si>
  <si>
    <t>GREASE MULTEMP AC-P (18 Kg.)</t>
  </si>
  <si>
    <t>GREASE G-1060 ( 16KG/PAIL )</t>
  </si>
  <si>
    <t>GREASE MULTEMP TAS NO 2 (15 Kg.)</t>
  </si>
  <si>
    <t>GREASE MULTEMP TA NO1 (15 Kg.)</t>
  </si>
  <si>
    <t>GREASE E-PASTE ( 1KG/PAIL )</t>
  </si>
  <si>
    <t>MULTEMP SL-D2 ( 14 Kg. )</t>
  </si>
  <si>
    <t>JSC980YL 1.0 X 670 X C(P=128)</t>
  </si>
  <si>
    <t>Artline K-177N KR-ND Black</t>
  </si>
  <si>
    <t>Artline K-177N KR-ND Blue</t>
  </si>
  <si>
    <t>Artline K-177N KR-ND Gold</t>
  </si>
  <si>
    <t>Artline K-177N KR-ND Green</t>
  </si>
  <si>
    <t>Artline K-177N KR-ND Orange</t>
  </si>
  <si>
    <t>Artline K-177N KR-ND Pink</t>
  </si>
  <si>
    <t>Artline K-177N KR-ND Red</t>
  </si>
  <si>
    <t>Artline K-177N KR-ND Violet</t>
  </si>
  <si>
    <t>Artline K-177N KR-ND Yellow</t>
  </si>
  <si>
    <t>SPRAY COLOUR #K910 BLACK  KOBE</t>
  </si>
  <si>
    <t>GLOVE KEVLAR LEVEL 3(10 Set/Pack)</t>
  </si>
  <si>
    <t>Kiswel-KR KC-28 1.2MM (250Kg P/Pack)</t>
  </si>
  <si>
    <t>Kiswel-KR KC-28 1.2MM (15Kg/Spool)</t>
  </si>
  <si>
    <t>MASK 6 PLY WITH CARBON (20 Pcs/Pack)</t>
  </si>
  <si>
    <t>MASK 3 PLY (1200 Pcs/Pack)</t>
  </si>
  <si>
    <t>NIPPECO LTM NLGI Grade : 2 (16 kg.)</t>
  </si>
  <si>
    <t>NITRILE GLOVE SIZE : L ( 50 Set )</t>
  </si>
  <si>
    <t>NITRILE GLOVE SIZE : M ( 50 Set )</t>
  </si>
  <si>
    <t>NITRI LATEX GLOVES Size : L (50 set)</t>
  </si>
  <si>
    <t>NITRI LATEX  GLOVES Size : M (50 set)</t>
  </si>
  <si>
    <t>Weilding Wire YM-28 1.2 mm. x pail pack(250kg</t>
  </si>
  <si>
    <t>NEUTRALIZER-4055 (25 KG/CON)</t>
  </si>
  <si>
    <t>UBE NYLON 1015GNKF</t>
  </si>
  <si>
    <t>NYLON GLOVE SIZE : M ( 10 Set )</t>
  </si>
  <si>
    <t>NYLON GLOVE SIZE : S ( 10 Set )</t>
  </si>
  <si>
    <t>ADR PWR RH INN</t>
  </si>
  <si>
    <t>PWR RH OUT</t>
  </si>
  <si>
    <t>PWR LH OUT</t>
  </si>
  <si>
    <t>PWR RH INN</t>
  </si>
  <si>
    <t>PWR LH INN</t>
  </si>
  <si>
    <t>ADR UPR RH INN</t>
  </si>
  <si>
    <t>ADR UPR LH INN</t>
  </si>
  <si>
    <t>ADR MNL RH OUT</t>
  </si>
  <si>
    <t>ADR MNL LH OUT</t>
  </si>
  <si>
    <t>ADR MNL RH INN</t>
  </si>
  <si>
    <t>ADR MNL LH INN</t>
  </si>
  <si>
    <t>ADR PWR RH OUT</t>
  </si>
  <si>
    <t>PALFOS 525TD (15KG/CAN)</t>
  </si>
  <si>
    <t>PALFOS PF525T (PF-525T) (20 Kg./1Can)</t>
  </si>
  <si>
    <t>PAPER TAPE 1( 20 Yards )""</t>
  </si>
  <si>
    <t>PAPER TAPE 1/2"</t>
  </si>
  <si>
    <t>PALBOND-LT5103M (25 KG/CON)</t>
  </si>
  <si>
    <t>PALBOND-LT5103R (25 KG/CON)</t>
  </si>
  <si>
    <t>PARKER CLEANER PK-T4910N</t>
  </si>
  <si>
    <t>PLASTIC BAG 40x72 cmx150 um</t>
  </si>
  <si>
    <t>PLASTIC BAG 70 x 60 cm x 130 um</t>
  </si>
  <si>
    <t>PREPALENE-ZN (25 KG/BAG)</t>
  </si>
  <si>
    <t>PRETON R-337W (20 L/1can)</t>
  </si>
  <si>
    <t>MARKER UNI PAINT PX-20 BLACK (MISUBISHI)</t>
  </si>
  <si>
    <t>MARKER UNI PAINT PX-20 BLUE (MISUBISHI)</t>
  </si>
  <si>
    <t>MARKER UNI PAINT PX-20 GOLD (MISUBISHI)</t>
  </si>
  <si>
    <t>MARKER UNI PAINT PX-20 GREEN (MISUBISHI)</t>
  </si>
  <si>
    <t>MARKER UNI PAINT PX-20 ORANGE (MISUBISHI)</t>
  </si>
  <si>
    <t>MARKER UNI PAINT PX-20 PINK (MISUBISHI)</t>
  </si>
  <si>
    <t>MARKER UNI PAINT PX-20 RED (MISUBISHI)</t>
  </si>
  <si>
    <t>MARKER UNI PAINT PX-20 VIOLET (MISUBISHI)</t>
  </si>
  <si>
    <t>MARKER UNI PAINT PX-20 WHITE (MISUBISHI)</t>
  </si>
  <si>
    <t>MARKER UNI PAINT PX-20 YELLOW (MISUBISHI)</t>
  </si>
  <si>
    <t>MARKER UNI PAINT PX-21 BLACK (MISUBISHI)</t>
  </si>
  <si>
    <t>MARKER UNI PAINT PX-21 BLUE (MISUBISHI)</t>
  </si>
  <si>
    <t>MARKER UNI PAINT PX-21 GOLD (MISUBISHI)</t>
  </si>
  <si>
    <t>MARKER UNI PAINT PX-21 GREEN (MISUBISHI)</t>
  </si>
  <si>
    <t>MARKER UNI PAINT PX-21 ORANGE (MISUBISHI)</t>
  </si>
  <si>
    <t>MARKER UNI PAINT PX-21 PINK (MISUBISHI)</t>
  </si>
  <si>
    <t>MARKER UNI PAINT PX-21 RED (MISUBISHI)</t>
  </si>
  <si>
    <t>MARKER UNI PAINT PX-21 WHITE (MISUBISHI)</t>
  </si>
  <si>
    <t>MARKER UNI PAINT PX-21 YELLOW (MISUBISHI)</t>
  </si>
  <si>
    <t>S28-C-B-A T2.0(+,-0.1)x75xC (P=39)</t>
  </si>
  <si>
    <t>S28-C-B-A T2.6(+,-0.1)x142xC (P=46)</t>
  </si>
  <si>
    <t>S28-C-B-A T2.9(+,-0.1)x136xC (P=69)</t>
  </si>
  <si>
    <t>S28-C-B-A 4.3X76 (P=78)</t>
  </si>
  <si>
    <t>CARTON BOX KA125 SIZE:275x360x80mm. for RR</t>
  </si>
  <si>
    <t>CARTON BOX KA125 SIZE:245x260x80mm. for TOGO</t>
  </si>
  <si>
    <t>SOLVEST 330 ml.</t>
  </si>
  <si>
    <t>SOLVEST114 (20 kg./Pail)</t>
  </si>
  <si>
    <t>SOLVEST141 (19 kg./Pail)</t>
  </si>
  <si>
    <t>SPC440 1.0 X 412 X C(P=223)</t>
  </si>
  <si>
    <t>SPC440 1.0 X 440 X C(P=78)</t>
  </si>
  <si>
    <t>SPC440 1.0 x 446 x C (P=159)</t>
  </si>
  <si>
    <t>SPC440 1.0 x 464 xC  (P=150)</t>
  </si>
  <si>
    <t>SPC440 1.0 X 465 X C(P=161)</t>
  </si>
  <si>
    <t>SPC440 1.0 X 465 X C(P=199)</t>
  </si>
  <si>
    <t>SPC440 1.0 X 466 X C(P=199)</t>
  </si>
  <si>
    <t>SPC440 1.0X471XC (P=169)</t>
  </si>
  <si>
    <t>SPC440 1.0X485XC (P=188)</t>
  </si>
  <si>
    <t>SPC440 1.0 X 492 X C(P=120)</t>
  </si>
  <si>
    <t>SPC440 1.0 X 496 X C(P=226)</t>
  </si>
  <si>
    <t>SPC440C   1.2 X 128/2 X C(P=50)</t>
  </si>
  <si>
    <t>SPC440 1.2 X 425 X C(P=180)/2</t>
  </si>
  <si>
    <t>SPC440 1.2 x 433 X C(P=97)</t>
  </si>
  <si>
    <t>SPC440 1.2 X 574 X C(P=94)/2</t>
  </si>
  <si>
    <t>SPC440 1.4 X436 X C (P= 76)</t>
  </si>
  <si>
    <t>SPC590 0.7 x 517 x P=173</t>
  </si>
  <si>
    <t>SPC590 1.2X519XC (P=161)</t>
  </si>
  <si>
    <t>SPC590 1.2X519XC (P=161) NON-CSP</t>
  </si>
  <si>
    <t>SPC590 1.2 x 573 x C (P=201)</t>
  </si>
  <si>
    <t>SPC590 1.2X581XC (P=200)</t>
  </si>
  <si>
    <t>SPC590 1.4 x 333 x P=111</t>
  </si>
  <si>
    <t>SPC590       1.4 X 454 X C(P=106)</t>
  </si>
  <si>
    <t>SPC590 1.4 x 487 x P=123</t>
  </si>
  <si>
    <t>SPC590 1.4 x 508 x P=122</t>
  </si>
  <si>
    <t>SPC590 1.4 X 561 X C(P=184)</t>
  </si>
  <si>
    <t>SPC590 1.4 X 571 X C(P=203)</t>
  </si>
  <si>
    <t>SPC590 1.6 X 480 X C(P=119)</t>
  </si>
  <si>
    <t>SPC590 1.6 x 513 x P=129</t>
  </si>
  <si>
    <t>SPC590 1.6 x 515 x P=131</t>
  </si>
  <si>
    <t>SPC590 1.6 X 529 X C(P=130)</t>
  </si>
  <si>
    <t>SPC590-OD 1.8 X 430 X C(P=115)</t>
  </si>
  <si>
    <t>SPC590       1.8 X 452 X C(P=115)</t>
  </si>
  <si>
    <t>SPC590-DU 1.4(?0.1)x163xC (P=86)</t>
  </si>
  <si>
    <t>SPC980-DU 1.0X630XC (P=153)</t>
  </si>
  <si>
    <t>SPC980DU-T 1.2 x 478 x C (P=129)</t>
  </si>
  <si>
    <t>SPC980-DU 1.4 X 381 X C(P=123)</t>
  </si>
  <si>
    <t>SPC980-DU 1.4 X 417 X C(P=123)</t>
  </si>
  <si>
    <t>SPC980-DU 1.4 X 417 X R X C(P=123)</t>
  </si>
  <si>
    <t>SPC980DU-T 1.4 x 418 x C (P=123)</t>
  </si>
  <si>
    <t>SPC980-DU 1.4 X 439 X C(P=105)</t>
  </si>
  <si>
    <t>SPC980-DU 1.4 X 449 X C(P=123)</t>
  </si>
  <si>
    <t>SPC980DU-T 1.4 X 467 X C(P=122)</t>
  </si>
  <si>
    <t>SPC980-DU-T 1.4 X 482 X C(P=122)</t>
  </si>
  <si>
    <t>SPC980-DU 1.4 X 510 X C(P=154</t>
  </si>
  <si>
    <t>SPC980DU 1.4 x 520 x P=122</t>
  </si>
  <si>
    <t>SPH270C-OD 1.4 X 190/2 X C(P=100)</t>
  </si>
  <si>
    <t>SPH270C-OD 1.8 X 158 X C</t>
  </si>
  <si>
    <t>SPH270C-OD 1.8 X 272 X C (P=83)</t>
  </si>
  <si>
    <t>SPH440-OD 1.4 X 432 X C(P=150)</t>
  </si>
  <si>
    <t>SPH440-OD 1.4 X 556 X C(P=144)</t>
  </si>
  <si>
    <t>SPH440-OD 1.4 X 568 X C(P=170)</t>
  </si>
  <si>
    <t>SPH440-OD 1.8 X 220/2 X C(P=160)</t>
  </si>
  <si>
    <t>SPH440-OD 1.8 X 314 X C(P=112)/2</t>
  </si>
  <si>
    <t>SPH440-OD 1.8 X 408 X C(P=101)</t>
  </si>
  <si>
    <t>SPH440-OD 1.8 X 453 X C(P=149)/2</t>
  </si>
  <si>
    <t>SPH440-OD 1.8 X 917/2 X C(P=102)</t>
  </si>
  <si>
    <t>SPH440 2.0X220XC (P=113)</t>
  </si>
  <si>
    <t>SPH440-OD 2.0 X 291/2 X C(P=110)</t>
  </si>
  <si>
    <t>SPH440-OD 2.0 X 308/2 X C(P= 80)</t>
  </si>
  <si>
    <t>SPH440-OD 2.0 X 347 X C(P=118)/2</t>
  </si>
  <si>
    <t>SPH440-OD 2.0 X 350 X C(P=115)/2</t>
  </si>
  <si>
    <t>SPH440-OD 2.0 X 364 X C(P=110)/2</t>
  </si>
  <si>
    <t>SPH440 2.3 x 228 x P=60</t>
  </si>
  <si>
    <t>SPH440-OD 2.3 X 291 X C(P=100)/2</t>
  </si>
  <si>
    <t>SPH440-OD 2.3 X 306 X C(P=100)/2</t>
  </si>
  <si>
    <t>SPH440-OD 2.3 X 466 X C(P= 90)</t>
  </si>
  <si>
    <t>SPH440-OD 2.3X506XC(P=104)</t>
  </si>
  <si>
    <t>SPH440-OD 2.6 X 305 X C(P=90)/2</t>
  </si>
  <si>
    <t>SPH440-OD 2.6 X 306/2 X C(P= 80)</t>
  </si>
  <si>
    <t>SPH440-OD 2.6 X 318 X C(P=89)/2</t>
  </si>
  <si>
    <t>SPH440-OD 2.6X320/2XC(P=105)</t>
  </si>
  <si>
    <t>SPH440-OD 2.6 X 321 X C(P=98)</t>
  </si>
  <si>
    <t>SPH440-OD 2.9 X 268 X C(P=136)/2</t>
  </si>
  <si>
    <t>SPH440-OD 2.9 X 295 X C(P=93)</t>
  </si>
  <si>
    <t>SPH440-OD 2.9X316XC (P=102)</t>
  </si>
  <si>
    <t>SPH440-OD 2.9X320XC (P=104)</t>
  </si>
  <si>
    <t>SPH440-OD 2.9X323XC (P=102)</t>
  </si>
  <si>
    <t>SPH440-OD 2.9 X 326 X C(P=104)/2</t>
  </si>
  <si>
    <t>SPH440-OD 2.9 X 333 X C(P=100)</t>
  </si>
  <si>
    <t>SPH440 3.2 X 190 X C(P=80)</t>
  </si>
  <si>
    <t>SPH440-OD 3.2 X 297/2 X C(P=114)</t>
  </si>
  <si>
    <t>SPH440-OD 3.2 X 355/2 X C(P=114)</t>
  </si>
  <si>
    <t>SPH440-OD 3.2X361XC (P=102)</t>
  </si>
  <si>
    <t>SPH440 3.2 X 190 X C(P=60)</t>
  </si>
  <si>
    <t>SPH440-OD 4.0X259XC (P=99)</t>
  </si>
  <si>
    <t>SPH440-OD 4.0 X 288/2 X C(P=115)</t>
  </si>
  <si>
    <t>SPH440-OD 4.0 X 293/2 X C(P=114)</t>
  </si>
  <si>
    <t>SPH440-OD-T 4.3X84 (P=86)</t>
  </si>
  <si>
    <t>SPH440-OD-T 4.3X86 (P=86)</t>
  </si>
  <si>
    <t>SPH440-OD-T 4.3X88 (P=86)</t>
  </si>
  <si>
    <t>SPH440-OD-T 4.6X63/2 (P=21)</t>
  </si>
  <si>
    <t>SPH440-OD-T 4.6X68/2 (P=21)</t>
  </si>
  <si>
    <t>SPH440-OD-T 4.6X94/2 (P=48)</t>
  </si>
  <si>
    <t>SPH590 1.6 x 237 x P=78</t>
  </si>
  <si>
    <t>SPH590-OD 1.6 X 565 X C(P=132)</t>
  </si>
  <si>
    <t>SPH590-OD 1.6 X 583 X C(P=135)</t>
  </si>
  <si>
    <t>SPH590-OD 1.8 X 438 X C(P=101)</t>
  </si>
  <si>
    <t>SPH590-OD 1.8 X 502 X C(P=140)</t>
  </si>
  <si>
    <t>SPH590-OD 2.0 x 412 x C (P=100)</t>
  </si>
  <si>
    <t>SPH590-OD 2.0 X 425 X C(P=136)</t>
  </si>
  <si>
    <t>SPH590-OD 2.0 X 450 X C(P=115)</t>
  </si>
  <si>
    <t>SPH590-OD 2.3 X 246 X C(P= 75)</t>
  </si>
  <si>
    <t>SPH590-OD 2.3 X 391 X C(P=138)</t>
  </si>
  <si>
    <t>SPH590-OD 2.6 X 247 X C(P=137)</t>
  </si>
  <si>
    <t>SPH590-OD 2.6X362XC (P=77)</t>
  </si>
  <si>
    <t>SPH590-OD 2.9X249XC (P=138)</t>
  </si>
  <si>
    <t>SPH590 3.2 x 202 x P=120</t>
  </si>
  <si>
    <t>SPH590-OD 3.2 X 208 X C(P=124)/2</t>
  </si>
  <si>
    <t>SPH590-OD 3.2 X 215 X C(P=124)/2</t>
  </si>
  <si>
    <t>SPH590-ODx3.6x150xC (P=75)</t>
  </si>
  <si>
    <t>SPH590-OD 4.0X257XC (P=100)</t>
  </si>
  <si>
    <t>SPH590-OD 4.0 X 332/2 X C(P=106)</t>
  </si>
  <si>
    <t>BRACKET SUPPORT RH</t>
  </si>
  <si>
    <t>BRACKET SUPPORT LH</t>
  </si>
  <si>
    <t>MULTIPURPOSE:BLACK 330 ml.</t>
  </si>
  <si>
    <t>MULTIPURPOSE:WHITE 330 ml.</t>
  </si>
  <si>
    <t>SUNPRESS FB-688P(200L/1Pail)</t>
  </si>
  <si>
    <t>Pallet size : 1150 x 1150 x 125 mm.</t>
  </si>
  <si>
    <t>BRACKET LEVER RH</t>
  </si>
  <si>
    <t>BRACKET HINGE C RH</t>
  </si>
  <si>
    <t>BRACKET HINGE C LH</t>
  </si>
  <si>
    <t>BRACKET LEVER LH</t>
  </si>
  <si>
    <t>UNIT TAPE (M)</t>
  </si>
  <si>
    <t>UNIT TAPE (M) Thai KK Tape</t>
  </si>
  <si>
    <t>HDPE Plastic sheet size:1400x1400x0.06mm.</t>
  </si>
  <si>
    <t>Air bubble 3 layer size:300x600mm. Dai 10mm.60GSM</t>
  </si>
  <si>
    <t>PLASTIC BAG 400 x 720 x 0.15 mm</t>
  </si>
  <si>
    <t>CARTON PAD , 230x570 for CHC</t>
  </si>
  <si>
    <t>CARTON BOX , 580x360x300 for CHC</t>
  </si>
  <si>
    <t>CARTON BOX , 360x580x320 for CHC</t>
  </si>
  <si>
    <t>Weilding Wire YM-28(ECO) 1.2 mm. x pail pack(250kg</t>
  </si>
  <si>
    <t>ZERUST FERROUS SHEET 24x30cmx0.08mm</t>
  </si>
  <si>
    <t>ZERUST FERROUS SHEET 26.5x40cmx0.08mm</t>
  </si>
  <si>
    <t>【KANBAN】 Production Press 1000T</t>
  </si>
  <si>
    <t>Rev.00</t>
  </si>
  <si>
    <t>Workday</t>
  </si>
  <si>
    <t>Material</t>
  </si>
  <si>
    <t>BOX</t>
  </si>
  <si>
    <t>other</t>
  </si>
  <si>
    <t>model</t>
  </si>
  <si>
    <t>Function</t>
  </si>
  <si>
    <t>Die No.</t>
  </si>
  <si>
    <t>Press No.1</t>
  </si>
  <si>
    <t>Press No.2</t>
  </si>
  <si>
    <t>Press No.3</t>
  </si>
  <si>
    <t>SD No.</t>
  </si>
  <si>
    <t>Part NO.</t>
  </si>
  <si>
    <t>Pcs/Shot</t>
  </si>
  <si>
    <t>SPM</t>
  </si>
  <si>
    <t>Weight Coil Std.(kg)</t>
  </si>
  <si>
    <t>Pcs/Box</t>
  </si>
  <si>
    <t>Month (Pcs)</t>
  </si>
  <si>
    <t>DAY VOLUME</t>
  </si>
  <si>
    <t>KANBAN VOL</t>
  </si>
  <si>
    <t>OUTSIDE VOL.</t>
  </si>
  <si>
    <t>Re-order Point</t>
  </si>
  <si>
    <t>note</t>
  </si>
  <si>
    <t>Weight Coil Std(kg)</t>
  </si>
  <si>
    <t>Coil Spec</t>
  </si>
  <si>
    <t>T</t>
  </si>
  <si>
    <t>W</t>
  </si>
  <si>
    <t>P</t>
  </si>
  <si>
    <t>kg/shot</t>
  </si>
  <si>
    <t>OD (mm)</t>
  </si>
  <si>
    <t>Id (mm)</t>
  </si>
  <si>
    <t>Effi (%)</t>
  </si>
  <si>
    <t>Box Size (mm)</t>
  </si>
  <si>
    <t>Weight</t>
  </si>
  <si>
    <t>Part Weight Drawing (kg)</t>
  </si>
  <si>
    <t>Part Weight Actual (kg)</t>
  </si>
  <si>
    <t xml:space="preserve">Press  </t>
  </si>
  <si>
    <t>kanban(N)</t>
  </si>
  <si>
    <t>(N-1)</t>
  </si>
  <si>
    <t>Diff</t>
  </si>
  <si>
    <t>(N)</t>
  </si>
  <si>
    <t>Coil</t>
  </si>
  <si>
    <t>Pcs/Day</t>
  </si>
  <si>
    <t>BOX/Day</t>
  </si>
  <si>
    <t>SHOT/Day</t>
  </si>
  <si>
    <t>Coil/D</t>
  </si>
  <si>
    <t>m3/D</t>
  </si>
  <si>
    <t>1 coil</t>
  </si>
  <si>
    <t>Safty</t>
  </si>
  <si>
    <t>Shikake</t>
  </si>
  <si>
    <t>total</t>
  </si>
  <si>
    <t xml:space="preserve">Safty </t>
  </si>
  <si>
    <t>Std.</t>
  </si>
  <si>
    <t>L</t>
  </si>
  <si>
    <t>H</t>
  </si>
  <si>
    <t>Box</t>
  </si>
  <si>
    <t>volume</t>
  </si>
  <si>
    <t>(h)</t>
  </si>
  <si>
    <t>Kanban</t>
  </si>
  <si>
    <t>0.25day</t>
  </si>
  <si>
    <t>(KANBAN)</t>
  </si>
  <si>
    <t>Code</t>
  </si>
  <si>
    <t>(mm)</t>
  </si>
  <si>
    <t>(m3)</t>
  </si>
  <si>
    <t>(kg)</t>
  </si>
  <si>
    <t>01-3AP1-01</t>
  </si>
  <si>
    <t>IMV</t>
  </si>
  <si>
    <t>-</t>
  </si>
  <si>
    <t>SPH440-OD</t>
  </si>
  <si>
    <t>01-3AP1-02</t>
  </si>
  <si>
    <t>01-3AP1-03</t>
  </si>
  <si>
    <t>Lever Change</t>
  </si>
  <si>
    <t>แบ่งcoil</t>
  </si>
  <si>
    <t>PRESS NO.1</t>
  </si>
  <si>
    <t>PRESS NO.</t>
  </si>
  <si>
    <t>01-3IPF-69</t>
  </si>
  <si>
    <t>NEXT IMV</t>
  </si>
  <si>
    <t>FRAME RR SEAT BACK SIDE RH (640A)</t>
  </si>
  <si>
    <t>01-3AP1-05</t>
  </si>
  <si>
    <t>Manual Plan</t>
  </si>
  <si>
    <t>01-3AP1-04</t>
  </si>
  <si>
    <t>01-3IPF-70</t>
  </si>
  <si>
    <t>FRAME RR SEAT BACK SIDE LH (640A)</t>
  </si>
  <si>
    <t>01-3AP1-06</t>
  </si>
  <si>
    <t>01-3AP1-12</t>
  </si>
  <si>
    <t>Set</t>
  </si>
  <si>
    <t>ปั้มครึ่ง Re Coil</t>
  </si>
  <si>
    <t>SPH590-OD</t>
  </si>
  <si>
    <t>01-3AP1-13</t>
  </si>
  <si>
    <t>01-3AP1-14</t>
  </si>
  <si>
    <t>01-3AP1-15</t>
  </si>
  <si>
    <t>01-3AP1-16</t>
  </si>
  <si>
    <t>01-3AP1-17</t>
  </si>
  <si>
    <t>01-3AP1-18</t>
  </si>
  <si>
    <t>01-3AP1-20</t>
  </si>
  <si>
    <t>TTC001</t>
  </si>
  <si>
    <t>SPC270-C</t>
  </si>
  <si>
    <t>Pig</t>
  </si>
  <si>
    <t>01-3AP1-21</t>
  </si>
  <si>
    <t>01-3AP1-22</t>
  </si>
  <si>
    <t>SPC440-OD</t>
  </si>
  <si>
    <t>PRESS NO.3</t>
  </si>
  <si>
    <t>01-3BP1-01</t>
  </si>
  <si>
    <t>01-3BP1-03</t>
  </si>
  <si>
    <t>01-3BP1-02</t>
  </si>
  <si>
    <t>01-3BP1-04</t>
  </si>
  <si>
    <t>01-3CP1-01</t>
  </si>
  <si>
    <t>01-3CP1-02</t>
  </si>
  <si>
    <t>01-3CP1-03</t>
  </si>
  <si>
    <t>01-3CP1-04</t>
  </si>
  <si>
    <t>01-3CP1-05</t>
  </si>
  <si>
    <t>01-3CP1-06</t>
  </si>
  <si>
    <t>01-3CP2-01</t>
  </si>
  <si>
    <t>01-3CP2-02</t>
  </si>
  <si>
    <t>Old</t>
  </si>
  <si>
    <t>TTC013</t>
  </si>
  <si>
    <t>01-3CP2-04</t>
  </si>
  <si>
    <t>10-2</t>
  </si>
  <si>
    <t>01-3MIZ-02</t>
  </si>
  <si>
    <t>BRACKET FR OUTER SEAT TRACK LWR FR</t>
  </si>
  <si>
    <t>SPH270-OD</t>
  </si>
  <si>
    <t>01-3MIZ-03</t>
  </si>
  <si>
    <t>PRESS NO.2</t>
  </si>
  <si>
    <t>01-3MIZ-04</t>
  </si>
  <si>
    <t>MIZ-12</t>
  </si>
  <si>
    <t>TTC060</t>
  </si>
  <si>
    <t>01-3GP2-01</t>
  </si>
  <si>
    <t>SK4G</t>
  </si>
  <si>
    <t>01-3GP2-02</t>
  </si>
  <si>
    <t>01-3DP2-05</t>
  </si>
  <si>
    <t>BRACKET FR MNL SEAT TRACK FRAME SET NO3</t>
  </si>
  <si>
    <t>01-3DP2-06</t>
  </si>
  <si>
    <t>BRACKET FR MNL SEAT TRACK FRAME SET NO4</t>
  </si>
  <si>
    <t>01-3FP2-01</t>
  </si>
  <si>
    <t>01-3FP2-02</t>
  </si>
  <si>
    <t>01-3DP2-02</t>
  </si>
  <si>
    <t>RAIL FR OUTER SEAT TRACK UPR PWR</t>
  </si>
  <si>
    <t>SPC590</t>
  </si>
  <si>
    <t/>
  </si>
  <si>
    <t>01-3DP2-04</t>
  </si>
  <si>
    <t>01-3EP2-02</t>
  </si>
  <si>
    <t>01-3EP2-04</t>
  </si>
  <si>
    <t>01-3FP2-25</t>
  </si>
  <si>
    <t>PLATE RECLINING ADJUSTER LWR ARM RH (PWR)</t>
  </si>
  <si>
    <t>01-3FP2-26</t>
  </si>
  <si>
    <t>PLATE RECLINING ADJUSTER LWR ARM LH (PWR)</t>
  </si>
  <si>
    <t>01-3DP5-01</t>
  </si>
  <si>
    <t>Move Die Change</t>
  </si>
  <si>
    <t>RAIL,　SEAT　TRACK,　LWR (669)</t>
  </si>
  <si>
    <t>CAP-01i</t>
  </si>
  <si>
    <t>TBK4</t>
  </si>
  <si>
    <t>SPC440</t>
  </si>
  <si>
    <t>CAP-02i</t>
  </si>
  <si>
    <t>01-3CAP-03</t>
  </si>
  <si>
    <t>Runout  Nov'21</t>
  </si>
  <si>
    <t>01-3CAP-04</t>
  </si>
  <si>
    <t>01-3CAP-05</t>
  </si>
  <si>
    <t>01-3CAP-06</t>
  </si>
  <si>
    <t>01-3CAP-07</t>
  </si>
  <si>
    <t>ARM, RECLINING ADJUSTER, LWR RH (P8)</t>
  </si>
  <si>
    <t>01-3CAP-08</t>
  </si>
  <si>
    <t>ARM, RECLINING ADJUSTER, LWR LH (P8)</t>
  </si>
  <si>
    <t>01-3CFP-09</t>
  </si>
  <si>
    <t>01-3CFP-10</t>
  </si>
  <si>
    <t>01-3CFP-11</t>
  </si>
  <si>
    <t>01-3CFP-12</t>
  </si>
  <si>
    <t>01-3CFP-13</t>
  </si>
  <si>
    <t>TTC044</t>
  </si>
  <si>
    <t>01-3CTP-14</t>
  </si>
  <si>
    <t>BRACKET FR OUTER SEAT TRACK LWR FR LH (AU)</t>
  </si>
  <si>
    <t>01-3CTP-15</t>
  </si>
  <si>
    <t>BRACKET FR OUTER SEAT TRACK LWR FR RH (AU)</t>
  </si>
  <si>
    <t>01-3CTP-16</t>
  </si>
  <si>
    <t>BRACKET FR OUTER SEAT TRACK LWR FR LH (TW)</t>
  </si>
  <si>
    <t>01-3CTP-17</t>
  </si>
  <si>
    <t>BRACKET FR OUTER SEAT TRACK LWR FR RH (TW)</t>
  </si>
  <si>
    <t>01-3CTP-18</t>
  </si>
  <si>
    <t>BRACKET FR INNER SEAT TRACK LWR FR LH (AU)</t>
  </si>
  <si>
    <t>01-3CTP-19</t>
  </si>
  <si>
    <t>BRACKET FR INNER SEAT TRACK LWR FR RH (AU)</t>
  </si>
  <si>
    <t>01-3CTP-20</t>
  </si>
  <si>
    <t>BRACKET FR INNER SEAT TRACK LWR FR LH (TW)</t>
  </si>
  <si>
    <t>01-3CTP-21</t>
  </si>
  <si>
    <t>BRACKET FR INNER SEAT TRACK LWR FR RH (TW)</t>
  </si>
  <si>
    <t>01-3CTP-22</t>
  </si>
  <si>
    <t>01-3CTP-25</t>
  </si>
  <si>
    <t>01-3CTP-23</t>
  </si>
  <si>
    <t>01-3CTP-24</t>
  </si>
  <si>
    <t>LWR RAIL, FR SEAT TRACK, OUTER (MNL)</t>
  </si>
  <si>
    <t>SPC980-DU</t>
  </si>
  <si>
    <t>01-3CTP-26</t>
  </si>
  <si>
    <t>LWR RAIL, FR SEAT TRACK, OUTER (PWR)</t>
  </si>
  <si>
    <t>01-3CTP-27</t>
  </si>
  <si>
    <t>70-2</t>
  </si>
  <si>
    <t>LWR RAIL, FR SEAT TRACK, INNER (MNL)</t>
  </si>
  <si>
    <t>01-3CTP-29</t>
  </si>
  <si>
    <t>LWR RAIL, FR SEAT TRACK, INNER (PWR)</t>
  </si>
  <si>
    <t>01-3CTP-28</t>
  </si>
  <si>
    <t>SEAT TRACK, UPR RAIL MNL OUTER/INNER ( L )</t>
  </si>
  <si>
    <t>01-3CTP-31</t>
  </si>
  <si>
    <t>SEAT TRACK, UPR RAIL MNL OUTER/INNER ( R )</t>
  </si>
  <si>
    <t>01-3CTP-30</t>
  </si>
  <si>
    <t>SEAT TRACK, UPR RAIL MNL OUTER/INNER ( PWR )</t>
  </si>
  <si>
    <t>01-3CTP-32</t>
  </si>
  <si>
    <t>BRACKET Fr OUT SETA TRACK UPR RAIL LH  (P8)</t>
  </si>
  <si>
    <t>01-3CTP-33</t>
  </si>
  <si>
    <t>BRACKET Fr OUT SETA TRACK UPR RAIL RH  (M6)</t>
  </si>
  <si>
    <t>01-3CTP-34</t>
  </si>
  <si>
    <t>BRACKET Fr OUT SETA TRACK UPR RAIL LH  (M6)</t>
  </si>
  <si>
    <t>01-3CTP-35</t>
  </si>
  <si>
    <t>BRACKET Fr OUT SETA TRACK UPR RAIL RH  (P8)</t>
  </si>
  <si>
    <t>01-3CTP-36</t>
  </si>
  <si>
    <t>BRACKET SEAT BELT INNER ANCHOR No.1LH (M6P8)</t>
  </si>
  <si>
    <t>01-3CTP-37</t>
  </si>
  <si>
    <t>BRACKET SEAT BELT INNER ANCHOR No.1RH (M6P8)</t>
  </si>
  <si>
    <t>01-3CFS-38</t>
  </si>
  <si>
    <t>PLATE,FR SEAT BACK SPRING SET</t>
  </si>
  <si>
    <t>01-3CFS-39</t>
  </si>
  <si>
    <t>ปั้มแบ่ง Coil</t>
  </si>
  <si>
    <t>01-3CFS-40</t>
  </si>
  <si>
    <t>FRAME FR SEAT CUSHION</t>
  </si>
  <si>
    <t>01-3EFS-17</t>
  </si>
  <si>
    <t>01-3CFS-58</t>
  </si>
  <si>
    <t>01-3ETP-19</t>
  </si>
  <si>
    <t>01-3CFS-59</t>
  </si>
  <si>
    <t>01-3EAP-01</t>
  </si>
  <si>
    <t>ปั้มแบ่งcoil</t>
  </si>
  <si>
    <t>SPC-590(TSG3100G)</t>
  </si>
  <si>
    <t>01-3EAP-02</t>
  </si>
  <si>
    <t xml:space="preserve"> - </t>
  </si>
  <si>
    <t>01-3EFS-15</t>
  </si>
  <si>
    <t>01-3EFS-16</t>
  </si>
  <si>
    <t>01-3ETP-03</t>
  </si>
  <si>
    <t>TTC064</t>
  </si>
  <si>
    <t>SPH440-OD(TSG3101G)</t>
  </si>
  <si>
    <t>01-3ETP-04</t>
  </si>
  <si>
    <t>ปั้มแบ่งCoil</t>
  </si>
  <si>
    <t>SPC980-DU(TSG3100G)</t>
  </si>
  <si>
    <t>01-3ETP-05</t>
  </si>
  <si>
    <t>01-3ETP-06</t>
  </si>
  <si>
    <t>01-3ETP-07</t>
  </si>
  <si>
    <t>01-3ETP-08</t>
  </si>
  <si>
    <t>01-3ETP-09</t>
  </si>
  <si>
    <t>01-3ETP-10</t>
  </si>
  <si>
    <t>01-3OFS-24</t>
  </si>
  <si>
    <t>Run Out end of Jul'19</t>
  </si>
  <si>
    <t>01-3OTP-01</t>
  </si>
  <si>
    <t>BRACKET, FR INN SEAT TRACK, LWR FR RH</t>
  </si>
  <si>
    <t>01-3OTP-02</t>
  </si>
  <si>
    <t>BRACKET, FR INN SEAT TRACK, LWR FR LH</t>
  </si>
  <si>
    <t>01-3OTP-03</t>
  </si>
  <si>
    <t>01-3OTP-04</t>
  </si>
  <si>
    <t>01-3OTP-05</t>
  </si>
  <si>
    <t>01-3OTP-06</t>
  </si>
  <si>
    <t>01-3OTP-07</t>
  </si>
  <si>
    <t>Move Die</t>
  </si>
  <si>
    <t>01-3OTP-08</t>
  </si>
  <si>
    <t>01-3OTP-09</t>
  </si>
  <si>
    <t>01-3CTR-68</t>
  </si>
  <si>
    <t>72886-X7M00</t>
  </si>
  <si>
    <t>BRACKET, RR SEAT CTR ARMREST</t>
  </si>
  <si>
    <t>01-3IPT-93</t>
  </si>
  <si>
    <t>NEXT IMV (640A)</t>
  </si>
  <si>
    <t>01-3IPT-92</t>
  </si>
  <si>
    <t>01-3IPA-82</t>
  </si>
  <si>
    <t>ARM, RECLINING ADJUSTER LWR RH</t>
  </si>
  <si>
    <t>01-3IPA-81</t>
  </si>
  <si>
    <t>ARM, RECLINING ADJUSTER LWR LH</t>
  </si>
  <si>
    <t>01-3IPT-85</t>
  </si>
  <si>
    <t>01-3IPT-86</t>
  </si>
  <si>
    <t>01-3IPT-87</t>
  </si>
  <si>
    <t>01-3IPT-91</t>
  </si>
  <si>
    <t>01-3IPT-90</t>
  </si>
  <si>
    <t>01-3IPF-75</t>
  </si>
  <si>
    <t>91M3B02361</t>
  </si>
  <si>
    <t>01-3IPF-78</t>
  </si>
  <si>
    <t>ARM, RR SEAT RECLINING LWR RH</t>
  </si>
  <si>
    <t>01-3IPF-77</t>
  </si>
  <si>
    <t>01-3IPF-76</t>
  </si>
  <si>
    <t>01-3IPF-79</t>
  </si>
  <si>
    <t>01-3IPF-80</t>
  </si>
  <si>
    <t>01-3CAP-02</t>
  </si>
  <si>
    <t>FRAME FR SEAT CUSHION FR OUTER RH  (CAMRY)</t>
  </si>
  <si>
    <t>01-3IPA-84</t>
  </si>
  <si>
    <t>FRAME FR SEAT CUSHION FR INNER RH  (640A)</t>
  </si>
  <si>
    <t>01-3CAP-01</t>
  </si>
  <si>
    <t>FRAME FR SEAT CUSHION FR OUTER LH  (CAMRY)</t>
  </si>
  <si>
    <t>01-3IPA-83</t>
  </si>
  <si>
    <t>FRAME FR SEAT CUSHION FR INNER LH  (640A)</t>
  </si>
  <si>
    <t>01-3IPF-73</t>
  </si>
  <si>
    <t>PLATE RECLINING RELEASE ARM RH</t>
  </si>
  <si>
    <t>01-3IPF-74</t>
  </si>
  <si>
    <t>PLATE RECLINING RELEASE ARM LH</t>
  </si>
  <si>
    <t>01-3IPF-72</t>
  </si>
  <si>
    <t>PLATE RECLINING ADJUSTER LWR ARM RH (MNL)</t>
  </si>
  <si>
    <t>01-3IPF-71</t>
  </si>
  <si>
    <t>PLATE RECLINING ADJUSTER LWR ARM LH (MNL)</t>
  </si>
  <si>
    <t>01-3IPF-67</t>
  </si>
  <si>
    <t>01-3IPF-68</t>
  </si>
  <si>
    <t>01-3IPF-61</t>
  </si>
  <si>
    <t>PANEL FR SEAT BACK FRAME UPR</t>
  </si>
  <si>
    <t>01-3IPF-66</t>
  </si>
  <si>
    <t>FRAME FR SEAT BACK RH (Jisedai)</t>
  </si>
  <si>
    <t>Jisedai</t>
  </si>
  <si>
    <t>01-3IPF-65</t>
  </si>
  <si>
    <t>FRAME FR SEAT BACK LH (Jisedai)</t>
  </si>
  <si>
    <t>01-3IPF-60</t>
  </si>
  <si>
    <t xml:space="preserve">Move Die </t>
  </si>
  <si>
    <t>BRACKET FR SEAT BACK LWR</t>
  </si>
  <si>
    <t>01-3TPF-13</t>
  </si>
  <si>
    <t>TNGA 492B, 014B, 350B</t>
  </si>
  <si>
    <t>T115</t>
  </si>
  <si>
    <t>01-3TPF-15</t>
  </si>
  <si>
    <t>01-3TPF-14</t>
  </si>
  <si>
    <t>T116</t>
  </si>
  <si>
    <t>01-3TPF-16</t>
  </si>
  <si>
    <t>01-3TPF-17</t>
  </si>
  <si>
    <t>T120</t>
  </si>
  <si>
    <t>SPH440</t>
  </si>
  <si>
    <t>01-3TPF-18</t>
  </si>
  <si>
    <t>T121</t>
  </si>
  <si>
    <t>01-3TPF-19</t>
  </si>
  <si>
    <t>T119</t>
  </si>
  <si>
    <t>01-3TPF-20</t>
  </si>
  <si>
    <t>01-3TPC-21</t>
  </si>
  <si>
    <t>T122</t>
  </si>
  <si>
    <t>01-3TPA-01</t>
  </si>
  <si>
    <t>T123</t>
  </si>
  <si>
    <t>01-3TPA-02</t>
  </si>
  <si>
    <t>T124</t>
  </si>
  <si>
    <t>01-3TPA-03</t>
  </si>
  <si>
    <t>T125</t>
  </si>
  <si>
    <t>01-3TPA-04</t>
  </si>
  <si>
    <t>T127</t>
  </si>
  <si>
    <t>01-3TPA-05</t>
  </si>
  <si>
    <t>T128</t>
  </si>
  <si>
    <t>01-3TPA-06</t>
  </si>
  <si>
    <t>T129</t>
  </si>
  <si>
    <t>01-3TPA-07</t>
  </si>
  <si>
    <t>T130</t>
  </si>
  <si>
    <t>01-3TPT-08</t>
  </si>
  <si>
    <t>T131</t>
  </si>
  <si>
    <t>RAIL, SEAT TRACK, UPR (MNL)</t>
  </si>
  <si>
    <t>01-3TPT-09</t>
  </si>
  <si>
    <t>T132</t>
  </si>
  <si>
    <t>RAIL, SEAT TRACK, UPR (PWR)</t>
  </si>
  <si>
    <t>01-3TPT-10</t>
  </si>
  <si>
    <t>T133</t>
  </si>
  <si>
    <t>RAIL, SEAT TRACK, LWR (MNL)</t>
  </si>
  <si>
    <t>01-3TPT-11</t>
  </si>
  <si>
    <t>RAIL, SEAT TRACK, LWR (PWR)</t>
  </si>
  <si>
    <t>01-3TPT-12</t>
  </si>
  <si>
    <t>T134</t>
  </si>
  <si>
    <t>01-3HPF-31</t>
  </si>
  <si>
    <t>T135</t>
  </si>
  <si>
    <t>01-3HPF-30</t>
  </si>
  <si>
    <t>T136</t>
  </si>
  <si>
    <t>01-3HPF-29</t>
  </si>
  <si>
    <t>T137</t>
  </si>
  <si>
    <t>01-3HPF-32</t>
  </si>
  <si>
    <t>T138</t>
  </si>
  <si>
    <t>01-3IPA-86</t>
  </si>
  <si>
    <t>T139</t>
  </si>
  <si>
    <t>ARM, RECLINING ADJUSTER, LWR  RH</t>
  </si>
  <si>
    <t>01-3IPA-85</t>
  </si>
  <si>
    <t>T140</t>
  </si>
  <si>
    <t>01-3IPT-94</t>
  </si>
  <si>
    <t>T069</t>
  </si>
  <si>
    <t>RAIL SEAT TRACK UPR PWR</t>
  </si>
  <si>
    <t>01-3EPC-46</t>
  </si>
  <si>
    <t>T141</t>
  </si>
  <si>
    <t>01-3EPA-50</t>
  </si>
  <si>
    <t>T142</t>
  </si>
  <si>
    <t>01-3EPA-49</t>
  </si>
  <si>
    <t>T143</t>
  </si>
  <si>
    <t>01-3EPA-48</t>
  </si>
  <si>
    <t>T144</t>
  </si>
  <si>
    <t>01-3EPA-47</t>
  </si>
  <si>
    <t>T145</t>
  </si>
  <si>
    <t>01-3EPF-45</t>
  </si>
  <si>
    <t>T146</t>
  </si>
  <si>
    <t>01-3EPF-44</t>
  </si>
  <si>
    <t>T147</t>
  </si>
  <si>
    <t>JSC980YL</t>
  </si>
  <si>
    <t>01-3EPF-43</t>
  </si>
  <si>
    <t>T148</t>
  </si>
  <si>
    <t>01-3EPT-51</t>
  </si>
  <si>
    <t>T149</t>
  </si>
  <si>
    <t>RAIL, SEAT TRACK, LWR　M6, M4</t>
  </si>
  <si>
    <t>SPC980DU-T</t>
  </si>
  <si>
    <t>01-3HPF-33</t>
  </si>
  <si>
    <t>01-3HPF-34</t>
  </si>
  <si>
    <t>01-3HPA-35</t>
  </si>
  <si>
    <t>01-3HPA-36</t>
  </si>
  <si>
    <t>150T</t>
  </si>
  <si>
    <t>แพลนคู่แบ่งcoil</t>
  </si>
  <si>
    <t>01-3IPA-01</t>
  </si>
  <si>
    <t>T155</t>
  </si>
  <si>
    <t>PLATE, RECLINING ADJUSTER 
LWR ARM, RH</t>
  </si>
  <si>
    <t>01-3IPA-02</t>
  </si>
  <si>
    <t>PLATE, RECLINING ADJUSTER 
LWR ARM, LH</t>
  </si>
  <si>
    <t>01-3IPT-03</t>
  </si>
  <si>
    <t>T152</t>
  </si>
  <si>
    <t>BRACKET, FR OUTER SEAT 
TRACK, LWR FR RH</t>
  </si>
  <si>
    <t>01-3IPT-04</t>
  </si>
  <si>
    <t>T151</t>
  </si>
  <si>
    <t>BRACKET, FR INNER SEAT 
TRACK, LWR FR RH</t>
  </si>
  <si>
    <t>01-3IPT-05</t>
  </si>
  <si>
    <t>BRACKET, FR INNER SEAT
 TRACK, LWR FR LH</t>
  </si>
  <si>
    <t>01-3IPT-08</t>
  </si>
  <si>
    <t>T154</t>
  </si>
  <si>
    <t>01-3IPT-06</t>
  </si>
  <si>
    <t>T153</t>
  </si>
  <si>
    <t>BRACKET, FR INNER SEAT
 TRACK, LWR RR</t>
  </si>
  <si>
    <t>01-3IPT-07</t>
  </si>
  <si>
    <t>BRACKET, FR OUTER SEAT 
TRACK, LWR RR RH</t>
  </si>
  <si>
    <t>01-3IPF-99</t>
  </si>
  <si>
    <t>T150</t>
  </si>
  <si>
    <t>01-3DPF-71</t>
  </si>
  <si>
    <t>D92A</t>
  </si>
  <si>
    <t>T156</t>
  </si>
  <si>
    <t>PANEL , FR SEAT TRACK,UPR</t>
  </si>
  <si>
    <t>01-3DPA-02</t>
  </si>
  <si>
    <t>T157</t>
  </si>
  <si>
    <t xml:space="preserve"> ปั้มแบ่ง Coil</t>
  </si>
  <si>
    <t>01-3DPA-01</t>
  </si>
  <si>
    <t>T158</t>
  </si>
  <si>
    <t>01-3DPT-06</t>
  </si>
  <si>
    <t>T159</t>
  </si>
  <si>
    <t>01-3DPT-07</t>
  </si>
  <si>
    <t>T160</t>
  </si>
  <si>
    <t>01-3DPT-05</t>
  </si>
  <si>
    <t>T161</t>
  </si>
  <si>
    <t>01-3DPT-08</t>
  </si>
  <si>
    <t>T162</t>
  </si>
  <si>
    <t>01-3DPF-70</t>
  </si>
  <si>
    <t>T163</t>
  </si>
  <si>
    <t>01-3DPA-04</t>
  </si>
  <si>
    <t>01-3DPA-03</t>
  </si>
  <si>
    <t>01-3DPF-68</t>
  </si>
  <si>
    <t>T362</t>
  </si>
  <si>
    <t>01-3DPF-69</t>
  </si>
  <si>
    <t>01-3DPT-10</t>
  </si>
  <si>
    <t>01-3DPT-09</t>
  </si>
  <si>
    <t>Total</t>
  </si>
  <si>
    <t>600T</t>
  </si>
  <si>
    <t>RR 600T</t>
  </si>
  <si>
    <t xml:space="preserve">RING PLATE </t>
  </si>
  <si>
    <t xml:space="preserve">SPH270C-OD </t>
  </si>
  <si>
    <t>T003</t>
  </si>
  <si>
    <t>T002</t>
  </si>
  <si>
    <t>S28C-B-A</t>
  </si>
  <si>
    <t>T021R</t>
  </si>
  <si>
    <t>PAWL, RECLINING ADJUSTER, RH (PAWL)</t>
  </si>
  <si>
    <t>T021L</t>
  </si>
  <si>
    <t>PAWL, RECLINING ADJUSTER, LH (PAWL)</t>
  </si>
  <si>
    <t>T012</t>
  </si>
  <si>
    <t>CAM, RECLINING PAWL LOCK (SLIDE CAM)</t>
  </si>
  <si>
    <t>TTAST</t>
  </si>
  <si>
    <t>LT8-81</t>
  </si>
  <si>
    <t>LT8-82</t>
  </si>
  <si>
    <t>LT8-83</t>
  </si>
  <si>
    <t>LT8-84</t>
  </si>
  <si>
    <t xml:space="preserve"> 1 </t>
  </si>
  <si>
    <t xml:space="preserve"> 2 </t>
  </si>
  <si>
    <t xml:space="preserve"> RAIL, SEAT TRACK, LWR </t>
  </si>
  <si>
    <t xml:space="preserve"> BOLT, WELD </t>
  </si>
  <si>
    <t xml:space="preserve"> BALL </t>
  </si>
  <si>
    <t xml:space="preserve"> 4 </t>
  </si>
  <si>
    <t xml:space="preserve"> RAIL, SEAT TRACK, UPR </t>
  </si>
  <si>
    <t xml:space="preserve"> PIN, FR SEAT LOCATION </t>
  </si>
  <si>
    <t xml:space="preserve"> PIN, VERTICAL ADJUSTER, NO.1 </t>
  </si>
  <si>
    <t>72104-X7V29</t>
  </si>
  <si>
    <t>72015-X7V04</t>
  </si>
  <si>
    <t>72016-X7V02</t>
  </si>
  <si>
    <t>71305-X7V41</t>
  </si>
  <si>
    <t>73011-X7V27</t>
  </si>
  <si>
    <t xml:space="preserve"> RAIL SUB-ASSY, FR INN SEAT TRACK, LWR RH </t>
  </si>
  <si>
    <t xml:space="preserve"> BRACKET SUB-ASSY, INN SEAT TRACK, LWR FR </t>
  </si>
  <si>
    <t xml:space="preserve"> BRACKET, FR INNER SEAT TRACK, LWR FR LH </t>
  </si>
  <si>
    <t xml:space="preserve"> BRACKET SUB-ASSY, INN SEAT TRACK, LWR RR </t>
  </si>
  <si>
    <t xml:space="preserve"> BRACKET, FR SEAT TRACK, RR INNER </t>
  </si>
  <si>
    <t xml:space="preserve"> BRACKET, FR INNER SEAT TRACK, LWR RR </t>
  </si>
  <si>
    <t xml:space="preserve"> PIN, SEAT TRACK </t>
  </si>
  <si>
    <t xml:space="preserve"> RAIL SUB-ASSY, FR SEAT TRACK, UPR </t>
  </si>
  <si>
    <t xml:space="preserve"> BRACKET SUB-ASSY, FR SEAT, RH </t>
  </si>
  <si>
    <t xml:space="preserve"> BRACKET, FR OUT SEAT TRACK UPR RAIL, RH </t>
  </si>
  <si>
    <t xml:space="preserve"> BUSH, VERTICAL ADJUSTER </t>
  </si>
  <si>
    <t xml:space="preserve"> BRACKET SUB-ASSY, BELT INNER ANCHOR, RH </t>
  </si>
  <si>
    <t xml:space="preserve"> BRACKET, SEAT BELT INNER ANCHOR, NO.1 RH </t>
  </si>
  <si>
    <t xml:space="preserve"> PLATE, INNER SEAT TRACK LOCK </t>
  </si>
  <si>
    <t xml:space="preserve"> COVER, SEAT TRACK, UPR RR </t>
  </si>
  <si>
    <t xml:space="preserve"> BRACKET, SEAT TRACK HANDLE SUPPORT </t>
  </si>
  <si>
    <t xml:space="preserve"> COVER, SEAT TRACK UPR RAIL, FR </t>
  </si>
  <si>
    <t xml:space="preserve"> GUIDE, SEAT TRACK ROLLER, UPR </t>
  </si>
  <si>
    <t xml:space="preserve"> GUIDE, SEAT TRACK ROLLER, LWR </t>
  </si>
  <si>
    <t xml:space="preserve"> BAR, FR SEAT ADJUSTER TORSION </t>
  </si>
  <si>
    <t xml:space="preserve"> SPRING, PLATE </t>
  </si>
  <si>
    <t xml:space="preserve"> 8 </t>
  </si>
  <si>
    <t>THAI KANSAI PAINT</t>
  </si>
  <si>
    <t>THAI PARKERIZIING</t>
  </si>
  <si>
    <t>1000T</t>
  </si>
  <si>
    <t>P01-2</t>
  </si>
  <si>
    <t>R4</t>
  </si>
  <si>
    <t>Component</t>
  </si>
  <si>
    <t>R1</t>
  </si>
  <si>
    <t>P01-3</t>
  </si>
  <si>
    <t>Inhouse(S)</t>
  </si>
  <si>
    <t>Vehicle Type</t>
  </si>
  <si>
    <t>Parent Parts No.</t>
  </si>
  <si>
    <t>Parent Parts Name</t>
  </si>
  <si>
    <t>Child Parts No.</t>
  </si>
  <si>
    <t>Child Parts Name</t>
  </si>
  <si>
    <t>Receiving Place</t>
  </si>
  <si>
    <t>Required Qty</t>
  </si>
  <si>
    <t>Start Date</t>
  </si>
  <si>
    <t>End Date</t>
  </si>
  <si>
    <t>Calculation Class</t>
  </si>
  <si>
    <t>CreationDay</t>
  </si>
  <si>
    <t>Update</t>
  </si>
  <si>
    <t>ITA-I</t>
  </si>
  <si>
    <t>ZZ</t>
  </si>
  <si>
    <t>71305-X7V41-S</t>
  </si>
  <si>
    <t>BRACKET SUB-ASSY, FR SEAT, RH</t>
  </si>
  <si>
    <t>ZZZ</t>
  </si>
  <si>
    <t>72015-X7V04-S</t>
  </si>
  <si>
    <t>72016-X7V02-S</t>
  </si>
  <si>
    <t>BRACKET SUB-ASSY, INN SEAT TRACK, LWR RR</t>
  </si>
  <si>
    <t>72104-X7V29-S</t>
  </si>
  <si>
    <t>72104-X7V29-T</t>
  </si>
  <si>
    <t>T02</t>
  </si>
  <si>
    <t>72111-X7V08-P</t>
  </si>
  <si>
    <t>72115-X7V40-P</t>
  </si>
  <si>
    <t>PLATE, INNER SEAT TRACK LOCK</t>
  </si>
  <si>
    <t>72146-X7V00-P</t>
  </si>
  <si>
    <t>P01-1</t>
  </si>
  <si>
    <t>72147-X7V10-P</t>
  </si>
  <si>
    <t>72155-X7V03-P</t>
  </si>
  <si>
    <t>TG</t>
  </si>
  <si>
    <t>73011-X7V27-S</t>
  </si>
  <si>
    <t>Kiswel-KR KC-28 1.2MM (300Kg P/Pack)</t>
  </si>
  <si>
    <t>Weilding Wire YM-28 1.2 mm. x pail pack(300kg)</t>
  </si>
  <si>
    <t>SPC980DU-T  T1.4 X 467 (P=122)</t>
  </si>
  <si>
    <t>SPH440-OD-T 2.6 X 321 (P=98/2)</t>
  </si>
  <si>
    <t>SPH440-OD-T 2.9 X 333 (P=100/2)</t>
  </si>
  <si>
    <t>SPH590 t=1.6 w=237 p=78 /2</t>
  </si>
  <si>
    <t>Inhouse(T)</t>
  </si>
  <si>
    <t>NOSD</t>
  </si>
  <si>
    <t>SOND</t>
  </si>
  <si>
    <t xml:space="preserve"> 1 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</si>
</sst>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[$-809]d\ mmmm\ yyyy;@"/>
    <numFmt numFmtId="166" formatCode="mmm\'yy"/>
    <numFmt numFmtId="167" formatCode="0.000"/>
    <numFmt numFmtId="168" formatCode="[$-409]mmm\-yy;@"/>
    <numFmt numFmtId="169" formatCode="?.0&quot;day&quot;"/>
    <numFmt numFmtId="170" formatCode="?&quot;day&quot;"/>
    <numFmt numFmtId="171" formatCode="0.0_ "/>
    <numFmt numFmtId="172" formatCode="?.00&quot;m3&quot;"/>
    <numFmt numFmtId="173" formatCode="?&quot;h&quot;"/>
    <numFmt numFmtId="174" formatCode="0.0"/>
    <numFmt numFmtId="175" formatCode="0.00_ "/>
    <numFmt numFmtId="176" formatCode="0.0%"/>
    <numFmt numFmtId="177" formatCode="0.000_ "/>
    <numFmt numFmtId="178" formatCode="?&quot;pcs&quot;"/>
    <numFmt numFmtId="179" formatCode="?&quot;box&quot;"/>
    <numFmt numFmtId="180" formatCode="?&quot;shot&quot;"/>
  </numFmts>
  <fonts count="5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name val="ＭＳ Ｐゴシック"/>
      <family val="3"/>
      <charset val="128"/>
    </font>
    <font>
      <sz val="10"/>
      <color theme="0"/>
      <name val="Arial"/>
      <family val="2"/>
    </font>
    <font>
      <b/>
      <sz val="14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Arial Narrow"/>
      <family val="2"/>
    </font>
    <font>
      <sz val="11"/>
      <name val="ＭＳ Ｐゴシック"/>
      <family val="3"/>
      <charset val="128"/>
    </font>
    <font>
      <b/>
      <sz val="10"/>
      <name val="Arial Narrow"/>
      <family val="2"/>
    </font>
    <font>
      <sz val="9"/>
      <name val="Tahoma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9"/>
      <name val="Arial"/>
      <family val="2"/>
    </font>
    <font>
      <sz val="9"/>
      <color theme="0"/>
      <name val="Arial"/>
      <family val="2"/>
    </font>
    <font>
      <sz val="9"/>
      <color theme="1"/>
      <name val="Arial"/>
      <family val="2"/>
    </font>
    <font>
      <sz val="22"/>
      <color theme="0"/>
      <name val="Arial"/>
      <family val="2"/>
    </font>
    <font>
      <u/>
      <sz val="14"/>
      <color theme="1"/>
      <name val="Arial"/>
      <family val="2"/>
    </font>
    <font>
      <u/>
      <sz val="9"/>
      <color theme="1"/>
      <name val="Arial"/>
      <family val="2"/>
    </font>
    <font>
      <sz val="20"/>
      <color theme="0"/>
      <name val="Arial"/>
      <family val="2"/>
    </font>
    <font>
      <sz val="12"/>
      <color theme="1"/>
      <name val="Arial"/>
      <family val="2"/>
    </font>
    <font>
      <b/>
      <sz val="26"/>
      <color theme="1"/>
      <name val="Arial"/>
      <family val="2"/>
    </font>
    <font>
      <sz val="9"/>
      <color theme="1"/>
      <name val="ＭＳ Ｐゴシック"/>
      <family val="3"/>
      <charset val="128"/>
    </font>
    <font>
      <sz val="12"/>
      <color theme="1"/>
      <name val="Arai"/>
    </font>
    <font>
      <sz val="12"/>
      <color theme="1"/>
      <name val="Arai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sz val="12"/>
      <color theme="0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24"/>
      <color theme="1"/>
      <name val="Arial"/>
      <family val="2"/>
    </font>
    <font>
      <sz val="10"/>
      <color indexed="8"/>
      <name val="Arial"/>
      <family val="2"/>
    </font>
    <font>
      <sz val="12"/>
      <color rgb="FFFF0000"/>
      <name val="Arial"/>
      <family val="2"/>
    </font>
    <font>
      <sz val="9"/>
      <color rgb="FFFF0000"/>
      <name val="Arial"/>
      <family val="2"/>
    </font>
    <font>
      <sz val="11"/>
      <name val="Arial"/>
      <family val="2"/>
    </font>
    <font>
      <b/>
      <sz val="12"/>
      <color rgb="FFFF0000"/>
      <name val="Arial"/>
      <family val="2"/>
    </font>
    <font>
      <sz val="16"/>
      <color theme="0"/>
      <name val="Arial"/>
      <family val="2"/>
    </font>
    <font>
      <sz val="9"/>
      <color indexed="10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22"/>
      <color theme="1"/>
      <name val="Arial"/>
      <family val="2"/>
    </font>
    <font>
      <sz val="11"/>
      <color theme="1"/>
      <name val="Aptos Display"/>
      <family val="2"/>
      <scheme val="major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20"/>
      <color theme="1"/>
      <name val="Arial"/>
      <family val="2"/>
    </font>
    <font>
      <b/>
      <sz val="9"/>
      <color theme="1"/>
      <name val="Arial"/>
      <family val="2"/>
    </font>
    <font>
      <b/>
      <sz val="9"/>
      <color indexed="81"/>
      <name val="Tahoma"/>
      <family val="2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</fills>
  <borders count="2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/>
      <right style="medium">
        <color indexed="64"/>
      </right>
      <top style="thick">
        <color indexed="64"/>
      </top>
      <bottom style="dotted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double">
        <color indexed="64"/>
      </left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</borders>
  <cellStyleXfs count="15">
    <xf numFmtId="0" fontId="0" fillId="0" borderId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/>
    <xf numFmtId="0" fontId="9" fillId="0" borderId="0"/>
    <xf numFmtId="41" fontId="2" fillId="0" borderId="0" applyFont="0" applyFill="0" applyBorder="0" applyAlignment="0" applyProtection="0"/>
    <xf numFmtId="0" fontId="9" fillId="0" borderId="0"/>
    <xf numFmtId="0" fontId="13" fillId="0" borderId="0"/>
    <xf numFmtId="0" fontId="35" fillId="0" borderId="0">
      <alignment vertical="top"/>
    </xf>
    <xf numFmtId="0" fontId="35" fillId="0" borderId="0">
      <alignment vertical="top"/>
    </xf>
    <xf numFmtId="0" fontId="13" fillId="0" borderId="0"/>
    <xf numFmtId="0" fontId="13" fillId="0" borderId="0"/>
    <xf numFmtId="0" fontId="13" fillId="0" borderId="0"/>
    <xf numFmtId="38" fontId="13" fillId="0" borderId="0" applyFont="0" applyFill="0" applyBorder="0" applyAlignment="0" applyProtection="0">
      <alignment vertical="center"/>
    </xf>
  </cellStyleXfs>
  <cellXfs count="1593">
    <xf numFmtId="0" fontId="0" fillId="0" borderId="0" xfId="0"/>
    <xf numFmtId="0" fontId="0" fillId="0" borderId="1" xfId="0" applyBorder="1" applyAlignment="1">
      <alignment horizontal="centerContinuous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3" fillId="0" borderId="6" xfId="0" applyFont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quotePrefix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quotePrefix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12" xfId="0" quotePrefix="1" applyFont="1" applyFill="1" applyBorder="1" applyAlignment="1">
      <alignment horizontal="center"/>
    </xf>
    <xf numFmtId="0" fontId="0" fillId="0" borderId="0" xfId="0" applyAlignment="1">
      <alignment horizontal="center"/>
    </xf>
    <xf numFmtId="1" fontId="5" fillId="0" borderId="0" xfId="0" applyNumberFormat="1" applyFont="1" applyAlignment="1">
      <alignment vertical="center"/>
    </xf>
    <xf numFmtId="1" fontId="5" fillId="0" borderId="0" xfId="0" applyNumberFormat="1" applyFont="1" applyAlignment="1">
      <alignment horizontal="left" vertical="center"/>
    </xf>
    <xf numFmtId="164" fontId="6" fillId="4" borderId="13" xfId="1" applyNumberFormat="1" applyFont="1" applyFill="1" applyBorder="1" applyAlignment="1">
      <alignment horizontal="right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65" fontId="7" fillId="0" borderId="0" xfId="0" quotePrefix="1" applyNumberFormat="1" applyFont="1" applyAlignment="1">
      <alignment horizontal="center" vertical="center"/>
    </xf>
    <xf numFmtId="164" fontId="6" fillId="4" borderId="16" xfId="1" applyNumberFormat="1" applyFont="1" applyFill="1" applyBorder="1" applyAlignment="1">
      <alignment horizontal="right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64" fontId="6" fillId="4" borderId="19" xfId="1" applyNumberFormat="1" applyFont="1" applyFill="1" applyBorder="1" applyAlignment="1">
      <alignment horizontal="right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164" fontId="7" fillId="0" borderId="0" xfId="1" applyNumberFormat="1" applyFont="1" applyAlignment="1">
      <alignment vertical="center"/>
    </xf>
    <xf numFmtId="0" fontId="6" fillId="5" borderId="22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left" vertical="center" shrinkToFit="1"/>
    </xf>
    <xf numFmtId="0" fontId="10" fillId="5" borderId="23" xfId="2" applyFont="1" applyFill="1" applyBorder="1" applyAlignment="1">
      <alignment horizontal="center" vertical="center" shrinkToFit="1"/>
    </xf>
    <xf numFmtId="164" fontId="6" fillId="5" borderId="22" xfId="1" applyNumberFormat="1" applyFont="1" applyFill="1" applyBorder="1" applyAlignment="1">
      <alignment horizontal="center" vertical="center"/>
    </xf>
    <xf numFmtId="0" fontId="6" fillId="5" borderId="22" xfId="3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/>
    </xf>
    <xf numFmtId="0" fontId="8" fillId="0" borderId="25" xfId="0" applyFont="1" applyBorder="1" applyAlignment="1">
      <alignment vertical="center"/>
    </xf>
    <xf numFmtId="164" fontId="7" fillId="0" borderId="24" xfId="1" applyNumberFormat="1" applyFont="1" applyFill="1" applyBorder="1" applyAlignment="1">
      <alignment horizontal="center" vertical="center"/>
    </xf>
    <xf numFmtId="164" fontId="7" fillId="0" borderId="25" xfId="1" applyNumberFormat="1" applyFont="1" applyFill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left" vertical="center"/>
    </xf>
    <xf numFmtId="0" fontId="8" fillId="0" borderId="26" xfId="0" applyFont="1" applyBorder="1" applyAlignment="1">
      <alignment vertical="center"/>
    </xf>
    <xf numFmtId="164" fontId="7" fillId="0" borderId="27" xfId="1" applyNumberFormat="1" applyFont="1" applyFill="1" applyBorder="1" applyAlignment="1">
      <alignment horizontal="center" vertical="center"/>
    </xf>
    <xf numFmtId="164" fontId="7" fillId="0" borderId="26" xfId="1" applyNumberFormat="1" applyFont="1" applyFill="1" applyBorder="1" applyAlignment="1">
      <alignment vertical="center"/>
    </xf>
    <xf numFmtId="16" fontId="7" fillId="0" borderId="26" xfId="0" quotePrefix="1" applyNumberFormat="1" applyFont="1" applyBorder="1" applyAlignment="1">
      <alignment horizontal="center" vertical="center"/>
    </xf>
    <xf numFmtId="0" fontId="7" fillId="0" borderId="26" xfId="0" quotePrefix="1" applyFont="1" applyBorder="1" applyAlignment="1">
      <alignment horizontal="center" vertical="center"/>
    </xf>
    <xf numFmtId="0" fontId="11" fillId="0" borderId="26" xfId="0" applyFont="1" applyBorder="1" applyAlignment="1">
      <alignment horizontal="left" vertical="center"/>
    </xf>
    <xf numFmtId="0" fontId="11" fillId="0" borderId="26" xfId="0" applyFont="1" applyBorder="1" applyAlignment="1">
      <alignment vertical="center"/>
    </xf>
    <xf numFmtId="0" fontId="8" fillId="0" borderId="26" xfId="0" applyFont="1" applyBorder="1" applyAlignment="1">
      <alignment horizontal="left" vertical="center"/>
    </xf>
    <xf numFmtId="0" fontId="0" fillId="0" borderId="28" xfId="0" applyBorder="1"/>
    <xf numFmtId="0" fontId="7" fillId="2" borderId="26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left" vertical="center"/>
    </xf>
    <xf numFmtId="0" fontId="8" fillId="2" borderId="26" xfId="0" applyFont="1" applyFill="1" applyBorder="1" applyAlignment="1">
      <alignment vertical="center"/>
    </xf>
    <xf numFmtId="164" fontId="7" fillId="2" borderId="27" xfId="1" applyNumberFormat="1" applyFont="1" applyFill="1" applyBorder="1" applyAlignment="1">
      <alignment horizontal="center" vertical="center"/>
    </xf>
    <xf numFmtId="164" fontId="7" fillId="2" borderId="26" xfId="1" applyNumberFormat="1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12" fillId="0" borderId="29" xfId="4" applyFont="1" applyBorder="1" applyAlignment="1">
      <alignment horizontal="center" vertical="center"/>
    </xf>
    <xf numFmtId="0" fontId="12" fillId="0" borderId="30" xfId="4" applyFont="1" applyBorder="1" applyAlignment="1">
      <alignment horizontal="center" vertical="center"/>
    </xf>
    <xf numFmtId="0" fontId="12" fillId="0" borderId="31" xfId="4" applyFont="1" applyBorder="1" applyAlignment="1">
      <alignment horizontal="center" vertical="center"/>
    </xf>
    <xf numFmtId="0" fontId="12" fillId="0" borderId="32" xfId="4" applyFont="1" applyBorder="1" applyAlignment="1">
      <alignment horizontal="center" vertical="center"/>
    </xf>
    <xf numFmtId="166" fontId="12" fillId="0" borderId="23" xfId="4" applyNumberFormat="1" applyFont="1" applyBorder="1" applyAlignment="1">
      <alignment horizontal="center" vertical="center" shrinkToFit="1"/>
    </xf>
    <xf numFmtId="0" fontId="13" fillId="0" borderId="33" xfId="4" applyFont="1" applyBorder="1" applyAlignment="1">
      <alignment horizontal="center"/>
    </xf>
    <xf numFmtId="0" fontId="13" fillId="0" borderId="16" xfId="4" applyFont="1" applyBorder="1" applyAlignment="1">
      <alignment horizontal="center" shrinkToFit="1"/>
    </xf>
    <xf numFmtId="0" fontId="13" fillId="0" borderId="34" xfId="4" applyFont="1" applyBorder="1" applyAlignment="1">
      <alignment horizontal="center"/>
    </xf>
    <xf numFmtId="0" fontId="13" fillId="0" borderId="35" xfId="4" applyFont="1" applyBorder="1"/>
    <xf numFmtId="1" fontId="13" fillId="0" borderId="25" xfId="4" applyNumberFormat="1" applyFont="1" applyBorder="1" applyAlignment="1">
      <alignment horizontal="center"/>
    </xf>
    <xf numFmtId="0" fontId="13" fillId="0" borderId="36" xfId="4" applyFont="1" applyBorder="1" applyAlignment="1">
      <alignment horizontal="center"/>
    </xf>
    <xf numFmtId="0" fontId="13" fillId="0" borderId="37" xfId="4" applyFont="1" applyBorder="1" applyAlignment="1">
      <alignment horizontal="center" shrinkToFit="1"/>
    </xf>
    <xf numFmtId="0" fontId="13" fillId="6" borderId="38" xfId="4" applyFont="1" applyFill="1" applyBorder="1" applyAlignment="1">
      <alignment horizontal="center" shrinkToFit="1"/>
    </xf>
    <xf numFmtId="0" fontId="13" fillId="6" borderId="38" xfId="4" applyFont="1" applyFill="1" applyBorder="1" applyAlignment="1">
      <alignment horizontal="center"/>
    </xf>
    <xf numFmtId="0" fontId="13" fillId="6" borderId="39" xfId="4" applyFont="1" applyFill="1" applyBorder="1"/>
    <xf numFmtId="1" fontId="13" fillId="0" borderId="26" xfId="4" applyNumberFormat="1" applyFont="1" applyBorder="1" applyAlignment="1">
      <alignment horizontal="center"/>
    </xf>
    <xf numFmtId="0" fontId="13" fillId="0" borderId="38" xfId="4" applyFont="1" applyBorder="1" applyAlignment="1">
      <alignment horizontal="center" shrinkToFit="1"/>
    </xf>
    <xf numFmtId="0" fontId="13" fillId="0" borderId="38" xfId="4" applyFont="1" applyBorder="1" applyAlignment="1">
      <alignment horizontal="center"/>
    </xf>
    <xf numFmtId="0" fontId="13" fillId="0" borderId="39" xfId="4" applyFont="1" applyBorder="1"/>
    <xf numFmtId="0" fontId="13" fillId="7" borderId="38" xfId="4" applyFont="1" applyFill="1" applyBorder="1" applyAlignment="1">
      <alignment horizontal="center" shrinkToFit="1"/>
    </xf>
    <xf numFmtId="0" fontId="13" fillId="7" borderId="38" xfId="4" applyFont="1" applyFill="1" applyBorder="1" applyAlignment="1">
      <alignment horizontal="center"/>
    </xf>
    <xf numFmtId="0" fontId="13" fillId="7" borderId="39" xfId="4" applyFont="1" applyFill="1" applyBorder="1"/>
    <xf numFmtId="0" fontId="13" fillId="0" borderId="40" xfId="4" applyFont="1" applyBorder="1" applyAlignment="1">
      <alignment horizontal="center"/>
    </xf>
    <xf numFmtId="0" fontId="13" fillId="0" borderId="41" xfId="4" applyFont="1" applyBorder="1" applyAlignment="1">
      <alignment horizontal="center" shrinkToFit="1"/>
    </xf>
    <xf numFmtId="0" fontId="13" fillId="7" borderId="42" xfId="4" applyFont="1" applyFill="1" applyBorder="1" applyAlignment="1">
      <alignment horizontal="center" shrinkToFit="1"/>
    </xf>
    <xf numFmtId="0" fontId="13" fillId="7" borderId="42" xfId="4" applyFont="1" applyFill="1" applyBorder="1" applyAlignment="1">
      <alignment horizontal="center"/>
    </xf>
    <xf numFmtId="0" fontId="13" fillId="7" borderId="43" xfId="4" applyFont="1" applyFill="1" applyBorder="1"/>
    <xf numFmtId="1" fontId="13" fillId="0" borderId="44" xfId="4" applyNumberFormat="1" applyFont="1" applyBorder="1" applyAlignment="1">
      <alignment horizontal="center"/>
    </xf>
    <xf numFmtId="0" fontId="13" fillId="0" borderId="45" xfId="4" applyFont="1" applyBorder="1" applyAlignment="1">
      <alignment horizontal="center"/>
    </xf>
    <xf numFmtId="0" fontId="13" fillId="0" borderId="46" xfId="4" applyFont="1" applyBorder="1" applyAlignment="1">
      <alignment horizontal="center" shrinkToFit="1"/>
    </xf>
    <xf numFmtId="0" fontId="13" fillId="0" borderId="47" xfId="4" applyFont="1" applyBorder="1" applyAlignment="1">
      <alignment horizontal="center" shrinkToFit="1"/>
    </xf>
    <xf numFmtId="0" fontId="13" fillId="0" borderId="47" xfId="4" applyFont="1" applyBorder="1" applyAlignment="1">
      <alignment horizontal="center"/>
    </xf>
    <xf numFmtId="0" fontId="13" fillId="0" borderId="48" xfId="4" applyFont="1" applyBorder="1"/>
    <xf numFmtId="1" fontId="13" fillId="0" borderId="49" xfId="4" applyNumberFormat="1" applyFont="1" applyBorder="1" applyAlignment="1">
      <alignment horizontal="center"/>
    </xf>
    <xf numFmtId="0" fontId="14" fillId="3" borderId="37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/>
    </xf>
    <xf numFmtId="0" fontId="13" fillId="0" borderId="43" xfId="4" applyFont="1" applyBorder="1"/>
    <xf numFmtId="0" fontId="13" fillId="0" borderId="50" xfId="4" applyFont="1" applyBorder="1" applyAlignment="1">
      <alignment horizontal="center"/>
    </xf>
    <xf numFmtId="0" fontId="13" fillId="0" borderId="11" xfId="4" applyFont="1" applyBorder="1" applyAlignment="1">
      <alignment horizontal="center" shrinkToFit="1"/>
    </xf>
    <xf numFmtId="0" fontId="13" fillId="0" borderId="1" xfId="4" applyFont="1" applyBorder="1" applyAlignment="1">
      <alignment horizontal="center"/>
    </xf>
    <xf numFmtId="0" fontId="13" fillId="0" borderId="51" xfId="4" applyFont="1" applyBorder="1"/>
    <xf numFmtId="0" fontId="14" fillId="3" borderId="46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 shrinkToFit="1"/>
    </xf>
    <xf numFmtId="0" fontId="13" fillId="6" borderId="47" xfId="4" applyFont="1" applyFill="1" applyBorder="1" applyAlignment="1">
      <alignment horizontal="center" shrinkToFit="1"/>
    </xf>
    <xf numFmtId="0" fontId="13" fillId="6" borderId="47" xfId="4" applyFont="1" applyFill="1" applyBorder="1" applyAlignment="1">
      <alignment horizontal="center"/>
    </xf>
    <xf numFmtId="0" fontId="13" fillId="6" borderId="48" xfId="4" applyFont="1" applyFill="1" applyBorder="1"/>
    <xf numFmtId="0" fontId="13" fillId="7" borderId="47" xfId="4" applyFont="1" applyFill="1" applyBorder="1" applyAlignment="1">
      <alignment horizontal="center" shrinkToFit="1"/>
    </xf>
    <xf numFmtId="0" fontId="13" fillId="7" borderId="47" xfId="4" applyFont="1" applyFill="1" applyBorder="1" applyAlignment="1">
      <alignment horizontal="center"/>
    </xf>
    <xf numFmtId="0" fontId="13" fillId="7" borderId="48" xfId="4" applyFont="1" applyFill="1" applyBorder="1"/>
    <xf numFmtId="1" fontId="13" fillId="0" borderId="52" xfId="4" applyNumberFormat="1" applyFont="1" applyBorder="1" applyAlignment="1">
      <alignment horizontal="center"/>
    </xf>
    <xf numFmtId="0" fontId="13" fillId="6" borderId="42" xfId="4" applyFont="1" applyFill="1" applyBorder="1" applyAlignment="1">
      <alignment horizontal="center" shrinkToFit="1"/>
    </xf>
    <xf numFmtId="0" fontId="13" fillId="6" borderId="42" xfId="4" applyFont="1" applyFill="1" applyBorder="1" applyAlignment="1">
      <alignment horizontal="center"/>
    </xf>
    <xf numFmtId="0" fontId="13" fillId="6" borderId="43" xfId="4" applyFont="1" applyFill="1" applyBorder="1"/>
    <xf numFmtId="0" fontId="13" fillId="0" borderId="53" xfId="4" applyFont="1" applyBorder="1" applyAlignment="1">
      <alignment horizontal="center"/>
    </xf>
    <xf numFmtId="0" fontId="14" fillId="3" borderId="19" xfId="4" applyFont="1" applyFill="1" applyBorder="1" applyAlignment="1">
      <alignment horizontal="center" shrinkToFit="1"/>
    </xf>
    <xf numFmtId="0" fontId="13" fillId="0" borderId="54" xfId="4" applyFont="1" applyBorder="1" applyAlignment="1">
      <alignment horizontal="center"/>
    </xf>
    <xf numFmtId="0" fontId="13" fillId="0" borderId="55" xfId="4" applyFont="1" applyBorder="1"/>
    <xf numFmtId="1" fontId="13" fillId="0" borderId="56" xfId="4" applyNumberFormat="1" applyFont="1" applyBorder="1" applyAlignment="1">
      <alignment horizontal="center"/>
    </xf>
    <xf numFmtId="0" fontId="13" fillId="0" borderId="57" xfId="4" applyFont="1" applyBorder="1" applyAlignment="1">
      <alignment horizontal="center"/>
    </xf>
    <xf numFmtId="0" fontId="13" fillId="0" borderId="58" xfId="4" applyFont="1" applyBorder="1" applyAlignment="1">
      <alignment horizontal="center" shrinkToFit="1"/>
    </xf>
    <xf numFmtId="0" fontId="13" fillId="0" borderId="59" xfId="4" applyFont="1" applyBorder="1" applyAlignment="1">
      <alignment horizontal="center"/>
    </xf>
    <xf numFmtId="0" fontId="13" fillId="0" borderId="60" xfId="4" applyFont="1" applyBorder="1"/>
    <xf numFmtId="0" fontId="14" fillId="3" borderId="41" xfId="4" applyFont="1" applyFill="1" applyBorder="1" applyAlignment="1">
      <alignment horizontal="center" shrinkToFit="1"/>
    </xf>
    <xf numFmtId="0" fontId="13" fillId="0" borderId="19" xfId="4" applyFont="1" applyBorder="1" applyAlignment="1">
      <alignment horizontal="center" shrinkToFit="1"/>
    </xf>
    <xf numFmtId="0" fontId="13" fillId="0" borderId="54" xfId="4" applyFont="1" applyBorder="1" applyAlignment="1">
      <alignment horizontal="center" shrinkToFit="1"/>
    </xf>
    <xf numFmtId="0" fontId="13" fillId="6" borderId="34" xfId="4" applyFont="1" applyFill="1" applyBorder="1" applyAlignment="1">
      <alignment horizontal="center" shrinkToFit="1"/>
    </xf>
    <xf numFmtId="0" fontId="13" fillId="6" borderId="34" xfId="4" applyFont="1" applyFill="1" applyBorder="1" applyAlignment="1">
      <alignment horizontal="center"/>
    </xf>
    <xf numFmtId="0" fontId="13" fillId="6" borderId="35" xfId="4" applyFont="1" applyFill="1" applyBorder="1"/>
    <xf numFmtId="0" fontId="14" fillId="3" borderId="16" xfId="4" applyFont="1" applyFill="1" applyBorder="1" applyAlignment="1">
      <alignment horizontal="center" shrinkToFit="1"/>
    </xf>
    <xf numFmtId="1" fontId="13" fillId="0" borderId="61" xfId="4" applyNumberFormat="1" applyFont="1" applyBorder="1" applyAlignment="1">
      <alignment horizontal="center"/>
    </xf>
    <xf numFmtId="0" fontId="13" fillId="7" borderId="54" xfId="4" applyFont="1" applyFill="1" applyBorder="1" applyAlignment="1">
      <alignment horizontal="center" shrinkToFit="1"/>
    </xf>
    <xf numFmtId="0" fontId="13" fillId="7" borderId="54" xfId="4" applyFont="1" applyFill="1" applyBorder="1" applyAlignment="1">
      <alignment horizontal="center"/>
    </xf>
    <xf numFmtId="0" fontId="13" fillId="7" borderId="55" xfId="4" applyFont="1" applyFill="1" applyBorder="1"/>
    <xf numFmtId="0" fontId="13" fillId="0" borderId="59" xfId="4" applyFont="1" applyBorder="1" applyAlignment="1">
      <alignment horizontal="center" shrinkToFit="1"/>
    </xf>
    <xf numFmtId="0" fontId="13" fillId="6" borderId="54" xfId="4" applyFont="1" applyFill="1" applyBorder="1" applyAlignment="1">
      <alignment horizontal="center" shrinkToFit="1"/>
    </xf>
    <xf numFmtId="0" fontId="13" fillId="6" borderId="54" xfId="4" applyFont="1" applyFill="1" applyBorder="1" applyAlignment="1">
      <alignment horizontal="center"/>
    </xf>
    <xf numFmtId="0" fontId="13" fillId="6" borderId="55" xfId="4" applyFont="1" applyFill="1" applyBorder="1"/>
    <xf numFmtId="0" fontId="13" fillId="0" borderId="34" xfId="4" applyFont="1" applyBorder="1" applyAlignment="1">
      <alignment horizontal="center" shrinkToFit="1"/>
    </xf>
    <xf numFmtId="0" fontId="13" fillId="0" borderId="62" xfId="4" applyFont="1" applyBorder="1" applyAlignment="1">
      <alignment horizontal="center"/>
    </xf>
    <xf numFmtId="0" fontId="13" fillId="0" borderId="63" xfId="4" applyFont="1" applyBorder="1" applyAlignment="1">
      <alignment horizontal="center" shrinkToFit="1"/>
    </xf>
    <xf numFmtId="0" fontId="13" fillId="0" borderId="64" xfId="4" applyFont="1" applyBorder="1" applyAlignment="1">
      <alignment horizontal="center"/>
    </xf>
    <xf numFmtId="0" fontId="13" fillId="0" borderId="65" xfId="4" applyFont="1" applyBorder="1" applyAlignment="1">
      <alignment horizontal="center" shrinkToFit="1"/>
    </xf>
    <xf numFmtId="0" fontId="13" fillId="8" borderId="38" xfId="4" applyFont="1" applyFill="1" applyBorder="1" applyAlignment="1">
      <alignment horizontal="center" shrinkToFit="1"/>
    </xf>
    <xf numFmtId="0" fontId="13" fillId="8" borderId="38" xfId="4" applyFont="1" applyFill="1" applyBorder="1" applyAlignment="1">
      <alignment horizontal="center"/>
    </xf>
    <xf numFmtId="0" fontId="13" fillId="8" borderId="39" xfId="4" applyFont="1" applyFill="1" applyBorder="1"/>
    <xf numFmtId="0" fontId="13" fillId="0" borderId="66" xfId="4" applyFont="1" applyBorder="1" applyAlignment="1">
      <alignment horizontal="center"/>
    </xf>
    <xf numFmtId="0" fontId="13" fillId="0" borderId="67" xfId="4" applyFont="1" applyBorder="1"/>
    <xf numFmtId="0" fontId="13" fillId="0" borderId="66" xfId="4" applyFont="1" applyBorder="1" applyAlignment="1">
      <alignment horizontal="center" shrinkToFit="1"/>
    </xf>
    <xf numFmtId="0" fontId="14" fillId="3" borderId="63" xfId="4" applyFont="1" applyFill="1" applyBorder="1" applyAlignment="1">
      <alignment horizontal="center" shrinkToFit="1"/>
    </xf>
    <xf numFmtId="0" fontId="9" fillId="0" borderId="0" xfId="5" applyAlignment="1">
      <alignment horizontal="center"/>
    </xf>
    <xf numFmtId="0" fontId="9" fillId="0" borderId="0" xfId="5"/>
    <xf numFmtId="0" fontId="0" fillId="0" borderId="10" xfId="0" quotePrefix="1" applyBorder="1" applyAlignment="1">
      <alignment horizontal="left"/>
    </xf>
    <xf numFmtId="0" fontId="0" fillId="0" borderId="12" xfId="0" quotePrefix="1" applyBorder="1" applyAlignment="1">
      <alignment horizontal="left"/>
    </xf>
    <xf numFmtId="0" fontId="4" fillId="3" borderId="12" xfId="0" quotePrefix="1" applyFont="1" applyFill="1" applyBorder="1" applyAlignment="1">
      <alignment horizontal="left"/>
    </xf>
    <xf numFmtId="0" fontId="0" fillId="0" borderId="0" xfId="0" applyAlignment="1">
      <alignment horizontal="left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wrapText="1"/>
    </xf>
    <xf numFmtId="167" fontId="17" fillId="0" borderId="0" xfId="0" applyNumberFormat="1" applyFont="1"/>
    <xf numFmtId="0" fontId="17" fillId="0" borderId="0" xfId="0" applyFont="1" applyAlignment="1">
      <alignment horizontal="center" wrapText="1"/>
    </xf>
    <xf numFmtId="0" fontId="20" fillId="0" borderId="0" xfId="0" applyFont="1" applyAlignment="1">
      <alignment vertical="center"/>
    </xf>
    <xf numFmtId="0" fontId="17" fillId="9" borderId="0" xfId="0" applyFont="1" applyFill="1" applyAlignment="1">
      <alignment horizontal="center"/>
    </xf>
    <xf numFmtId="0" fontId="20" fillId="9" borderId="0" xfId="0" applyFont="1" applyFill="1" applyAlignment="1">
      <alignment vertical="center"/>
    </xf>
    <xf numFmtId="0" fontId="17" fillId="9" borderId="0" xfId="0" applyFont="1" applyFill="1"/>
    <xf numFmtId="0" fontId="20" fillId="0" borderId="0" xfId="0" applyFont="1" applyAlignment="1">
      <alignment vertical="center" wrapText="1"/>
    </xf>
    <xf numFmtId="0" fontId="22" fillId="9" borderId="0" xfId="7" applyFont="1" applyFill="1" applyAlignment="1">
      <alignment horizontal="center" vertical="center"/>
    </xf>
    <xf numFmtId="0" fontId="24" fillId="9" borderId="0" xfId="0" applyFont="1" applyFill="1" applyAlignment="1">
      <alignment horizontal="center"/>
    </xf>
    <xf numFmtId="0" fontId="20" fillId="0" borderId="0" xfId="0" applyFont="1" applyAlignment="1">
      <alignment horizontal="center" vertical="center"/>
    </xf>
    <xf numFmtId="169" fontId="17" fillId="9" borderId="0" xfId="0" applyNumberFormat="1" applyFont="1" applyFill="1" applyAlignment="1">
      <alignment horizontal="center" vertical="center"/>
    </xf>
    <xf numFmtId="170" fontId="17" fillId="9" borderId="0" xfId="0" applyNumberFormat="1" applyFont="1" applyFill="1" applyAlignment="1">
      <alignment horizontal="center" vertical="center"/>
    </xf>
    <xf numFmtId="0" fontId="16" fillId="0" borderId="0" xfId="0" quotePrefix="1" applyFont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28" fillId="0" borderId="71" xfId="0" applyFont="1" applyBorder="1" applyAlignment="1">
      <alignment vertical="center"/>
    </xf>
    <xf numFmtId="0" fontId="28" fillId="0" borderId="72" xfId="0" applyFont="1" applyBorder="1" applyAlignment="1">
      <alignment vertical="center"/>
    </xf>
    <xf numFmtId="0" fontId="28" fillId="0" borderId="73" xfId="0" applyFont="1" applyBorder="1" applyAlignment="1">
      <alignment horizontal="center" vertical="center"/>
    </xf>
    <xf numFmtId="0" fontId="29" fillId="0" borderId="80" xfId="0" applyFont="1" applyBorder="1" applyAlignment="1">
      <alignment vertical="center"/>
    </xf>
    <xf numFmtId="0" fontId="17" fillId="0" borderId="85" xfId="0" applyFont="1" applyBorder="1" applyAlignment="1">
      <alignment horizontal="centerContinuous" vertical="center" wrapText="1"/>
    </xf>
    <xf numFmtId="0" fontId="17" fillId="0" borderId="86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 wrapText="1"/>
    </xf>
    <xf numFmtId="0" fontId="22" fillId="16" borderId="96" xfId="0" applyFont="1" applyFill="1" applyBorder="1" applyAlignment="1">
      <alignment vertical="center"/>
    </xf>
    <xf numFmtId="0" fontId="22" fillId="16" borderId="0" xfId="0" applyFont="1" applyFill="1" applyAlignment="1">
      <alignment horizontal="center" vertical="center"/>
    </xf>
    <xf numFmtId="0" fontId="30" fillId="0" borderId="73" xfId="0" applyFont="1" applyBorder="1" applyAlignment="1">
      <alignment horizontal="center" vertical="center"/>
    </xf>
    <xf numFmtId="0" fontId="22" fillId="14" borderId="87" xfId="0" applyFont="1" applyFill="1" applyBorder="1" applyAlignment="1">
      <alignment horizontal="center" vertical="center"/>
    </xf>
    <xf numFmtId="0" fontId="31" fillId="0" borderId="87" xfId="0" applyFont="1" applyBorder="1" applyAlignment="1">
      <alignment horizontal="center" vertical="center"/>
    </xf>
    <xf numFmtId="0" fontId="17" fillId="0" borderId="97" xfId="0" applyFont="1" applyBorder="1" applyAlignment="1">
      <alignment horizontal="center" vertical="center" wrapText="1"/>
    </xf>
    <xf numFmtId="0" fontId="22" fillId="0" borderId="87" xfId="0" applyFont="1" applyBorder="1" applyAlignment="1">
      <alignment vertical="center"/>
    </xf>
    <xf numFmtId="0" fontId="17" fillId="0" borderId="98" xfId="0" applyFont="1" applyBorder="1" applyAlignment="1">
      <alignment horizontal="center" vertical="center" wrapText="1"/>
    </xf>
    <xf numFmtId="0" fontId="17" fillId="0" borderId="99" xfId="0" applyFont="1" applyBorder="1" applyAlignment="1">
      <alignment horizontal="center" vertical="center" wrapText="1"/>
    </xf>
    <xf numFmtId="0" fontId="17" fillId="0" borderId="68" xfId="0" applyFont="1" applyBorder="1" applyAlignment="1">
      <alignment horizontal="center" vertical="center" wrapText="1"/>
    </xf>
    <xf numFmtId="0" fontId="17" fillId="0" borderId="87" xfId="0" applyFont="1" applyBorder="1" applyAlignment="1">
      <alignment horizontal="center" vertical="center" wrapText="1"/>
    </xf>
    <xf numFmtId="0" fontId="17" fillId="0" borderId="100" xfId="0" applyFont="1" applyBorder="1" applyAlignment="1">
      <alignment horizontal="center" vertical="center" wrapText="1"/>
    </xf>
    <xf numFmtId="0" fontId="17" fillId="0" borderId="88" xfId="0" applyFont="1" applyBorder="1" applyAlignment="1">
      <alignment horizontal="center" vertical="center"/>
    </xf>
    <xf numFmtId="0" fontId="33" fillId="16" borderId="97" xfId="0" applyFont="1" applyFill="1" applyBorder="1" applyAlignment="1">
      <alignment horizontal="center" vertical="center"/>
    </xf>
    <xf numFmtId="0" fontId="33" fillId="0" borderId="87" xfId="0" applyFont="1" applyBorder="1" applyAlignment="1">
      <alignment horizontal="center" vertical="center"/>
    </xf>
    <xf numFmtId="0" fontId="33" fillId="0" borderId="103" xfId="0" applyFont="1" applyBorder="1" applyAlignment="1">
      <alignment horizontal="center" vertical="center"/>
    </xf>
    <xf numFmtId="0" fontId="31" fillId="0" borderId="73" xfId="0" applyFont="1" applyBorder="1" applyAlignment="1">
      <alignment horizontal="center" vertical="center"/>
    </xf>
    <xf numFmtId="0" fontId="17" fillId="0" borderId="88" xfId="0" applyFont="1" applyBorder="1" applyAlignment="1">
      <alignment vertical="center" wrapText="1"/>
    </xf>
    <xf numFmtId="0" fontId="17" fillId="0" borderId="103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 wrapText="1"/>
    </xf>
    <xf numFmtId="0" fontId="17" fillId="0" borderId="105" xfId="0" applyFont="1" applyBorder="1" applyAlignment="1">
      <alignment horizontal="center" vertical="center"/>
    </xf>
    <xf numFmtId="0" fontId="17" fillId="0" borderId="111" xfId="0" applyFont="1" applyBorder="1" applyAlignment="1">
      <alignment horizontal="center" vertical="center"/>
    </xf>
    <xf numFmtId="0" fontId="17" fillId="0" borderId="112" xfId="0" applyFont="1" applyBorder="1" applyAlignment="1">
      <alignment horizontal="center" vertical="center"/>
    </xf>
    <xf numFmtId="0" fontId="33" fillId="16" borderId="113" xfId="0" applyFont="1" applyFill="1" applyBorder="1" applyAlignment="1">
      <alignment horizontal="center" vertical="center"/>
    </xf>
    <xf numFmtId="0" fontId="33" fillId="0" borderId="104" xfId="0" applyFont="1" applyBorder="1" applyAlignment="1">
      <alignment horizontal="center" vertical="center"/>
    </xf>
    <xf numFmtId="0" fontId="33" fillId="14" borderId="104" xfId="0" applyFont="1" applyFill="1" applyBorder="1" applyAlignment="1">
      <alignment horizontal="center" vertical="center"/>
    </xf>
    <xf numFmtId="0" fontId="33" fillId="0" borderId="92" xfId="0" applyFont="1" applyBorder="1" applyAlignment="1">
      <alignment horizontal="center" vertical="center"/>
    </xf>
    <xf numFmtId="0" fontId="16" fillId="0" borderId="104" xfId="0" applyFont="1" applyBorder="1" applyAlignment="1">
      <alignment horizontal="center" vertical="center"/>
    </xf>
    <xf numFmtId="0" fontId="17" fillId="0" borderId="113" xfId="0" applyFont="1" applyBorder="1" applyAlignment="1">
      <alignment horizontal="center" vertical="center" wrapText="1"/>
    </xf>
    <xf numFmtId="0" fontId="17" fillId="0" borderId="105" xfId="0" applyFont="1" applyBorder="1" applyAlignment="1">
      <alignment vertical="center" wrapText="1"/>
    </xf>
    <xf numFmtId="0" fontId="17" fillId="0" borderId="92" xfId="0" applyFont="1" applyBorder="1" applyAlignment="1">
      <alignment horizontal="center" vertical="center" wrapText="1"/>
    </xf>
    <xf numFmtId="0" fontId="17" fillId="0" borderId="110" xfId="0" applyFont="1" applyBorder="1" applyAlignment="1">
      <alignment horizontal="center" vertical="center" wrapText="1"/>
    </xf>
    <xf numFmtId="0" fontId="17" fillId="0" borderId="104" xfId="0" applyFont="1" applyBorder="1" applyAlignment="1">
      <alignment horizontal="center" vertical="center" wrapText="1"/>
    </xf>
    <xf numFmtId="0" fontId="17" fillId="0" borderId="112" xfId="0" applyFont="1" applyBorder="1" applyAlignment="1">
      <alignment horizontal="center" vertical="center" wrapText="1"/>
    </xf>
    <xf numFmtId="0" fontId="13" fillId="0" borderId="0" xfId="0" applyFont="1"/>
    <xf numFmtId="0" fontId="17" fillId="0" borderId="103" xfId="0" applyFont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horizontal="center" vertical="center"/>
    </xf>
    <xf numFmtId="0" fontId="27" fillId="13" borderId="116" xfId="9" applyFont="1" applyFill="1" applyBorder="1" applyAlignment="1">
      <alignment horizontal="center" vertical="center"/>
    </xf>
    <xf numFmtId="0" fontId="27" fillId="0" borderId="116" xfId="9" applyFont="1" applyBorder="1" applyAlignment="1">
      <alignment horizontal="center" vertical="center"/>
    </xf>
    <xf numFmtId="0" fontId="36" fillId="12" borderId="102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left" vertical="center" wrapText="1"/>
    </xf>
    <xf numFmtId="0" fontId="36" fillId="12" borderId="101" xfId="7" applyFont="1" applyFill="1" applyBorder="1" applyAlignment="1">
      <alignment horizontal="center" vertical="center"/>
    </xf>
    <xf numFmtId="0" fontId="37" fillId="12" borderId="116" xfId="7" applyFont="1" applyFill="1" applyBorder="1" applyAlignment="1">
      <alignment horizontal="center" vertical="center"/>
    </xf>
    <xf numFmtId="1" fontId="38" fillId="17" borderId="116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" fontId="39" fillId="12" borderId="118" xfId="7" applyNumberFormat="1" applyFont="1" applyFill="1" applyBorder="1" applyAlignment="1">
      <alignment horizontal="center" vertical="center"/>
    </xf>
    <xf numFmtId="1" fontId="39" fillId="12" borderId="119" xfId="7" applyNumberFormat="1" applyFont="1" applyFill="1" applyBorder="1" applyAlignment="1">
      <alignment horizontal="center" vertical="center"/>
    </xf>
    <xf numFmtId="171" fontId="39" fillId="12" borderId="119" xfId="7" applyNumberFormat="1" applyFont="1" applyFill="1" applyBorder="1" applyAlignment="1">
      <alignment horizontal="center" vertical="center"/>
    </xf>
    <xf numFmtId="172" fontId="39" fillId="12" borderId="119" xfId="7" applyNumberFormat="1" applyFont="1" applyFill="1" applyBorder="1" applyAlignment="1">
      <alignment horizontal="center" vertical="center"/>
    </xf>
    <xf numFmtId="1" fontId="36" fillId="12" borderId="9" xfId="7" applyNumberFormat="1" applyFont="1" applyFill="1" applyBorder="1" applyAlignment="1">
      <alignment horizontal="center" vertical="center"/>
    </xf>
    <xf numFmtId="173" fontId="36" fillId="12" borderId="120" xfId="7" applyNumberFormat="1" applyFont="1" applyFill="1" applyBorder="1" applyAlignment="1">
      <alignment horizontal="center" vertical="center"/>
    </xf>
    <xf numFmtId="1" fontId="36" fillId="12" borderId="45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center" vertical="center"/>
    </xf>
    <xf numFmtId="173" fontId="36" fillId="12" borderId="121" xfId="7" applyNumberFormat="1" applyFont="1" applyFill="1" applyBorder="1" applyAlignment="1">
      <alignment horizontal="center" vertical="center"/>
    </xf>
    <xf numFmtId="1" fontId="36" fillId="12" borderId="102" xfId="7" applyNumberFormat="1" applyFont="1" applyFill="1" applyBorder="1" applyAlignment="1">
      <alignment horizontal="center" vertical="center"/>
    </xf>
    <xf numFmtId="1" fontId="27" fillId="12" borderId="117" xfId="7" applyNumberFormat="1" applyFont="1" applyFill="1" applyBorder="1" applyAlignment="1">
      <alignment horizontal="center" vertical="center"/>
    </xf>
    <xf numFmtId="1" fontId="27" fillId="0" borderId="117" xfId="7" applyNumberFormat="1" applyFont="1" applyBorder="1" applyAlignment="1">
      <alignment horizontal="center" vertical="center"/>
    </xf>
    <xf numFmtId="1" fontId="27" fillId="0" borderId="95" xfId="7" applyNumberFormat="1" applyFont="1" applyBorder="1" applyAlignment="1">
      <alignment horizontal="center" vertical="center"/>
    </xf>
    <xf numFmtId="1" fontId="36" fillId="12" borderId="117" xfId="7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7" fillId="0" borderId="9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 wrapText="1"/>
    </xf>
    <xf numFmtId="174" fontId="17" fillId="0" borderId="116" xfId="7" applyNumberFormat="1" applyFont="1" applyBorder="1" applyAlignment="1">
      <alignment horizontal="center" vertical="center"/>
    </xf>
    <xf numFmtId="175" fontId="17" fillId="0" borderId="116" xfId="7" applyNumberFormat="1" applyFont="1" applyBorder="1" applyAlignment="1">
      <alignment horizontal="center" vertical="center"/>
    </xf>
    <xf numFmtId="1" fontId="17" fillId="0" borderId="116" xfId="7" applyNumberFormat="1" applyFont="1" applyBorder="1" applyAlignment="1">
      <alignment horizontal="center" vertical="center"/>
    </xf>
    <xf numFmtId="176" fontId="17" fillId="0" borderId="119" xfId="7" applyNumberFormat="1" applyFont="1" applyBorder="1" applyAlignment="1">
      <alignment horizontal="center" vertical="center"/>
    </xf>
    <xf numFmtId="0" fontId="17" fillId="0" borderId="95" xfId="7" applyFont="1" applyBorder="1" applyAlignment="1">
      <alignment horizontal="center" vertical="center"/>
    </xf>
    <xf numFmtId="0" fontId="17" fillId="0" borderId="102" xfId="7" applyFont="1" applyBorder="1" applyAlignment="1">
      <alignment horizontal="center" vertical="center"/>
    </xf>
    <xf numFmtId="0" fontId="17" fillId="0" borderId="118" xfId="7" applyFont="1" applyBorder="1" applyAlignment="1">
      <alignment horizontal="center" vertical="center"/>
    </xf>
    <xf numFmtId="0" fontId="17" fillId="0" borderId="102" xfId="9" applyFont="1" applyBorder="1" applyAlignment="1">
      <alignment horizontal="center" vertical="center"/>
    </xf>
    <xf numFmtId="2" fontId="17" fillId="0" borderId="102" xfId="7" applyNumberFormat="1" applyFont="1" applyBorder="1" applyAlignment="1">
      <alignment horizontal="center" vertical="center"/>
    </xf>
    <xf numFmtId="167" fontId="17" fillId="0" borderId="102" xfId="7" applyNumberFormat="1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27" fillId="11" borderId="122" xfId="9" applyFont="1" applyFill="1" applyBorder="1" applyAlignment="1">
      <alignment horizontal="center" vertical="center"/>
    </xf>
    <xf numFmtId="0" fontId="27" fillId="0" borderId="123" xfId="9" applyFont="1" applyBorder="1" applyAlignment="1">
      <alignment horizontal="center" vertical="center"/>
    </xf>
    <xf numFmtId="0" fontId="27" fillId="13" borderId="1" xfId="9" applyFont="1" applyFill="1" applyBorder="1" applyAlignment="1">
      <alignment horizontal="center" vertical="center"/>
    </xf>
    <xf numFmtId="0" fontId="27" fillId="0" borderId="1" xfId="9" applyFont="1" applyBorder="1" applyAlignment="1">
      <alignment horizontal="center" vertical="center"/>
    </xf>
    <xf numFmtId="0" fontId="36" fillId="12" borderId="50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left" vertical="center" wrapText="1"/>
    </xf>
    <xf numFmtId="0" fontId="37" fillId="12" borderId="1" xfId="7" applyFont="1" applyFill="1" applyBorder="1" applyAlignment="1">
      <alignment horizontal="center" vertical="center"/>
    </xf>
    <xf numFmtId="1" fontId="39" fillId="12" borderId="12" xfId="7" applyNumberFormat="1" applyFont="1" applyFill="1" applyBorder="1" applyAlignment="1">
      <alignment horizontal="center" vertical="center"/>
    </xf>
    <xf numFmtId="172" fontId="39" fillId="12" borderId="124" xfId="7" applyNumberFormat="1" applyFont="1" applyFill="1" applyBorder="1" applyAlignment="1">
      <alignment horizontal="center" vertical="center"/>
    </xf>
    <xf numFmtId="0" fontId="27" fillId="0" borderId="12" xfId="7" applyFont="1" applyBorder="1" applyAlignment="1">
      <alignment horizontal="center" vertical="center"/>
    </xf>
    <xf numFmtId="0" fontId="27" fillId="0" borderId="125" xfId="7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 wrapText="1"/>
    </xf>
    <xf numFmtId="174" fontId="17" fillId="0" borderId="1" xfId="7" applyNumberFormat="1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/>
    </xf>
    <xf numFmtId="175" fontId="17" fillId="0" borderId="1" xfId="7" applyNumberFormat="1" applyFont="1" applyBorder="1" applyAlignment="1">
      <alignment horizontal="center" vertical="center"/>
    </xf>
    <xf numFmtId="1" fontId="17" fillId="0" borderId="1" xfId="7" applyNumberFormat="1" applyFont="1" applyBorder="1" applyAlignment="1">
      <alignment horizontal="center" vertical="center"/>
    </xf>
    <xf numFmtId="176" fontId="17" fillId="0" borderId="124" xfId="7" applyNumberFormat="1" applyFont="1" applyBorder="1" applyAlignment="1">
      <alignment horizontal="center" vertical="center"/>
    </xf>
    <xf numFmtId="0" fontId="17" fillId="0" borderId="11" xfId="7" applyFont="1" applyBorder="1" applyAlignment="1">
      <alignment horizontal="center" vertical="center"/>
    </xf>
    <xf numFmtId="0" fontId="17" fillId="0" borderId="125" xfId="7" applyFont="1" applyBorder="1" applyAlignment="1">
      <alignment horizontal="center" vertical="center"/>
    </xf>
    <xf numFmtId="0" fontId="17" fillId="0" borderId="50" xfId="7" applyFont="1" applyBorder="1" applyAlignment="1">
      <alignment horizontal="center" vertical="center"/>
    </xf>
    <xf numFmtId="0" fontId="17" fillId="0" borderId="126" xfId="7" applyFont="1" applyBorder="1" applyAlignment="1">
      <alignment horizontal="center" vertical="center"/>
    </xf>
    <xf numFmtId="0" fontId="17" fillId="0" borderId="50" xfId="9" applyFont="1" applyBorder="1" applyAlignment="1">
      <alignment horizontal="center" vertical="center"/>
    </xf>
    <xf numFmtId="2" fontId="17" fillId="0" borderId="50" xfId="7" applyNumberFormat="1" applyFont="1" applyBorder="1" applyAlignment="1">
      <alignment horizontal="center" vertical="center"/>
    </xf>
    <xf numFmtId="167" fontId="17" fillId="0" borderId="50" xfId="7" applyNumberFormat="1" applyFont="1" applyBorder="1" applyAlignment="1">
      <alignment horizontal="center" vertical="center"/>
    </xf>
    <xf numFmtId="0" fontId="27" fillId="11" borderId="122" xfId="9" applyFont="1" applyFill="1" applyBorder="1" applyAlignment="1">
      <alignment vertical="center"/>
    </xf>
    <xf numFmtId="0" fontId="27" fillId="0" borderId="99" xfId="9" applyFont="1" applyBorder="1" applyAlignment="1">
      <alignment horizontal="center" vertical="center"/>
    </xf>
    <xf numFmtId="0" fontId="27" fillId="14" borderId="99" xfId="9" applyFont="1" applyFill="1" applyBorder="1" applyAlignment="1">
      <alignment horizontal="center" vertical="center"/>
    </xf>
    <xf numFmtId="0" fontId="22" fillId="18" borderId="45" xfId="7" applyFont="1" applyFill="1" applyBorder="1" applyAlignment="1">
      <alignment horizontal="center" vertical="center"/>
    </xf>
    <xf numFmtId="0" fontId="22" fillId="0" borderId="47" xfId="7" applyFont="1" applyBorder="1" applyAlignment="1">
      <alignment horizontal="center" vertical="center"/>
    </xf>
    <xf numFmtId="0" fontId="22" fillId="0" borderId="47" xfId="7" applyFont="1" applyBorder="1" applyAlignment="1">
      <alignment horizontal="left" vertical="center" wrapText="1"/>
    </xf>
    <xf numFmtId="0" fontId="22" fillId="0" borderId="101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/>
    </xf>
    <xf numFmtId="0" fontId="17" fillId="0" borderId="127" xfId="7" applyFont="1" applyBorder="1" applyAlignment="1">
      <alignment horizontal="center" vertical="center"/>
    </xf>
    <xf numFmtId="1" fontId="27" fillId="2" borderId="49" xfId="7" applyNumberFormat="1" applyFont="1" applyFill="1" applyBorder="1" applyAlignment="1">
      <alignment horizontal="center" vertical="center"/>
    </xf>
    <xf numFmtId="1" fontId="27" fillId="2" borderId="128" xfId="7" applyNumberFormat="1" applyFont="1" applyFill="1" applyBorder="1" applyAlignment="1">
      <alignment horizontal="center" vertical="center"/>
    </xf>
    <xf numFmtId="1" fontId="27" fillId="2" borderId="129" xfId="7" applyNumberFormat="1" applyFont="1" applyFill="1" applyBorder="1" applyAlignment="1">
      <alignment horizontal="center" vertical="center"/>
    </xf>
    <xf numFmtId="171" fontId="27" fillId="2" borderId="129" xfId="7" applyNumberFormat="1" applyFont="1" applyFill="1" applyBorder="1" applyAlignment="1">
      <alignment horizontal="center" vertical="center"/>
    </xf>
    <xf numFmtId="172" fontId="27" fillId="2" borderId="129" xfId="7" applyNumberFormat="1" applyFont="1" applyFill="1" applyBorder="1" applyAlignment="1">
      <alignment horizontal="center" vertical="center"/>
    </xf>
    <xf numFmtId="1" fontId="22" fillId="0" borderId="46" xfId="7" applyNumberFormat="1" applyFont="1" applyBorder="1" applyAlignment="1">
      <alignment horizontal="center" vertical="center"/>
    </xf>
    <xf numFmtId="173" fontId="22" fillId="0" borderId="120" xfId="7" applyNumberFormat="1" applyFont="1" applyBorder="1" applyAlignment="1">
      <alignment horizontal="center" vertical="center"/>
    </xf>
    <xf numFmtId="1" fontId="22" fillId="0" borderId="45" xfId="7" applyNumberFormat="1" applyFont="1" applyBorder="1" applyAlignment="1">
      <alignment horizontal="center" vertical="center"/>
    </xf>
    <xf numFmtId="1" fontId="27" fillId="16" borderId="119" xfId="7" applyNumberFormat="1" applyFont="1" applyFill="1" applyBorder="1" applyAlignment="1">
      <alignment horizontal="center" vertical="center"/>
    </xf>
    <xf numFmtId="0" fontId="22" fillId="0" borderId="48" xfId="7" applyFont="1" applyBorder="1" applyAlignment="1">
      <alignment horizontal="center" vertical="center"/>
    </xf>
    <xf numFmtId="1" fontId="27" fillId="0" borderId="49" xfId="7" applyNumberFormat="1" applyFont="1" applyBorder="1" applyAlignment="1">
      <alignment horizontal="center" vertical="center"/>
    </xf>
    <xf numFmtId="1" fontId="27" fillId="14" borderId="117" xfId="7" applyNumberFormat="1" applyFont="1" applyFill="1" applyBorder="1" applyAlignment="1">
      <alignment horizontal="center" vertical="center"/>
    </xf>
    <xf numFmtId="0" fontId="27" fillId="0" borderId="49" xfId="7" applyFont="1" applyBorder="1" applyAlignment="1">
      <alignment horizontal="center" vertical="center"/>
    </xf>
    <xf numFmtId="0" fontId="27" fillId="0" borderId="130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 wrapText="1"/>
    </xf>
    <xf numFmtId="174" fontId="17" fillId="0" borderId="47" xfId="7" applyNumberFormat="1" applyFont="1" applyBorder="1" applyAlignment="1">
      <alignment horizontal="center" vertical="center"/>
    </xf>
    <xf numFmtId="175" fontId="17" fillId="0" borderId="47" xfId="7" applyNumberFormat="1" applyFont="1" applyBorder="1" applyAlignment="1">
      <alignment horizontal="center" vertical="center"/>
    </xf>
    <xf numFmtId="1" fontId="17" fillId="0" borderId="47" xfId="7" applyNumberFormat="1" applyFont="1" applyBorder="1" applyAlignment="1">
      <alignment horizontal="center" vertical="center"/>
    </xf>
    <xf numFmtId="176" fontId="17" fillId="0" borderId="129" xfId="7" applyNumberFormat="1" applyFont="1" applyBorder="1" applyAlignment="1">
      <alignment horizontal="center" vertical="center"/>
    </xf>
    <xf numFmtId="0" fontId="17" fillId="0" borderId="46" xfId="7" applyFont="1" applyBorder="1" applyAlignment="1">
      <alignment horizontal="center" vertical="center"/>
    </xf>
    <xf numFmtId="0" fontId="17" fillId="0" borderId="130" xfId="7" applyFont="1" applyBorder="1" applyAlignment="1">
      <alignment horizontal="center" vertical="center"/>
    </xf>
    <xf numFmtId="0" fontId="17" fillId="0" borderId="45" xfId="7" applyFont="1" applyBorder="1" applyAlignment="1">
      <alignment horizontal="center" vertical="center"/>
    </xf>
    <xf numFmtId="0" fontId="17" fillId="0" borderId="128" xfId="7" applyFont="1" applyBorder="1" applyAlignment="1">
      <alignment horizontal="center" vertical="center"/>
    </xf>
    <xf numFmtId="0" fontId="17" fillId="0" borderId="64" xfId="9" applyFont="1" applyBorder="1" applyAlignment="1">
      <alignment horizontal="center" vertical="center"/>
    </xf>
    <xf numFmtId="2" fontId="17" fillId="0" borderId="45" xfId="7" applyNumberFormat="1" applyFont="1" applyBorder="1" applyAlignment="1">
      <alignment horizontal="center" vertical="center"/>
    </xf>
    <xf numFmtId="167" fontId="17" fillId="0" borderId="45" xfId="7" applyNumberFormat="1" applyFont="1" applyBorder="1" applyAlignment="1">
      <alignment horizontal="center" vertical="center"/>
    </xf>
    <xf numFmtId="0" fontId="27" fillId="0" borderId="91" xfId="9" applyFont="1" applyBorder="1" applyAlignment="1">
      <alignment horizontal="center" vertical="center"/>
    </xf>
    <xf numFmtId="0" fontId="27" fillId="14" borderId="91" xfId="9" applyFont="1" applyFill="1" applyBorder="1" applyAlignment="1">
      <alignment horizontal="center" vertical="center"/>
    </xf>
    <xf numFmtId="0" fontId="22" fillId="18" borderId="36" xfId="7" applyFont="1" applyFill="1" applyBorder="1" applyAlignment="1">
      <alignment horizontal="center" vertical="center"/>
    </xf>
    <xf numFmtId="0" fontId="22" fillId="0" borderId="38" xfId="7" applyFont="1" applyBorder="1" applyAlignment="1">
      <alignment horizontal="center" vertical="center"/>
    </xf>
    <xf numFmtId="0" fontId="22" fillId="0" borderId="38" xfId="7" applyFont="1" applyBorder="1" applyAlignment="1">
      <alignment horizontal="left" vertical="center" wrapText="1"/>
    </xf>
    <xf numFmtId="0" fontId="17" fillId="0" borderId="38" xfId="7" applyFont="1" applyBorder="1" applyAlignment="1">
      <alignment horizontal="center" vertical="center"/>
    </xf>
    <xf numFmtId="0" fontId="17" fillId="0" borderId="132" xfId="7" applyFont="1" applyBorder="1" applyAlignment="1">
      <alignment horizontal="center" vertical="center"/>
    </xf>
    <xf numFmtId="1" fontId="27" fillId="2" borderId="133" xfId="7" applyNumberFormat="1" applyFont="1" applyFill="1" applyBorder="1" applyAlignment="1">
      <alignment horizontal="center" vertical="center"/>
    </xf>
    <xf numFmtId="1" fontId="27" fillId="2" borderId="134" xfId="7" applyNumberFormat="1" applyFont="1" applyFill="1" applyBorder="1" applyAlignment="1">
      <alignment horizontal="center" vertical="center"/>
    </xf>
    <xf numFmtId="172" fontId="27" fillId="2" borderId="134" xfId="7" applyNumberFormat="1" applyFont="1" applyFill="1" applyBorder="1" applyAlignment="1">
      <alignment horizontal="center" vertical="center"/>
    </xf>
    <xf numFmtId="173" fontId="22" fillId="0" borderId="135" xfId="7" applyNumberFormat="1" applyFont="1" applyBorder="1" applyAlignment="1">
      <alignment horizontal="center" vertical="center"/>
    </xf>
    <xf numFmtId="1" fontId="22" fillId="0" borderId="36" xfId="7" applyNumberFormat="1" applyFont="1" applyBorder="1" applyAlignment="1">
      <alignment horizontal="center" vertical="center"/>
    </xf>
    <xf numFmtId="0" fontId="22" fillId="0" borderId="39" xfId="7" applyFont="1" applyBorder="1" applyAlignment="1">
      <alignment horizontal="center" vertical="center"/>
    </xf>
    <xf numFmtId="1" fontId="27" fillId="0" borderId="26" xfId="7" applyNumberFormat="1" applyFont="1" applyBorder="1" applyAlignment="1">
      <alignment horizontal="center" vertical="center"/>
    </xf>
    <xf numFmtId="1" fontId="27" fillId="0" borderId="27" xfId="7" applyNumberFormat="1" applyFont="1" applyBorder="1" applyAlignment="1">
      <alignment horizontal="center" vertical="center"/>
    </xf>
    <xf numFmtId="0" fontId="17" fillId="0" borderId="38" xfId="7" applyFont="1" applyBorder="1" applyAlignment="1">
      <alignment horizontal="center" vertical="center" wrapText="1"/>
    </xf>
    <xf numFmtId="174" fontId="17" fillId="0" borderId="38" xfId="7" applyNumberFormat="1" applyFont="1" applyBorder="1" applyAlignment="1">
      <alignment horizontal="center" vertical="center"/>
    </xf>
    <xf numFmtId="175" fontId="17" fillId="0" borderId="38" xfId="7" applyNumberFormat="1" applyFont="1" applyBorder="1" applyAlignment="1">
      <alignment horizontal="center" vertical="center"/>
    </xf>
    <xf numFmtId="1" fontId="17" fillId="0" borderId="38" xfId="7" applyNumberFormat="1" applyFont="1" applyBorder="1" applyAlignment="1">
      <alignment horizontal="center" vertical="center"/>
    </xf>
    <xf numFmtId="176" fontId="17" fillId="0" borderId="134" xfId="7" applyNumberFormat="1" applyFont="1" applyBorder="1" applyAlignment="1">
      <alignment horizontal="center" vertical="center"/>
    </xf>
    <xf numFmtId="0" fontId="17" fillId="0" borderId="37" xfId="7" applyFont="1" applyBorder="1" applyAlignment="1">
      <alignment horizontal="center" vertical="center"/>
    </xf>
    <xf numFmtId="0" fontId="17" fillId="0" borderId="27" xfId="7" applyFont="1" applyBorder="1" applyAlignment="1">
      <alignment horizontal="center" vertical="center"/>
    </xf>
    <xf numFmtId="0" fontId="17" fillId="0" borderId="36" xfId="7" applyFont="1" applyBorder="1" applyAlignment="1">
      <alignment horizontal="center" vertical="center"/>
    </xf>
    <xf numFmtId="0" fontId="17" fillId="0" borderId="133" xfId="7" applyFont="1" applyBorder="1" applyAlignment="1">
      <alignment horizontal="center" vertical="center"/>
    </xf>
    <xf numFmtId="0" fontId="16" fillId="0" borderId="100" xfId="9" applyFont="1" applyBorder="1" applyAlignment="1">
      <alignment horizontal="center" vertical="center"/>
    </xf>
    <xf numFmtId="2" fontId="17" fillId="0" borderId="36" xfId="7" applyNumberFormat="1" applyFont="1" applyBorder="1" applyAlignment="1">
      <alignment horizontal="center" vertical="center"/>
    </xf>
    <xf numFmtId="167" fontId="17" fillId="0" borderId="36" xfId="7" applyNumberFormat="1" applyFont="1" applyBorder="1" applyAlignment="1">
      <alignment horizontal="center" vertical="center"/>
    </xf>
    <xf numFmtId="0" fontId="27" fillId="12" borderId="116" xfId="9" applyFont="1" applyFill="1" applyBorder="1" applyAlignment="1">
      <alignment horizontal="center" vertical="center"/>
    </xf>
    <xf numFmtId="0" fontId="36" fillId="19" borderId="40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left" vertical="center" wrapText="1"/>
    </xf>
    <xf numFmtId="0" fontId="36" fillId="19" borderId="101" xfId="7" applyFont="1" applyFill="1" applyBorder="1" applyAlignment="1">
      <alignment horizontal="center" vertical="center"/>
    </xf>
    <xf numFmtId="0" fontId="37" fillId="19" borderId="42" xfId="7" applyFont="1" applyFill="1" applyBorder="1" applyAlignment="1">
      <alignment horizontal="center" vertical="center"/>
    </xf>
    <xf numFmtId="0" fontId="37" fillId="0" borderId="34" xfId="7" applyFont="1" applyBorder="1" applyAlignment="1">
      <alignment horizontal="center" vertical="center"/>
    </xf>
    <xf numFmtId="1" fontId="39" fillId="19" borderId="118" xfId="7" applyNumberFormat="1" applyFont="1" applyFill="1" applyBorder="1" applyAlignment="1">
      <alignment horizontal="center" vertical="center"/>
    </xf>
    <xf numFmtId="1" fontId="39" fillId="19" borderId="119" xfId="7" applyNumberFormat="1" applyFont="1" applyFill="1" applyBorder="1" applyAlignment="1">
      <alignment horizontal="center" vertical="center"/>
    </xf>
    <xf numFmtId="172" fontId="39" fillId="19" borderId="119" xfId="7" applyNumberFormat="1" applyFont="1" applyFill="1" applyBorder="1" applyAlignment="1">
      <alignment horizontal="center" vertical="center"/>
    </xf>
    <xf numFmtId="1" fontId="36" fillId="0" borderId="46" xfId="7" applyNumberFormat="1" applyFont="1" applyBorder="1" applyAlignment="1">
      <alignment horizontal="center" vertical="center"/>
    </xf>
    <xf numFmtId="173" fontId="36" fillId="0" borderId="136" xfId="7" applyNumberFormat="1" applyFont="1" applyBorder="1" applyAlignment="1">
      <alignment horizontal="center" vertical="center"/>
    </xf>
    <xf numFmtId="1" fontId="36" fillId="0" borderId="40" xfId="7" applyNumberFormat="1" applyFont="1" applyBorder="1" applyAlignment="1">
      <alignment horizontal="center" vertical="center"/>
    </xf>
    <xf numFmtId="0" fontId="36" fillId="0" borderId="43" xfId="7" applyFont="1" applyBorder="1" applyAlignment="1">
      <alignment horizontal="center" vertical="center"/>
    </xf>
    <xf numFmtId="1" fontId="39" fillId="19" borderId="44" xfId="7" applyNumberFormat="1" applyFont="1" applyFill="1" applyBorder="1" applyAlignment="1">
      <alignment horizontal="center" vertical="center"/>
    </xf>
    <xf numFmtId="1" fontId="27" fillId="0" borderId="44" xfId="7" applyNumberFormat="1" applyFont="1" applyBorder="1" applyAlignment="1">
      <alignment horizontal="center" vertical="center"/>
    </xf>
    <xf numFmtId="1" fontId="27" fillId="0" borderId="137" xfId="7" applyNumberFormat="1" applyFont="1" applyBorder="1" applyAlignment="1">
      <alignment horizontal="center" vertical="center"/>
    </xf>
    <xf numFmtId="1" fontId="31" fillId="20" borderId="117" xfId="7" applyNumberFormat="1" applyFont="1" applyFill="1" applyBorder="1" applyAlignment="1">
      <alignment horizontal="center" vertical="center"/>
    </xf>
    <xf numFmtId="0" fontId="17" fillId="0" borderId="42" xfId="7" applyFont="1" applyBorder="1" applyAlignment="1">
      <alignment horizontal="center" vertical="center" wrapText="1"/>
    </xf>
    <xf numFmtId="174" fontId="17" fillId="0" borderId="42" xfId="7" applyNumberFormat="1" applyFont="1" applyBorder="1" applyAlignment="1">
      <alignment horizontal="center" vertical="center"/>
    </xf>
    <xf numFmtId="0" fontId="17" fillId="0" borderId="42" xfId="7" applyFont="1" applyBorder="1" applyAlignment="1">
      <alignment horizontal="center" vertical="center"/>
    </xf>
    <xf numFmtId="175" fontId="17" fillId="0" borderId="42" xfId="7" applyNumberFormat="1" applyFont="1" applyBorder="1" applyAlignment="1">
      <alignment horizontal="center" vertical="center"/>
    </xf>
    <xf numFmtId="1" fontId="17" fillId="0" borderId="42" xfId="7" applyNumberFormat="1" applyFont="1" applyBorder="1" applyAlignment="1">
      <alignment horizontal="center" vertical="center"/>
    </xf>
    <xf numFmtId="176" fontId="17" fillId="0" borderId="138" xfId="7" applyNumberFormat="1" applyFont="1" applyBorder="1" applyAlignment="1">
      <alignment horizontal="center" vertical="center"/>
    </xf>
    <xf numFmtId="0" fontId="17" fillId="0" borderId="41" xfId="7" applyFont="1" applyBorder="1" applyAlignment="1">
      <alignment horizontal="center" vertical="center"/>
    </xf>
    <xf numFmtId="0" fontId="17" fillId="0" borderId="137" xfId="7" applyFont="1" applyBorder="1" applyAlignment="1">
      <alignment horizontal="center" vertical="center"/>
    </xf>
    <xf numFmtId="0" fontId="17" fillId="0" borderId="40" xfId="7" applyFont="1" applyBorder="1" applyAlignment="1">
      <alignment horizontal="center" vertical="center"/>
    </xf>
    <xf numFmtId="0" fontId="17" fillId="0" borderId="139" xfId="7" applyFont="1" applyBorder="1" applyAlignment="1">
      <alignment horizontal="center" vertical="center"/>
    </xf>
    <xf numFmtId="2" fontId="17" fillId="0" borderId="40" xfId="7" applyNumberFormat="1" applyFont="1" applyBorder="1" applyAlignment="1">
      <alignment horizontal="center" vertical="center"/>
    </xf>
    <xf numFmtId="167" fontId="17" fillId="0" borderId="40" xfId="7" applyNumberFormat="1" applyFont="1" applyBorder="1" applyAlignment="1">
      <alignment horizontal="center" vertical="center"/>
    </xf>
    <xf numFmtId="0" fontId="37" fillId="0" borderId="140" xfId="7" applyFont="1" applyBorder="1" applyAlignment="1">
      <alignment horizontal="center" vertical="center"/>
    </xf>
    <xf numFmtId="1" fontId="36" fillId="19" borderId="46" xfId="7" applyNumberFormat="1" applyFont="1" applyFill="1" applyBorder="1" applyAlignment="1">
      <alignment horizontal="center" vertical="center"/>
    </xf>
    <xf numFmtId="173" fontId="36" fillId="19" borderId="136" xfId="7" applyNumberFormat="1" applyFont="1" applyFill="1" applyBorder="1" applyAlignment="1">
      <alignment horizontal="center" vertical="center"/>
    </xf>
    <xf numFmtId="1" fontId="36" fillId="19" borderId="40" xfId="7" applyNumberFormat="1" applyFont="1" applyFill="1" applyBorder="1" applyAlignment="1">
      <alignment horizontal="center" vertical="center"/>
    </xf>
    <xf numFmtId="0" fontId="27" fillId="0" borderId="141" xfId="9" applyFont="1" applyBorder="1" applyAlignment="1">
      <alignment horizontal="center" vertical="center"/>
    </xf>
    <xf numFmtId="1" fontId="27" fillId="2" borderId="131" xfId="7" applyNumberFormat="1" applyFont="1" applyFill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" fontId="22" fillId="0" borderId="9" xfId="7" applyNumberFormat="1" applyFont="1" applyBorder="1" applyAlignment="1">
      <alignment horizontal="center" vertical="center"/>
    </xf>
    <xf numFmtId="0" fontId="27" fillId="14" borderId="116" xfId="9" applyFont="1" applyFill="1" applyBorder="1" applyAlignment="1">
      <alignment horizontal="center" vertical="center"/>
    </xf>
    <xf numFmtId="0" fontId="22" fillId="18" borderId="40" xfId="7" applyFont="1" applyFill="1" applyBorder="1" applyAlignment="1">
      <alignment horizontal="center" vertical="center"/>
    </xf>
    <xf numFmtId="0" fontId="22" fillId="0" borderId="42" xfId="7" applyFont="1" applyBorder="1" applyAlignment="1">
      <alignment horizontal="center" vertical="center"/>
    </xf>
    <xf numFmtId="0" fontId="22" fillId="0" borderId="42" xfId="7" applyFont="1" applyBorder="1" applyAlignment="1">
      <alignment horizontal="left" vertical="center" wrapText="1"/>
    </xf>
    <xf numFmtId="0" fontId="22" fillId="0" borderId="43" xfId="7" applyFont="1" applyBorder="1" applyAlignment="1">
      <alignment horizontal="center" vertical="center"/>
    </xf>
    <xf numFmtId="0" fontId="17" fillId="0" borderId="140" xfId="7" applyFont="1" applyBorder="1" applyAlignment="1">
      <alignment horizontal="center" vertical="center"/>
    </xf>
    <xf numFmtId="1" fontId="27" fillId="2" borderId="118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172" fontId="27" fillId="2" borderId="119" xfId="7" applyNumberFormat="1" applyFont="1" applyFill="1" applyBorder="1" applyAlignment="1">
      <alignment horizontal="center" vertical="center"/>
    </xf>
    <xf numFmtId="173" fontId="22" fillId="0" borderId="136" xfId="7" applyNumberFormat="1" applyFont="1" applyBorder="1" applyAlignment="1">
      <alignment horizontal="center" vertical="center"/>
    </xf>
    <xf numFmtId="1" fontId="22" fillId="0" borderId="40" xfId="7" applyNumberFormat="1" applyFont="1" applyBorder="1" applyAlignment="1">
      <alignment horizontal="center" vertical="center"/>
    </xf>
    <xf numFmtId="0" fontId="27" fillId="0" borderId="44" xfId="7" applyFont="1" applyBorder="1" applyAlignment="1">
      <alignment horizontal="center" vertical="center"/>
    </xf>
    <xf numFmtId="0" fontId="27" fillId="0" borderId="137" xfId="7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 wrapText="1"/>
    </xf>
    <xf numFmtId="0" fontId="27" fillId="12" borderId="141" xfId="9" applyFont="1" applyFill="1" applyBorder="1" applyAlignment="1">
      <alignment horizontal="center" vertical="center"/>
    </xf>
    <xf numFmtId="0" fontId="36" fillId="19" borderId="45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left" vertical="center" wrapText="1"/>
    </xf>
    <xf numFmtId="0" fontId="36" fillId="19" borderId="48" xfId="7" applyFont="1" applyFill="1" applyBorder="1" applyAlignment="1">
      <alignment horizontal="center" vertical="center"/>
    </xf>
    <xf numFmtId="0" fontId="37" fillId="19" borderId="47" xfId="7" applyFont="1" applyFill="1" applyBorder="1" applyAlignment="1">
      <alignment horizontal="center" vertical="center"/>
    </xf>
    <xf numFmtId="0" fontId="37" fillId="0" borderId="127" xfId="7" applyFont="1" applyBorder="1" applyAlignment="1">
      <alignment horizontal="center" vertical="center"/>
    </xf>
    <xf numFmtId="1" fontId="39" fillId="19" borderId="128" xfId="7" applyNumberFormat="1" applyFont="1" applyFill="1" applyBorder="1" applyAlignment="1">
      <alignment horizontal="center" vertical="center"/>
    </xf>
    <xf numFmtId="172" fontId="39" fillId="19" borderId="129" xfId="7" applyNumberFormat="1" applyFont="1" applyFill="1" applyBorder="1" applyAlignment="1">
      <alignment horizontal="center" vertical="center"/>
    </xf>
    <xf numFmtId="1" fontId="36" fillId="19" borderId="9" xfId="7" applyNumberFormat="1" applyFont="1" applyFill="1" applyBorder="1" applyAlignment="1">
      <alignment horizontal="center" vertical="center"/>
    </xf>
    <xf numFmtId="173" fontId="36" fillId="19" borderId="120" xfId="7" applyNumberFormat="1" applyFont="1" applyFill="1" applyBorder="1" applyAlignment="1">
      <alignment horizontal="center" vertical="center"/>
    </xf>
    <xf numFmtId="1" fontId="36" fillId="19" borderId="45" xfId="7" applyNumberFormat="1" applyFont="1" applyFill="1" applyBorder="1" applyAlignment="1">
      <alignment horizontal="center" vertical="center"/>
    </xf>
    <xf numFmtId="0" fontId="36" fillId="0" borderId="48" xfId="7" applyFont="1" applyBorder="1" applyAlignment="1">
      <alignment horizontal="center" vertical="center"/>
    </xf>
    <xf numFmtId="1" fontId="39" fillId="19" borderId="49" xfId="7" applyNumberFormat="1" applyFont="1" applyFill="1" applyBorder="1" applyAlignment="1">
      <alignment horizontal="center" vertical="center"/>
    </xf>
    <xf numFmtId="0" fontId="27" fillId="12" borderId="115" xfId="9" applyFont="1" applyFill="1" applyBorder="1" applyAlignment="1">
      <alignment horizontal="center" vertical="center"/>
    </xf>
    <xf numFmtId="0" fontId="36" fillId="19" borderId="43" xfId="7" applyFont="1" applyFill="1" applyBorder="1" applyAlignment="1">
      <alignment horizontal="center" vertical="center"/>
    </xf>
    <xf numFmtId="0" fontId="27" fillId="12" borderId="123" xfId="9" applyFont="1" applyFill="1" applyBorder="1" applyAlignment="1">
      <alignment horizontal="center" vertical="center"/>
    </xf>
    <xf numFmtId="0" fontId="36" fillId="19" borderId="50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left" vertical="center" wrapText="1"/>
    </xf>
    <xf numFmtId="0" fontId="36" fillId="19" borderId="51" xfId="7" applyFont="1" applyFill="1" applyBorder="1" applyAlignment="1">
      <alignment horizontal="center" vertical="center"/>
    </xf>
    <xf numFmtId="0" fontId="37" fillId="19" borderId="1" xfId="7" applyFont="1" applyFill="1" applyBorder="1" applyAlignment="1">
      <alignment horizontal="center" vertical="center"/>
    </xf>
    <xf numFmtId="0" fontId="37" fillId="0" borderId="1" xfId="7" applyFont="1" applyBorder="1" applyAlignment="1">
      <alignment horizontal="center" vertical="center"/>
    </xf>
    <xf numFmtId="171" fontId="39" fillId="19" borderId="119" xfId="7" applyNumberFormat="1" applyFont="1" applyFill="1" applyBorder="1" applyAlignment="1">
      <alignment horizontal="center" vertical="center"/>
    </xf>
    <xf numFmtId="172" fontId="39" fillId="19" borderId="124" xfId="7" applyNumberFormat="1" applyFont="1" applyFill="1" applyBorder="1" applyAlignment="1">
      <alignment horizontal="center" vertical="center"/>
    </xf>
    <xf numFmtId="173" fontId="36" fillId="19" borderId="142" xfId="7" applyNumberFormat="1" applyFont="1" applyFill="1" applyBorder="1" applyAlignment="1">
      <alignment horizontal="center" vertical="center"/>
    </xf>
    <xf numFmtId="1" fontId="36" fillId="19" borderId="50" xfId="7" applyNumberFormat="1" applyFont="1" applyFill="1" applyBorder="1" applyAlignment="1">
      <alignment horizontal="center" vertical="center"/>
    </xf>
    <xf numFmtId="0" fontId="36" fillId="0" borderId="51" xfId="7" applyFont="1" applyBorder="1" applyAlignment="1">
      <alignment horizontal="center" vertical="center"/>
    </xf>
    <xf numFmtId="1" fontId="39" fillId="19" borderId="12" xfId="7" applyNumberFormat="1" applyFont="1" applyFill="1" applyBorder="1" applyAlignment="1">
      <alignment horizontal="center" vertical="center"/>
    </xf>
    <xf numFmtId="0" fontId="17" fillId="0" borderId="9" xfId="10" applyFont="1" applyBorder="1" applyAlignment="1">
      <alignment horizontal="center" vertical="center" wrapText="1"/>
    </xf>
    <xf numFmtId="1" fontId="22" fillId="0" borderId="131" xfId="7" applyNumberFormat="1" applyFont="1" applyBorder="1" applyAlignment="1">
      <alignment horizontal="center" vertical="center"/>
    </xf>
    <xf numFmtId="1" fontId="22" fillId="0" borderId="12" xfId="7" applyNumberFormat="1" applyFont="1" applyBorder="1" applyAlignment="1">
      <alignment horizontal="center" vertical="center"/>
    </xf>
    <xf numFmtId="0" fontId="27" fillId="14" borderId="1" xfId="9" applyFont="1" applyFill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0" fontId="36" fillId="0" borderId="45" xfId="7" applyFont="1" applyBorder="1" applyAlignment="1">
      <alignment horizontal="center" vertical="center"/>
    </xf>
    <xf numFmtId="0" fontId="36" fillId="17" borderId="47" xfId="7" applyFont="1" applyFill="1" applyBorder="1" applyAlignment="1">
      <alignment horizontal="center" vertical="center"/>
    </xf>
    <xf numFmtId="0" fontId="36" fillId="17" borderId="47" xfId="7" applyFont="1" applyFill="1" applyBorder="1" applyAlignment="1">
      <alignment horizontal="left" vertical="center" wrapText="1"/>
    </xf>
    <xf numFmtId="0" fontId="36" fillId="17" borderId="48" xfId="7" applyFont="1" applyFill="1" applyBorder="1" applyAlignment="1">
      <alignment horizontal="center" vertical="center"/>
    </xf>
    <xf numFmtId="0" fontId="37" fillId="17" borderId="47" xfId="7" applyFont="1" applyFill="1" applyBorder="1" applyAlignment="1">
      <alignment horizontal="center" vertical="center"/>
    </xf>
    <xf numFmtId="0" fontId="37" fillId="17" borderId="127" xfId="7" applyFont="1" applyFill="1" applyBorder="1" applyAlignment="1">
      <alignment horizontal="center" vertical="center"/>
    </xf>
    <xf numFmtId="1" fontId="39" fillId="17" borderId="128" xfId="7" applyNumberFormat="1" applyFont="1" applyFill="1" applyBorder="1" applyAlignment="1">
      <alignment horizontal="center" vertical="center"/>
    </xf>
    <xf numFmtId="1" fontId="39" fillId="17" borderId="129" xfId="7" applyNumberFormat="1" applyFont="1" applyFill="1" applyBorder="1" applyAlignment="1">
      <alignment horizontal="center" vertical="center"/>
    </xf>
    <xf numFmtId="171" fontId="39" fillId="17" borderId="129" xfId="7" applyNumberFormat="1" applyFont="1" applyFill="1" applyBorder="1" applyAlignment="1">
      <alignment horizontal="center" vertical="center"/>
    </xf>
    <xf numFmtId="172" fontId="39" fillId="17" borderId="129" xfId="7" applyNumberFormat="1" applyFont="1" applyFill="1" applyBorder="1" applyAlignment="1">
      <alignment horizontal="center" vertical="center"/>
    </xf>
    <xf numFmtId="1" fontId="36" fillId="17" borderId="46" xfId="7" applyNumberFormat="1" applyFont="1" applyFill="1" applyBorder="1" applyAlignment="1">
      <alignment horizontal="center" vertical="center"/>
    </xf>
    <xf numFmtId="173" fontId="36" fillId="17" borderId="120" xfId="7" applyNumberFormat="1" applyFont="1" applyFill="1" applyBorder="1" applyAlignment="1">
      <alignment horizontal="center" vertical="center"/>
    </xf>
    <xf numFmtId="1" fontId="36" fillId="17" borderId="45" xfId="7" applyNumberFormat="1" applyFont="1" applyFill="1" applyBorder="1" applyAlignment="1">
      <alignment horizontal="center" vertical="center"/>
    </xf>
    <xf numFmtId="1" fontId="39" fillId="17" borderId="119" xfId="7" applyNumberFormat="1" applyFont="1" applyFill="1" applyBorder="1" applyAlignment="1">
      <alignment horizontal="center" vertical="center"/>
    </xf>
    <xf numFmtId="1" fontId="39" fillId="17" borderId="49" xfId="7" applyNumberFormat="1" applyFont="1" applyFill="1" applyBorder="1" applyAlignment="1">
      <alignment horizontal="center" vertical="center"/>
    </xf>
    <xf numFmtId="0" fontId="36" fillId="0" borderId="40" xfId="7" applyFont="1" applyBorder="1" applyAlignment="1">
      <alignment horizontal="center" vertical="center"/>
    </xf>
    <xf numFmtId="0" fontId="36" fillId="17" borderId="42" xfId="7" applyFont="1" applyFill="1" applyBorder="1" applyAlignment="1">
      <alignment horizontal="center" vertical="center"/>
    </xf>
    <xf numFmtId="0" fontId="36" fillId="17" borderId="42" xfId="7" applyFont="1" applyFill="1" applyBorder="1" applyAlignment="1">
      <alignment horizontal="left" vertical="center" wrapText="1"/>
    </xf>
    <xf numFmtId="0" fontId="36" fillId="17" borderId="43" xfId="7" applyFont="1" applyFill="1" applyBorder="1" applyAlignment="1">
      <alignment horizontal="center" vertical="center"/>
    </xf>
    <xf numFmtId="0" fontId="37" fillId="17" borderId="42" xfId="7" applyFont="1" applyFill="1" applyBorder="1" applyAlignment="1">
      <alignment horizontal="center" vertical="center"/>
    </xf>
    <xf numFmtId="0" fontId="37" fillId="17" borderId="140" xfId="7" applyFont="1" applyFill="1" applyBorder="1" applyAlignment="1">
      <alignment horizontal="center" vertical="center"/>
    </xf>
    <xf numFmtId="1" fontId="39" fillId="17" borderId="118" xfId="7" applyNumberFormat="1" applyFont="1" applyFill="1" applyBorder="1" applyAlignment="1">
      <alignment horizontal="center" vertical="center"/>
    </xf>
    <xf numFmtId="171" fontId="39" fillId="17" borderId="119" xfId="7" applyNumberFormat="1" applyFont="1" applyFill="1" applyBorder="1" applyAlignment="1">
      <alignment horizontal="center" vertical="center"/>
    </xf>
    <xf numFmtId="172" fontId="39" fillId="17" borderId="119" xfId="7" applyNumberFormat="1" applyFont="1" applyFill="1" applyBorder="1" applyAlignment="1">
      <alignment horizontal="center" vertical="center"/>
    </xf>
    <xf numFmtId="173" fontId="36" fillId="17" borderId="136" xfId="7" applyNumberFormat="1" applyFont="1" applyFill="1" applyBorder="1" applyAlignment="1">
      <alignment horizontal="center" vertical="center"/>
    </xf>
    <xf numFmtId="1" fontId="36" fillId="17" borderId="40" xfId="7" applyNumberFormat="1" applyFont="1" applyFill="1" applyBorder="1" applyAlignment="1">
      <alignment horizontal="center" vertical="center"/>
    </xf>
    <xf numFmtId="1" fontId="39" fillId="17" borderId="44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left" vertical="center" wrapText="1"/>
    </xf>
    <xf numFmtId="0" fontId="36" fillId="12" borderId="48" xfId="7" applyFont="1" applyFill="1" applyBorder="1" applyAlignment="1">
      <alignment horizontal="center" vertical="center"/>
    </xf>
    <xf numFmtId="0" fontId="37" fillId="12" borderId="47" xfId="7" applyFont="1" applyFill="1" applyBorder="1" applyAlignment="1">
      <alignment horizontal="center" vertical="center"/>
    </xf>
    <xf numFmtId="0" fontId="37" fillId="12" borderId="127" xfId="7" applyFont="1" applyFill="1" applyBorder="1" applyAlignment="1">
      <alignment horizontal="center" vertical="center"/>
    </xf>
    <xf numFmtId="1" fontId="39" fillId="12" borderId="128" xfId="7" applyNumberFormat="1" applyFont="1" applyFill="1" applyBorder="1" applyAlignment="1">
      <alignment horizontal="center" vertical="center"/>
    </xf>
    <xf numFmtId="1" fontId="39" fillId="12" borderId="129" xfId="7" applyNumberFormat="1" applyFont="1" applyFill="1" applyBorder="1" applyAlignment="1">
      <alignment horizontal="center" vertical="center"/>
    </xf>
    <xf numFmtId="171" fontId="39" fillId="12" borderId="129" xfId="7" applyNumberFormat="1" applyFont="1" applyFill="1" applyBorder="1" applyAlignment="1">
      <alignment horizontal="center" vertical="center"/>
    </xf>
    <xf numFmtId="172" fontId="39" fillId="12" borderId="129" xfId="7" applyNumberFormat="1" applyFont="1" applyFill="1" applyBorder="1" applyAlignment="1">
      <alignment horizontal="center" vertical="center"/>
    </xf>
    <xf numFmtId="1" fontId="36" fillId="12" borderId="46" xfId="7" applyNumberFormat="1" applyFont="1" applyFill="1" applyBorder="1" applyAlignment="1">
      <alignment horizontal="center" vertical="center"/>
    </xf>
    <xf numFmtId="1" fontId="39" fillId="12" borderId="49" xfId="7" applyNumberFormat="1" applyFont="1" applyFill="1" applyBorder="1" applyAlignment="1">
      <alignment horizontal="center" vertical="center"/>
    </xf>
    <xf numFmtId="1" fontId="36" fillId="17" borderId="9" xfId="7" applyNumberFormat="1" applyFont="1" applyFill="1" applyBorder="1" applyAlignment="1">
      <alignment horizontal="center" vertical="center"/>
    </xf>
    <xf numFmtId="0" fontId="36" fillId="0" borderId="50" xfId="7" applyFont="1" applyBorder="1" applyAlignment="1">
      <alignment horizontal="center" vertical="center"/>
    </xf>
    <xf numFmtId="0" fontId="36" fillId="17" borderId="1" xfId="7" applyFont="1" applyFill="1" applyBorder="1" applyAlignment="1">
      <alignment horizontal="center" vertical="center"/>
    </xf>
    <xf numFmtId="0" fontId="36" fillId="17" borderId="1" xfId="7" applyFont="1" applyFill="1" applyBorder="1" applyAlignment="1">
      <alignment horizontal="left" vertical="center" wrapText="1"/>
    </xf>
    <xf numFmtId="0" fontId="36" fillId="17" borderId="51" xfId="7" applyFont="1" applyFill="1" applyBorder="1" applyAlignment="1">
      <alignment horizontal="center" vertical="center"/>
    </xf>
    <xf numFmtId="0" fontId="37" fillId="17" borderId="1" xfId="7" applyFont="1" applyFill="1" applyBorder="1" applyAlignment="1">
      <alignment horizontal="center" vertical="center"/>
    </xf>
    <xf numFmtId="172" fontId="39" fillId="17" borderId="124" xfId="7" applyNumberFormat="1" applyFont="1" applyFill="1" applyBorder="1" applyAlignment="1">
      <alignment horizontal="center" vertical="center"/>
    </xf>
    <xf numFmtId="173" fontId="36" fillId="17" borderId="142" xfId="7" applyNumberFormat="1" applyFont="1" applyFill="1" applyBorder="1" applyAlignment="1">
      <alignment horizontal="center" vertical="center"/>
    </xf>
    <xf numFmtId="1" fontId="36" fillId="17" borderId="50" xfId="7" applyNumberFormat="1" applyFont="1" applyFill="1" applyBorder="1" applyAlignment="1">
      <alignment horizontal="center" vertical="center"/>
    </xf>
    <xf numFmtId="173" fontId="22" fillId="0" borderId="142" xfId="9" applyNumberFormat="1" applyFont="1" applyBorder="1" applyAlignment="1">
      <alignment horizontal="center" vertical="center"/>
    </xf>
    <xf numFmtId="1" fontId="22" fillId="0" borderId="50" xfId="9" applyNumberFormat="1" applyFont="1" applyBorder="1" applyAlignment="1">
      <alignment horizontal="center" vertical="center"/>
    </xf>
    <xf numFmtId="0" fontId="22" fillId="0" borderId="42" xfId="9" applyFont="1" applyBorder="1" applyAlignment="1">
      <alignment horizontal="center" vertical="center"/>
    </xf>
    <xf numFmtId="1" fontId="27" fillId="9" borderId="117" xfId="7" applyNumberFormat="1" applyFont="1" applyFill="1" applyBorder="1" applyAlignment="1">
      <alignment horizontal="center" vertical="center"/>
    </xf>
    <xf numFmtId="1" fontId="27" fillId="2" borderId="119" xfId="7" applyNumberFormat="1" applyFont="1" applyFill="1" applyBorder="1" applyAlignment="1">
      <alignment horizontal="center" vertical="center"/>
    </xf>
    <xf numFmtId="0" fontId="17" fillId="0" borderId="98" xfId="0" applyFont="1" applyBorder="1" applyAlignment="1">
      <alignment horizontal="center" vertical="center"/>
    </xf>
    <xf numFmtId="0" fontId="27" fillId="11" borderId="143" xfId="9" applyFont="1" applyFill="1" applyBorder="1" applyAlignment="1">
      <alignment horizontal="center" vertical="center"/>
    </xf>
    <xf numFmtId="0" fontId="22" fillId="18" borderId="64" xfId="7" applyFont="1" applyFill="1" applyBorder="1" applyAlignment="1">
      <alignment horizontal="center" vertical="center"/>
    </xf>
    <xf numFmtId="0" fontId="22" fillId="0" borderId="99" xfId="7" applyFont="1" applyBorder="1" applyAlignment="1">
      <alignment horizontal="center" vertical="center"/>
    </xf>
    <xf numFmtId="0" fontId="22" fillId="0" borderId="99" xfId="7" applyFont="1" applyBorder="1" applyAlignment="1">
      <alignment horizontal="left" vertical="center" wrapText="1"/>
    </xf>
    <xf numFmtId="0" fontId="22" fillId="0" borderId="144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/>
    </xf>
    <xf numFmtId="0" fontId="17" fillId="15" borderId="99" xfId="7" applyFont="1" applyFill="1" applyBorder="1" applyAlignment="1">
      <alignment horizontal="center" vertical="center"/>
    </xf>
    <xf numFmtId="1" fontId="27" fillId="2" borderId="97" xfId="7" applyNumberFormat="1" applyFont="1" applyFill="1" applyBorder="1" applyAlignment="1">
      <alignment horizontal="center" vertical="center"/>
    </xf>
    <xf numFmtId="172" fontId="27" fillId="2" borderId="145" xfId="7" applyNumberFormat="1" applyFont="1" applyFill="1" applyBorder="1" applyAlignment="1">
      <alignment horizontal="center" vertical="center"/>
    </xf>
    <xf numFmtId="173" fontId="22" fillId="21" borderId="146" xfId="7" applyNumberFormat="1" applyFont="1" applyFill="1" applyBorder="1" applyAlignment="1">
      <alignment horizontal="center" vertical="center"/>
    </xf>
    <xf numFmtId="1" fontId="22" fillId="0" borderId="64" xfId="7" applyNumberFormat="1" applyFont="1" applyBorder="1" applyAlignment="1">
      <alignment horizontal="center" vertical="center"/>
    </xf>
    <xf numFmtId="1" fontId="27" fillId="0" borderId="131" xfId="7" applyNumberFormat="1" applyFont="1" applyBorder="1" applyAlignment="1">
      <alignment horizontal="center" vertical="center"/>
    </xf>
    <xf numFmtId="0" fontId="27" fillId="0" borderId="131" xfId="7" applyFont="1" applyBorder="1" applyAlignment="1">
      <alignment horizontal="center" vertical="center"/>
    </xf>
    <xf numFmtId="0" fontId="27" fillId="0" borderId="98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 wrapText="1"/>
    </xf>
    <xf numFmtId="174" fontId="17" fillId="0" borderId="99" xfId="7" applyNumberFormat="1" applyFont="1" applyBorder="1" applyAlignment="1">
      <alignment horizontal="center" vertical="center"/>
    </xf>
    <xf numFmtId="175" fontId="17" fillId="0" borderId="99" xfId="7" applyNumberFormat="1" applyFont="1" applyBorder="1" applyAlignment="1">
      <alignment horizontal="center" vertical="center"/>
    </xf>
    <xf numFmtId="1" fontId="17" fillId="0" borderId="99" xfId="7" applyNumberFormat="1" applyFont="1" applyBorder="1" applyAlignment="1">
      <alignment horizontal="center" vertical="center"/>
    </xf>
    <xf numFmtId="176" fontId="17" fillId="0" borderId="145" xfId="7" applyNumberFormat="1" applyFont="1" applyBorder="1" applyAlignment="1">
      <alignment horizontal="center" vertical="center"/>
    </xf>
    <xf numFmtId="0" fontId="17" fillId="0" borderId="65" xfId="7" applyFont="1" applyBorder="1" applyAlignment="1">
      <alignment horizontal="center" vertical="center"/>
    </xf>
    <xf numFmtId="0" fontId="17" fillId="0" borderId="98" xfId="7" applyFont="1" applyBorder="1" applyAlignment="1">
      <alignment horizontal="center" vertical="center"/>
    </xf>
    <xf numFmtId="0" fontId="17" fillId="0" borderId="64" xfId="7" applyFont="1" applyBorder="1" applyAlignment="1">
      <alignment horizontal="center" vertical="center"/>
    </xf>
    <xf numFmtId="0" fontId="17" fillId="0" borderId="147" xfId="7" applyFont="1" applyBorder="1" applyAlignment="1">
      <alignment horizontal="center" vertical="center"/>
    </xf>
    <xf numFmtId="2" fontId="17" fillId="0" borderId="64" xfId="7" applyNumberFormat="1" applyFont="1" applyBorder="1" applyAlignment="1">
      <alignment horizontal="center" vertical="center"/>
    </xf>
    <xf numFmtId="167" fontId="17" fillId="0" borderId="64" xfId="7" applyNumberFormat="1" applyFont="1" applyBorder="1" applyAlignment="1">
      <alignment horizontal="center" vertical="center"/>
    </xf>
    <xf numFmtId="16" fontId="27" fillId="11" borderId="143" xfId="9" quotePrefix="1" applyNumberFormat="1" applyFont="1" applyFill="1" applyBorder="1" applyAlignment="1">
      <alignment horizontal="center" vertical="center"/>
    </xf>
    <xf numFmtId="173" fontId="22" fillId="0" borderId="146" xfId="7" applyNumberFormat="1" applyFont="1" applyBorder="1" applyAlignment="1">
      <alignment horizontal="center" vertical="center"/>
    </xf>
    <xf numFmtId="0" fontId="17" fillId="0" borderId="11" xfId="9" applyFont="1" applyBorder="1" applyAlignment="1">
      <alignment horizontal="center" vertical="center"/>
    </xf>
    <xf numFmtId="0" fontId="36" fillId="0" borderId="50" xfId="9" applyFont="1" applyBorder="1" applyAlignment="1">
      <alignment horizontal="center" vertical="center"/>
    </xf>
    <xf numFmtId="0" fontId="36" fillId="17" borderId="1" xfId="9" applyFont="1" applyFill="1" applyBorder="1" applyAlignment="1">
      <alignment horizontal="center" vertical="center"/>
    </xf>
    <xf numFmtId="0" fontId="36" fillId="17" borderId="1" xfId="9" applyFont="1" applyFill="1" applyBorder="1" applyAlignment="1">
      <alignment horizontal="left" vertical="center" wrapText="1"/>
    </xf>
    <xf numFmtId="0" fontId="36" fillId="17" borderId="51" xfId="9" applyFont="1" applyFill="1" applyBorder="1" applyAlignment="1">
      <alignment horizontal="center" vertical="center"/>
    </xf>
    <xf numFmtId="0" fontId="37" fillId="17" borderId="1" xfId="9" applyFont="1" applyFill="1" applyBorder="1" applyAlignment="1">
      <alignment horizontal="center" vertical="center"/>
    </xf>
    <xf numFmtId="172" fontId="39" fillId="17" borderId="124" xfId="9" applyNumberFormat="1" applyFont="1" applyFill="1" applyBorder="1" applyAlignment="1">
      <alignment horizontal="center" vertical="center"/>
    </xf>
    <xf numFmtId="173" fontId="36" fillId="17" borderId="142" xfId="9" applyNumberFormat="1" applyFont="1" applyFill="1" applyBorder="1" applyAlignment="1">
      <alignment horizontal="center" vertical="center"/>
    </xf>
    <xf numFmtId="1" fontId="36" fillId="17" borderId="50" xfId="9" applyNumberFormat="1" applyFont="1" applyFill="1" applyBorder="1" applyAlignment="1">
      <alignment horizontal="center" vertical="center"/>
    </xf>
    <xf numFmtId="1" fontId="39" fillId="17" borderId="12" xfId="9" applyNumberFormat="1" applyFont="1" applyFill="1" applyBorder="1" applyAlignment="1">
      <alignment horizontal="center" vertical="center"/>
    </xf>
    <xf numFmtId="0" fontId="27" fillId="0" borderId="12" xfId="9" applyFont="1" applyBorder="1" applyAlignment="1">
      <alignment horizontal="center" vertical="center"/>
    </xf>
    <xf numFmtId="0" fontId="27" fillId="0" borderId="125" xfId="9" applyFont="1" applyBorder="1" applyAlignment="1">
      <alignment horizontal="center" vertical="center"/>
    </xf>
    <xf numFmtId="1" fontId="31" fillId="17" borderId="117" xfId="7" applyNumberFormat="1" applyFont="1" applyFill="1" applyBorder="1" applyAlignment="1">
      <alignment horizontal="center" vertical="center"/>
    </xf>
    <xf numFmtId="0" fontId="17" fillId="0" borderId="1" xfId="9" applyFont="1" applyBorder="1" applyAlignment="1">
      <alignment horizontal="center" vertical="center" wrapText="1"/>
    </xf>
    <xf numFmtId="174" fontId="17" fillId="0" borderId="1" xfId="9" applyNumberFormat="1" applyFont="1" applyBorder="1" applyAlignment="1">
      <alignment horizontal="center" vertical="center"/>
    </xf>
    <xf numFmtId="0" fontId="17" fillId="0" borderId="1" xfId="9" applyFont="1" applyBorder="1" applyAlignment="1">
      <alignment horizontal="center" vertical="center"/>
    </xf>
    <xf numFmtId="175" fontId="17" fillId="0" borderId="1" xfId="9" applyNumberFormat="1" applyFont="1" applyBorder="1" applyAlignment="1">
      <alignment horizontal="center" vertical="center"/>
    </xf>
    <xf numFmtId="1" fontId="17" fillId="0" borderId="1" xfId="9" applyNumberFormat="1" applyFont="1" applyBorder="1" applyAlignment="1">
      <alignment horizontal="center" vertical="center"/>
    </xf>
    <xf numFmtId="176" fontId="17" fillId="0" borderId="124" xfId="9" applyNumberFormat="1" applyFont="1" applyBorder="1" applyAlignment="1">
      <alignment horizontal="center" vertical="center"/>
    </xf>
    <xf numFmtId="0" fontId="17" fillId="0" borderId="125" xfId="9" applyFont="1" applyBorder="1" applyAlignment="1">
      <alignment horizontal="center" vertical="center"/>
    </xf>
    <xf numFmtId="0" fontId="17" fillId="0" borderId="126" xfId="9" applyFont="1" applyBorder="1" applyAlignment="1">
      <alignment horizontal="center" vertical="center"/>
    </xf>
    <xf numFmtId="2" fontId="17" fillId="0" borderId="50" xfId="9" applyNumberFormat="1" applyFont="1" applyBorder="1" applyAlignment="1">
      <alignment horizontal="center" vertical="center"/>
    </xf>
    <xf numFmtId="167" fontId="17" fillId="0" borderId="50" xfId="9" applyNumberFormat="1" applyFont="1" applyBorder="1" applyAlignment="1">
      <alignment horizontal="center" vertical="center"/>
    </xf>
    <xf numFmtId="0" fontId="41" fillId="0" borderId="0" xfId="0" applyFont="1" applyAlignment="1">
      <alignment vertical="center"/>
    </xf>
    <xf numFmtId="0" fontId="17" fillId="0" borderId="148" xfId="7" applyFont="1" applyBorder="1" applyAlignment="1">
      <alignment horizontal="center" vertical="center"/>
    </xf>
    <xf numFmtId="0" fontId="27" fillId="11" borderId="149" xfId="9" applyFont="1" applyFill="1" applyBorder="1" applyAlignment="1">
      <alignment horizontal="center" vertical="center"/>
    </xf>
    <xf numFmtId="0" fontId="27" fillId="0" borderId="150" xfId="9" applyFont="1" applyBorder="1" applyAlignment="1">
      <alignment horizontal="center" vertical="center"/>
    </xf>
    <xf numFmtId="0" fontId="27" fillId="0" borderId="151" xfId="9" applyFont="1" applyBorder="1" applyAlignment="1">
      <alignment horizontal="center" vertical="center"/>
    </xf>
    <xf numFmtId="0" fontId="22" fillId="0" borderId="108" xfId="9" applyFont="1" applyBorder="1" applyAlignment="1">
      <alignment horizontal="center" vertical="center"/>
    </xf>
    <xf numFmtId="0" fontId="22" fillId="0" borderId="151" xfId="9" applyFont="1" applyBorder="1" applyAlignment="1">
      <alignment horizontal="center" vertical="center"/>
    </xf>
    <xf numFmtId="0" fontId="22" fillId="0" borderId="151" xfId="9" applyFont="1" applyBorder="1" applyAlignment="1">
      <alignment horizontal="left" vertical="center" wrapText="1"/>
    </xf>
    <xf numFmtId="0" fontId="22" fillId="0" borderId="152" xfId="9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/>
    </xf>
    <xf numFmtId="1" fontId="27" fillId="2" borderId="153" xfId="7" applyNumberFormat="1" applyFont="1" applyFill="1" applyBorder="1" applyAlignment="1">
      <alignment horizontal="center" vertical="center"/>
    </xf>
    <xf numFmtId="1" fontId="27" fillId="2" borderId="154" xfId="7" applyNumberFormat="1" applyFont="1" applyFill="1" applyBorder="1" applyAlignment="1">
      <alignment horizontal="center" vertical="center"/>
    </xf>
    <xf numFmtId="171" fontId="27" fillId="2" borderId="154" xfId="7" applyNumberFormat="1" applyFont="1" applyFill="1" applyBorder="1" applyAlignment="1">
      <alignment horizontal="center" vertical="center"/>
    </xf>
    <xf numFmtId="172" fontId="27" fillId="2" borderId="154" xfId="9" applyNumberFormat="1" applyFont="1" applyFill="1" applyBorder="1" applyAlignment="1">
      <alignment horizontal="center" vertical="center"/>
    </xf>
    <xf numFmtId="1" fontId="22" fillId="0" borderId="148" xfId="7" applyNumberFormat="1" applyFont="1" applyBorder="1" applyAlignment="1">
      <alignment horizontal="center" vertical="center"/>
    </xf>
    <xf numFmtId="173" fontId="22" fillId="0" borderId="155" xfId="9" applyNumberFormat="1" applyFont="1" applyBorder="1" applyAlignment="1">
      <alignment horizontal="center" vertical="center"/>
    </xf>
    <xf numFmtId="1" fontId="22" fillId="0" borderId="108" xfId="9" applyNumberFormat="1" applyFont="1" applyBorder="1" applyAlignment="1">
      <alignment horizontal="center" vertical="center"/>
    </xf>
    <xf numFmtId="1" fontId="27" fillId="0" borderId="156" xfId="9" applyNumberFormat="1" applyFont="1" applyBorder="1" applyAlignment="1">
      <alignment horizontal="center" vertical="center"/>
    </xf>
    <xf numFmtId="1" fontId="27" fillId="14" borderId="156" xfId="7" applyNumberFormat="1" applyFont="1" applyFill="1" applyBorder="1" applyAlignment="1">
      <alignment horizontal="center" vertical="center"/>
    </xf>
    <xf numFmtId="0" fontId="27" fillId="0" borderId="156" xfId="9" applyFont="1" applyBorder="1" applyAlignment="1">
      <alignment horizontal="center" vertical="center"/>
    </xf>
    <xf numFmtId="0" fontId="27" fillId="0" borderId="157" xfId="9" applyFont="1" applyBorder="1" applyAlignment="1">
      <alignment horizontal="center" vertical="center"/>
    </xf>
    <xf numFmtId="1" fontId="31" fillId="0" borderId="156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wrapText="1"/>
    </xf>
    <xf numFmtId="174" fontId="17" fillId="0" borderId="151" xfId="9" applyNumberFormat="1" applyFont="1" applyBorder="1" applyAlignment="1">
      <alignment horizontal="center" vertical="center"/>
    </xf>
    <xf numFmtId="175" fontId="17" fillId="0" borderId="151" xfId="9" applyNumberFormat="1" applyFont="1" applyBorder="1" applyAlignment="1">
      <alignment horizontal="center" vertical="center"/>
    </xf>
    <xf numFmtId="1" fontId="17" fillId="0" borderId="154" xfId="9" applyNumberFormat="1" applyFont="1" applyBorder="1" applyAlignment="1">
      <alignment horizontal="center" vertical="center"/>
    </xf>
    <xf numFmtId="0" fontId="17" fillId="0" borderId="148" xfId="9" applyFont="1" applyBorder="1" applyAlignment="1">
      <alignment horizontal="center" vertical="center"/>
    </xf>
    <xf numFmtId="0" fontId="17" fillId="0" borderId="157" xfId="9" applyFont="1" applyBorder="1" applyAlignment="1">
      <alignment horizontal="center" vertical="center"/>
    </xf>
    <xf numFmtId="0" fontId="17" fillId="0" borderId="108" xfId="9" applyFont="1" applyBorder="1" applyAlignment="1">
      <alignment horizontal="center" vertical="center"/>
    </xf>
    <xf numFmtId="0" fontId="17" fillId="0" borderId="153" xfId="9" applyFont="1" applyBorder="1" applyAlignment="1">
      <alignment horizontal="center" vertical="center"/>
    </xf>
    <xf numFmtId="167" fontId="17" fillId="0" borderId="108" xfId="9" applyNumberFormat="1" applyFont="1" applyBorder="1" applyAlignment="1">
      <alignment horizontal="center" vertical="center"/>
    </xf>
    <xf numFmtId="0" fontId="36" fillId="12" borderId="102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left" vertical="center" wrapText="1"/>
    </xf>
    <xf numFmtId="0" fontId="36" fillId="12" borderId="101" xfId="9" applyFont="1" applyFill="1" applyBorder="1" applyAlignment="1">
      <alignment horizontal="center" vertical="center"/>
    </xf>
    <xf numFmtId="0" fontId="37" fillId="12" borderId="158" xfId="9" applyFont="1" applyFill="1" applyBorder="1" applyAlignment="1">
      <alignment horizontal="center" vertical="center"/>
    </xf>
    <xf numFmtId="172" fontId="39" fillId="12" borderId="119" xfId="9" applyNumberFormat="1" applyFont="1" applyFill="1" applyBorder="1" applyAlignment="1">
      <alignment horizontal="center" vertical="center"/>
    </xf>
    <xf numFmtId="173" fontId="36" fillId="12" borderId="121" xfId="9" applyNumberFormat="1" applyFont="1" applyFill="1" applyBorder="1" applyAlignment="1">
      <alignment horizontal="center" vertical="center"/>
    </xf>
    <xf numFmtId="1" fontId="36" fillId="12" borderId="102" xfId="9" applyNumberFormat="1" applyFont="1" applyFill="1" applyBorder="1" applyAlignment="1">
      <alignment horizontal="center" vertical="center"/>
    </xf>
    <xf numFmtId="1" fontId="39" fillId="12" borderId="117" xfId="9" applyNumberFormat="1" applyFont="1" applyFill="1" applyBorder="1" applyAlignment="1">
      <alignment horizontal="center" vertical="center"/>
    </xf>
    <xf numFmtId="0" fontId="27" fillId="0" borderId="117" xfId="9" applyFont="1" applyBorder="1" applyAlignment="1">
      <alignment horizontal="center" vertical="center"/>
    </xf>
    <xf numFmtId="0" fontId="27" fillId="0" borderId="95" xfId="9" applyFont="1" applyBorder="1" applyAlignment="1">
      <alignment horizontal="center" vertical="center"/>
    </xf>
    <xf numFmtId="1" fontId="31" fillId="12" borderId="117" xfId="7" applyNumberFormat="1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 wrapText="1"/>
    </xf>
    <xf numFmtId="174" fontId="17" fillId="0" borderId="158" xfId="9" applyNumberFormat="1" applyFont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/>
    </xf>
    <xf numFmtId="175" fontId="17" fillId="0" borderId="158" xfId="9" applyNumberFormat="1" applyFont="1" applyBorder="1" applyAlignment="1">
      <alignment horizontal="center" vertical="center"/>
    </xf>
    <xf numFmtId="1" fontId="17" fillId="0" borderId="158" xfId="9" applyNumberFormat="1" applyFont="1" applyBorder="1" applyAlignment="1">
      <alignment horizontal="center" vertical="center"/>
    </xf>
    <xf numFmtId="176" fontId="17" fillId="0" borderId="159" xfId="9" applyNumberFormat="1" applyFont="1" applyBorder="1" applyAlignment="1">
      <alignment horizontal="center" vertical="center"/>
    </xf>
    <xf numFmtId="0" fontId="17" fillId="0" borderId="13" xfId="9" applyFont="1" applyBorder="1" applyAlignment="1">
      <alignment horizontal="center" vertical="center"/>
    </xf>
    <xf numFmtId="0" fontId="17" fillId="0" borderId="84" xfId="9" applyFont="1" applyBorder="1" applyAlignment="1">
      <alignment horizontal="center" vertical="center"/>
    </xf>
    <xf numFmtId="0" fontId="17" fillId="0" borderId="77" xfId="9" applyFont="1" applyBorder="1" applyAlignment="1">
      <alignment horizontal="center" vertical="center"/>
    </xf>
    <xf numFmtId="0" fontId="17" fillId="0" borderId="15" xfId="9" applyFont="1" applyBorder="1" applyAlignment="1">
      <alignment horizontal="center" vertical="center"/>
    </xf>
    <xf numFmtId="2" fontId="17" fillId="0" borderId="77" xfId="9" applyNumberFormat="1" applyFont="1" applyBorder="1" applyAlignment="1">
      <alignment horizontal="center" vertical="center"/>
    </xf>
    <xf numFmtId="167" fontId="17" fillId="0" borderId="77" xfId="9" applyNumberFormat="1" applyFont="1" applyBorder="1" applyAlignment="1">
      <alignment horizontal="center" vertical="center"/>
    </xf>
    <xf numFmtId="0" fontId="36" fillId="12" borderId="50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left" vertical="center" wrapText="1"/>
    </xf>
    <xf numFmtId="0" fontId="36" fillId="12" borderId="51" xfId="9" applyFont="1" applyFill="1" applyBorder="1" applyAlignment="1">
      <alignment horizontal="center" vertical="center"/>
    </xf>
    <xf numFmtId="0" fontId="37" fillId="12" borderId="1" xfId="9" applyFont="1" applyFill="1" applyBorder="1" applyAlignment="1">
      <alignment horizontal="center" vertical="center"/>
    </xf>
    <xf numFmtId="172" fontId="39" fillId="12" borderId="124" xfId="9" applyNumberFormat="1" applyFont="1" applyFill="1" applyBorder="1" applyAlignment="1">
      <alignment horizontal="center" vertical="center"/>
    </xf>
    <xf numFmtId="173" fontId="36" fillId="12" borderId="142" xfId="9" applyNumberFormat="1" applyFont="1" applyFill="1" applyBorder="1" applyAlignment="1">
      <alignment horizontal="center" vertical="center"/>
    </xf>
    <xf numFmtId="1" fontId="36" fillId="12" borderId="50" xfId="9" applyNumberFormat="1" applyFont="1" applyFill="1" applyBorder="1" applyAlignment="1">
      <alignment horizontal="center" vertical="center"/>
    </xf>
    <xf numFmtId="1" fontId="39" fillId="12" borderId="12" xfId="9" applyNumberFormat="1" applyFont="1" applyFill="1" applyBorder="1" applyAlignment="1">
      <alignment horizontal="center" vertical="center"/>
    </xf>
    <xf numFmtId="0" fontId="27" fillId="13" borderId="99" xfId="9" applyFont="1" applyFill="1" applyBorder="1" applyAlignment="1">
      <alignment horizontal="center" vertical="center"/>
    </xf>
    <xf numFmtId="0" fontId="36" fillId="0" borderId="45" xfId="9" applyFont="1" applyBorder="1" applyAlignment="1">
      <alignment horizontal="center" vertical="center"/>
    </xf>
    <xf numFmtId="0" fontId="36" fillId="12" borderId="47" xfId="9" applyFont="1" applyFill="1" applyBorder="1" applyAlignment="1">
      <alignment horizontal="center" vertical="center"/>
    </xf>
    <xf numFmtId="0" fontId="36" fillId="12" borderId="47" xfId="9" applyFont="1" applyFill="1" applyBorder="1" applyAlignment="1">
      <alignment horizontal="left" vertical="center" wrapText="1"/>
    </xf>
    <xf numFmtId="0" fontId="36" fillId="12" borderId="48" xfId="9" applyFont="1" applyFill="1" applyBorder="1" applyAlignment="1">
      <alignment horizontal="center" vertical="center"/>
    </xf>
    <xf numFmtId="0" fontId="37" fillId="12" borderId="47" xfId="9" applyFont="1" applyFill="1" applyBorder="1" applyAlignment="1">
      <alignment horizontal="center" vertical="center"/>
    </xf>
    <xf numFmtId="173" fontId="36" fillId="12" borderId="120" xfId="9" applyNumberFormat="1" applyFont="1" applyFill="1" applyBorder="1" applyAlignment="1">
      <alignment horizontal="center" vertical="center"/>
    </xf>
    <xf numFmtId="1" fontId="36" fillId="12" borderId="45" xfId="9" applyNumberFormat="1" applyFont="1" applyFill="1" applyBorder="1" applyAlignment="1">
      <alignment horizontal="center" vertical="center"/>
    </xf>
    <xf numFmtId="0" fontId="27" fillId="0" borderId="49" xfId="9" applyFont="1" applyBorder="1" applyAlignment="1">
      <alignment horizontal="center" vertical="center"/>
    </xf>
    <xf numFmtId="0" fontId="27" fillId="0" borderId="130" xfId="9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 wrapText="1"/>
    </xf>
    <xf numFmtId="174" fontId="17" fillId="0" borderId="47" xfId="9" applyNumberFormat="1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/>
    </xf>
    <xf numFmtId="175" fontId="17" fillId="0" borderId="47" xfId="9" applyNumberFormat="1" applyFont="1" applyBorder="1" applyAlignment="1">
      <alignment horizontal="center" vertical="center"/>
    </xf>
    <xf numFmtId="1" fontId="17" fillId="0" borderId="47" xfId="9" applyNumberFormat="1" applyFont="1" applyBorder="1" applyAlignment="1">
      <alignment horizontal="center" vertical="center"/>
    </xf>
    <xf numFmtId="176" fontId="17" fillId="0" borderId="129" xfId="9" applyNumberFormat="1" applyFont="1" applyBorder="1" applyAlignment="1">
      <alignment horizontal="center" vertical="center"/>
    </xf>
    <xf numFmtId="0" fontId="17" fillId="0" borderId="46" xfId="9" applyFont="1" applyBorder="1" applyAlignment="1">
      <alignment horizontal="center" vertical="center"/>
    </xf>
    <xf numFmtId="0" fontId="17" fillId="0" borderId="130" xfId="9" applyFont="1" applyBorder="1" applyAlignment="1">
      <alignment horizontal="center" vertical="center"/>
    </xf>
    <xf numFmtId="0" fontId="17" fillId="0" borderId="45" xfId="9" applyFont="1" applyBorder="1" applyAlignment="1">
      <alignment horizontal="center" vertical="center"/>
    </xf>
    <xf numFmtId="0" fontId="17" fillId="0" borderId="128" xfId="9" applyFont="1" applyBorder="1" applyAlignment="1">
      <alignment horizontal="center" vertical="center"/>
    </xf>
    <xf numFmtId="2" fontId="17" fillId="0" borderId="45" xfId="9" applyNumberFormat="1" applyFont="1" applyBorder="1" applyAlignment="1">
      <alignment horizontal="center" vertical="center"/>
    </xf>
    <xf numFmtId="167" fontId="17" fillId="0" borderId="45" xfId="9" applyNumberFormat="1" applyFont="1" applyBorder="1" applyAlignment="1">
      <alignment horizontal="center" vertical="center"/>
    </xf>
    <xf numFmtId="0" fontId="36" fillId="0" borderId="40" xfId="9" applyFont="1" applyBorder="1" applyAlignment="1">
      <alignment horizontal="center" vertical="center"/>
    </xf>
    <xf numFmtId="0" fontId="36" fillId="12" borderId="42" xfId="9" applyFont="1" applyFill="1" applyBorder="1" applyAlignment="1">
      <alignment horizontal="center" vertical="center"/>
    </xf>
    <xf numFmtId="0" fontId="36" fillId="12" borderId="42" xfId="9" applyFont="1" applyFill="1" applyBorder="1" applyAlignment="1">
      <alignment horizontal="left" vertical="center" wrapText="1"/>
    </xf>
    <xf numFmtId="0" fontId="36" fillId="12" borderId="43" xfId="9" applyFont="1" applyFill="1" applyBorder="1" applyAlignment="1">
      <alignment horizontal="center" vertical="center"/>
    </xf>
    <xf numFmtId="0" fontId="37" fillId="12" borderId="42" xfId="9" applyFont="1" applyFill="1" applyBorder="1" applyAlignment="1">
      <alignment horizontal="center" vertical="center"/>
    </xf>
    <xf numFmtId="173" fontId="36" fillId="12" borderId="136" xfId="9" applyNumberFormat="1" applyFont="1" applyFill="1" applyBorder="1" applyAlignment="1">
      <alignment horizontal="center" vertical="center"/>
    </xf>
    <xf numFmtId="1" fontId="36" fillId="12" borderId="40" xfId="9" applyNumberFormat="1" applyFont="1" applyFill="1" applyBorder="1" applyAlignment="1">
      <alignment horizontal="center" vertical="center"/>
    </xf>
    <xf numFmtId="0" fontId="36" fillId="12" borderId="43" xfId="7" applyFont="1" applyFill="1" applyBorder="1" applyAlignment="1">
      <alignment horizontal="center" vertical="center"/>
    </xf>
    <xf numFmtId="0" fontId="27" fillId="0" borderId="44" xfId="9" applyFont="1" applyBorder="1" applyAlignment="1">
      <alignment horizontal="center" vertical="center"/>
    </xf>
    <xf numFmtId="0" fontId="27" fillId="0" borderId="137" xfId="9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 wrapText="1"/>
    </xf>
    <xf numFmtId="174" fontId="17" fillId="0" borderId="42" xfId="9" applyNumberFormat="1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/>
    </xf>
    <xf numFmtId="175" fontId="17" fillId="0" borderId="42" xfId="9" applyNumberFormat="1" applyFont="1" applyBorder="1" applyAlignment="1">
      <alignment horizontal="center" vertical="center"/>
    </xf>
    <xf numFmtId="1" fontId="17" fillId="0" borderId="42" xfId="9" applyNumberFormat="1" applyFont="1" applyBorder="1" applyAlignment="1">
      <alignment horizontal="center" vertical="center"/>
    </xf>
    <xf numFmtId="176" fontId="17" fillId="0" borderId="138" xfId="9" applyNumberFormat="1" applyFont="1" applyBorder="1" applyAlignment="1">
      <alignment horizontal="center" vertical="center"/>
    </xf>
    <xf numFmtId="0" fontId="17" fillId="0" borderId="41" xfId="9" applyFont="1" applyBorder="1" applyAlignment="1">
      <alignment horizontal="center" vertical="center"/>
    </xf>
    <xf numFmtId="0" fontId="17" fillId="0" borderId="137" xfId="9" applyFont="1" applyBorder="1" applyAlignment="1">
      <alignment horizontal="center" vertical="center"/>
    </xf>
    <xf numFmtId="0" fontId="17" fillId="0" borderId="40" xfId="9" applyFont="1" applyBorder="1" applyAlignment="1">
      <alignment horizontal="center" vertical="center"/>
    </xf>
    <xf numFmtId="0" fontId="17" fillId="0" borderId="139" xfId="9" applyFont="1" applyBorder="1" applyAlignment="1">
      <alignment horizontal="center" vertical="center"/>
    </xf>
    <xf numFmtId="2" fontId="17" fillId="0" borderId="40" xfId="9" applyNumberFormat="1" applyFont="1" applyBorder="1" applyAlignment="1">
      <alignment horizontal="center" vertical="center"/>
    </xf>
    <xf numFmtId="167" fontId="17" fillId="0" borderId="40" xfId="9" applyNumberFormat="1" applyFont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 wrapText="1"/>
    </xf>
    <xf numFmtId="0" fontId="36" fillId="17" borderId="42" xfId="9" applyFont="1" applyFill="1" applyBorder="1" applyAlignment="1">
      <alignment horizontal="center" vertical="center"/>
    </xf>
    <xf numFmtId="0" fontId="36" fillId="17" borderId="42" xfId="9" applyFont="1" applyFill="1" applyBorder="1" applyAlignment="1">
      <alignment horizontal="left" vertical="center" wrapText="1"/>
    </xf>
    <xf numFmtId="0" fontId="36" fillId="17" borderId="43" xfId="9" applyFont="1" applyFill="1" applyBorder="1" applyAlignment="1">
      <alignment horizontal="center" vertical="center"/>
    </xf>
    <xf numFmtId="0" fontId="37" fillId="17" borderId="42" xfId="9" applyFont="1" applyFill="1" applyBorder="1" applyAlignment="1">
      <alignment horizontal="center" vertical="center"/>
    </xf>
    <xf numFmtId="172" fontId="39" fillId="17" borderId="138" xfId="9" applyNumberFormat="1" applyFont="1" applyFill="1" applyBorder="1" applyAlignment="1">
      <alignment horizontal="center" vertical="center"/>
    </xf>
    <xf numFmtId="173" fontId="36" fillId="17" borderId="136" xfId="9" applyNumberFormat="1" applyFont="1" applyFill="1" applyBorder="1" applyAlignment="1">
      <alignment horizontal="center" vertical="center"/>
    </xf>
    <xf numFmtId="1" fontId="36" fillId="17" borderId="40" xfId="9" applyNumberFormat="1" applyFont="1" applyFill="1" applyBorder="1" applyAlignment="1">
      <alignment horizontal="center" vertical="center"/>
    </xf>
    <xf numFmtId="0" fontId="17" fillId="0" borderId="16" xfId="11" applyFont="1" applyBorder="1" applyAlignment="1">
      <alignment horizontal="center" vertical="center" wrapText="1"/>
    </xf>
    <xf numFmtId="0" fontId="27" fillId="0" borderId="90" xfId="9" applyFont="1" applyBorder="1" applyAlignment="1">
      <alignment horizontal="center" vertical="center"/>
    </xf>
    <xf numFmtId="0" fontId="27" fillId="13" borderId="91" xfId="9" applyFont="1" applyFill="1" applyBorder="1" applyAlignment="1">
      <alignment horizontal="center" vertical="center"/>
    </xf>
    <xf numFmtId="0" fontId="36" fillId="0" borderId="36" xfId="9" applyFont="1" applyBorder="1" applyAlignment="1">
      <alignment horizontal="center" vertical="center"/>
    </xf>
    <xf numFmtId="0" fontId="36" fillId="12" borderId="38" xfId="9" applyFont="1" applyFill="1" applyBorder="1" applyAlignment="1">
      <alignment horizontal="center" vertical="center"/>
    </xf>
    <xf numFmtId="0" fontId="36" fillId="12" borderId="38" xfId="9" applyFont="1" applyFill="1" applyBorder="1" applyAlignment="1">
      <alignment horizontal="left" vertical="center" wrapText="1"/>
    </xf>
    <xf numFmtId="0" fontId="36" fillId="12" borderId="39" xfId="9" applyFont="1" applyFill="1" applyBorder="1" applyAlignment="1">
      <alignment horizontal="center" vertical="center"/>
    </xf>
    <xf numFmtId="0" fontId="37" fillId="12" borderId="38" xfId="9" applyFont="1" applyFill="1" applyBorder="1" applyAlignment="1">
      <alignment horizontal="center" vertical="center"/>
    </xf>
    <xf numFmtId="1" fontId="39" fillId="12" borderId="97" xfId="7" applyNumberFormat="1" applyFont="1" applyFill="1" applyBorder="1" applyAlignment="1">
      <alignment horizontal="center" vertical="center"/>
    </xf>
    <xf numFmtId="171" fontId="39" fillId="12" borderId="97" xfId="7" applyNumberFormat="1" applyFont="1" applyFill="1" applyBorder="1" applyAlignment="1">
      <alignment horizontal="center" vertical="center"/>
    </xf>
    <xf numFmtId="172" fontId="39" fillId="12" borderId="134" xfId="9" applyNumberFormat="1" applyFont="1" applyFill="1" applyBorder="1" applyAlignment="1">
      <alignment horizontal="center" vertical="center"/>
    </xf>
    <xf numFmtId="173" fontId="36" fillId="12" borderId="135" xfId="9" applyNumberFormat="1" applyFont="1" applyFill="1" applyBorder="1" applyAlignment="1">
      <alignment horizontal="center" vertical="center"/>
    </xf>
    <xf numFmtId="1" fontId="36" fillId="12" borderId="36" xfId="9" applyNumberFormat="1" applyFont="1" applyFill="1" applyBorder="1" applyAlignment="1">
      <alignment horizontal="center" vertical="center"/>
    </xf>
    <xf numFmtId="1" fontId="39" fillId="12" borderId="26" xfId="9" applyNumberFormat="1" applyFont="1" applyFill="1" applyBorder="1" applyAlignment="1">
      <alignment horizontal="center" vertical="center"/>
    </xf>
    <xf numFmtId="0" fontId="27" fillId="0" borderId="26" xfId="9" applyFont="1" applyBorder="1" applyAlignment="1">
      <alignment horizontal="center" vertical="center"/>
    </xf>
    <xf numFmtId="0" fontId="27" fillId="0" borderId="27" xfId="9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 wrapText="1"/>
    </xf>
    <xf numFmtId="174" fontId="17" fillId="0" borderId="38" xfId="9" applyNumberFormat="1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/>
    </xf>
    <xf numFmtId="175" fontId="17" fillId="0" borderId="38" xfId="9" applyNumberFormat="1" applyFont="1" applyBorder="1" applyAlignment="1">
      <alignment horizontal="center" vertical="center"/>
    </xf>
    <xf numFmtId="1" fontId="17" fillId="0" borderId="38" xfId="9" applyNumberFormat="1" applyFont="1" applyBorder="1" applyAlignment="1">
      <alignment horizontal="center" vertical="center"/>
    </xf>
    <xf numFmtId="176" fontId="17" fillId="0" borderId="134" xfId="9" applyNumberFormat="1" applyFont="1" applyBorder="1" applyAlignment="1">
      <alignment horizontal="center" vertical="center"/>
    </xf>
    <xf numFmtId="0" fontId="17" fillId="0" borderId="37" xfId="9" applyFont="1" applyBorder="1" applyAlignment="1">
      <alignment horizontal="center" vertical="center"/>
    </xf>
    <xf numFmtId="0" fontId="17" fillId="0" borderId="27" xfId="9" applyFont="1" applyBorder="1" applyAlignment="1">
      <alignment horizontal="center" vertical="center"/>
    </xf>
    <xf numFmtId="0" fontId="17" fillId="0" borderId="36" xfId="9" applyFont="1" applyBorder="1" applyAlignment="1">
      <alignment horizontal="center" vertical="center"/>
    </xf>
    <xf numFmtId="0" fontId="17" fillId="0" borderId="133" xfId="9" applyFont="1" applyBorder="1" applyAlignment="1">
      <alignment horizontal="center" vertical="center"/>
    </xf>
    <xf numFmtId="0" fontId="17" fillId="0" borderId="100" xfId="9" applyFont="1" applyBorder="1" applyAlignment="1">
      <alignment horizontal="center" vertical="center"/>
    </xf>
    <xf numFmtId="2" fontId="17" fillId="0" borderId="36" xfId="9" applyNumberFormat="1" applyFont="1" applyBorder="1" applyAlignment="1">
      <alignment horizontal="center" vertical="center"/>
    </xf>
    <xf numFmtId="167" fontId="17" fillId="0" borderId="36" xfId="9" applyNumberFormat="1" applyFont="1" applyBorder="1" applyAlignment="1">
      <alignment horizontal="center" vertical="center"/>
    </xf>
    <xf numFmtId="1" fontId="27" fillId="0" borderId="12" xfId="9" applyNumberFormat="1" applyFont="1" applyBorder="1" applyAlignment="1">
      <alignment horizontal="center" vertical="center"/>
    </xf>
    <xf numFmtId="0" fontId="22" fillId="17" borderId="51" xfId="9" applyFont="1" applyFill="1" applyBorder="1" applyAlignment="1">
      <alignment horizontal="center" vertical="center"/>
    </xf>
    <xf numFmtId="1" fontId="39" fillId="12" borderId="49" xfId="9" applyNumberFormat="1" applyFont="1" applyFill="1" applyBorder="1" applyAlignment="1">
      <alignment horizontal="center" vertical="center"/>
    </xf>
    <xf numFmtId="1" fontId="39" fillId="12" borderId="44" xfId="9" applyNumberFormat="1" applyFont="1" applyFill="1" applyBorder="1" applyAlignment="1">
      <alignment horizontal="center" vertical="center"/>
    </xf>
    <xf numFmtId="0" fontId="17" fillId="0" borderId="148" xfId="11" applyFont="1" applyBorder="1" applyAlignment="1">
      <alignment horizontal="center" vertical="center" wrapText="1"/>
    </xf>
    <xf numFmtId="0" fontId="27" fillId="11" borderId="106" xfId="9" applyFont="1" applyFill="1" applyBorder="1" applyAlignment="1">
      <alignment horizontal="center" vertical="center"/>
    </xf>
    <xf numFmtId="0" fontId="27" fillId="0" borderId="107" xfId="9" applyFont="1" applyBorder="1" applyAlignment="1">
      <alignment horizontal="center" vertical="center"/>
    </xf>
    <xf numFmtId="0" fontId="27" fillId="13" borderId="109" xfId="9" applyFont="1" applyFill="1" applyBorder="1" applyAlignment="1">
      <alignment horizontal="center" vertical="center"/>
    </xf>
    <xf numFmtId="0" fontId="27" fillId="0" borderId="109" xfId="9" applyFont="1" applyBorder="1" applyAlignment="1">
      <alignment horizontal="center" vertical="center"/>
    </xf>
    <xf numFmtId="0" fontId="36" fillId="0" borderId="53" xfId="9" applyFont="1" applyBorder="1" applyAlignment="1">
      <alignment horizontal="center" vertical="center"/>
    </xf>
    <xf numFmtId="0" fontId="36" fillId="17" borderId="54" xfId="9" applyFont="1" applyFill="1" applyBorder="1" applyAlignment="1">
      <alignment horizontal="center" vertical="center"/>
    </xf>
    <xf numFmtId="0" fontId="36" fillId="17" borderId="54" xfId="9" applyFont="1" applyFill="1" applyBorder="1" applyAlignment="1">
      <alignment horizontal="left" vertical="center" wrapText="1"/>
    </xf>
    <xf numFmtId="0" fontId="36" fillId="17" borderId="55" xfId="9" applyFont="1" applyFill="1" applyBorder="1" applyAlignment="1">
      <alignment horizontal="center" vertical="center"/>
    </xf>
    <xf numFmtId="0" fontId="37" fillId="17" borderId="54" xfId="9" applyFont="1" applyFill="1" applyBorder="1" applyAlignment="1">
      <alignment horizontal="center" vertical="center"/>
    </xf>
    <xf numFmtId="1" fontId="39" fillId="17" borderId="153" xfId="7" applyNumberFormat="1" applyFont="1" applyFill="1" applyBorder="1" applyAlignment="1">
      <alignment horizontal="center" vertical="center"/>
    </xf>
    <xf numFmtId="1" fontId="39" fillId="17" borderId="154" xfId="7" applyNumberFormat="1" applyFont="1" applyFill="1" applyBorder="1" applyAlignment="1">
      <alignment horizontal="center" vertical="center"/>
    </xf>
    <xf numFmtId="171" fontId="39" fillId="17" borderId="154" xfId="7" applyNumberFormat="1" applyFont="1" applyFill="1" applyBorder="1" applyAlignment="1">
      <alignment horizontal="center" vertical="center"/>
    </xf>
    <xf numFmtId="172" fontId="39" fillId="17" borderId="154" xfId="9" applyNumberFormat="1" applyFont="1" applyFill="1" applyBorder="1" applyAlignment="1">
      <alignment horizontal="center" vertical="center"/>
    </xf>
    <xf numFmtId="1" fontId="36" fillId="17" borderId="148" xfId="7" applyNumberFormat="1" applyFont="1" applyFill="1" applyBorder="1" applyAlignment="1">
      <alignment horizontal="center" vertical="center"/>
    </xf>
    <xf numFmtId="173" fontId="36" fillId="17" borderId="160" xfId="9" applyNumberFormat="1" applyFont="1" applyFill="1" applyBorder="1" applyAlignment="1">
      <alignment horizontal="center" vertical="center"/>
    </xf>
    <xf numFmtId="1" fontId="36" fillId="17" borderId="53" xfId="9" applyNumberFormat="1" applyFont="1" applyFill="1" applyBorder="1" applyAlignment="1">
      <alignment horizontal="center" vertical="center"/>
    </xf>
    <xf numFmtId="0" fontId="36" fillId="17" borderId="161" xfId="9" applyFont="1" applyFill="1" applyBorder="1" applyAlignment="1">
      <alignment horizontal="center" vertical="center"/>
    </xf>
    <xf numFmtId="0" fontId="36" fillId="17" borderId="162" xfId="9" applyFont="1" applyFill="1" applyBorder="1" applyAlignment="1">
      <alignment horizontal="center" vertical="center"/>
    </xf>
    <xf numFmtId="1" fontId="39" fillId="17" borderId="56" xfId="9" applyNumberFormat="1" applyFont="1" applyFill="1" applyBorder="1" applyAlignment="1">
      <alignment horizontal="center" vertical="center"/>
    </xf>
    <xf numFmtId="0" fontId="27" fillId="0" borderId="56" xfId="9" applyFont="1" applyBorder="1" applyAlignment="1">
      <alignment horizontal="center" vertical="center"/>
    </xf>
    <xf numFmtId="0" fontId="27" fillId="0" borderId="163" xfId="9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 wrapText="1"/>
    </xf>
    <xf numFmtId="174" fontId="17" fillId="0" borderId="54" xfId="9" applyNumberFormat="1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/>
    </xf>
    <xf numFmtId="175" fontId="17" fillId="0" borderId="54" xfId="9" applyNumberFormat="1" applyFont="1" applyBorder="1" applyAlignment="1">
      <alignment horizontal="center" vertical="center"/>
    </xf>
    <xf numFmtId="1" fontId="17" fillId="0" borderId="54" xfId="9" applyNumberFormat="1" applyFont="1" applyBorder="1" applyAlignment="1">
      <alignment horizontal="center" vertical="center"/>
    </xf>
    <xf numFmtId="176" fontId="17" fillId="0" borderId="164" xfId="9" applyNumberFormat="1" applyFont="1" applyBorder="1" applyAlignment="1">
      <alignment horizontal="center" vertical="center"/>
    </xf>
    <xf numFmtId="0" fontId="17" fillId="0" borderId="19" xfId="9" applyFont="1" applyBorder="1" applyAlignment="1">
      <alignment horizontal="center" vertical="center"/>
    </xf>
    <xf numFmtId="0" fontId="17" fillId="0" borderId="163" xfId="9" applyFont="1" applyBorder="1" applyAlignment="1">
      <alignment horizontal="center" vertical="center"/>
    </xf>
    <xf numFmtId="0" fontId="17" fillId="0" borderId="53" xfId="9" applyFont="1" applyBorder="1" applyAlignment="1">
      <alignment horizontal="center" vertical="center"/>
    </xf>
    <xf numFmtId="0" fontId="17" fillId="0" borderId="21" xfId="9" applyFont="1" applyBorder="1" applyAlignment="1">
      <alignment horizontal="center" vertical="center"/>
    </xf>
    <xf numFmtId="0" fontId="17" fillId="0" borderId="112" xfId="9" applyFont="1" applyBorder="1" applyAlignment="1">
      <alignment horizontal="center" vertical="center"/>
    </xf>
    <xf numFmtId="2" fontId="17" fillId="0" borderId="53" xfId="9" applyNumberFormat="1" applyFont="1" applyBorder="1" applyAlignment="1">
      <alignment horizontal="center" vertical="center"/>
    </xf>
    <xf numFmtId="167" fontId="17" fillId="0" borderId="53" xfId="9" applyNumberFormat="1" applyFont="1" applyBorder="1" applyAlignment="1">
      <alignment horizontal="center" vertical="center"/>
    </xf>
    <xf numFmtId="0" fontId="27" fillId="0" borderId="168" xfId="9" applyFont="1" applyBorder="1" applyAlignment="1">
      <alignment horizontal="center" vertical="center"/>
    </xf>
    <xf numFmtId="0" fontId="27" fillId="0" borderId="169" xfId="9" applyFont="1" applyBorder="1" applyAlignment="1">
      <alignment horizontal="center" vertical="center"/>
    </xf>
    <xf numFmtId="0" fontId="27" fillId="22" borderId="169" xfId="9" applyFont="1" applyFill="1" applyBorder="1" applyAlignment="1">
      <alignment horizontal="center" vertical="center"/>
    </xf>
    <xf numFmtId="0" fontId="22" fillId="18" borderId="170" xfId="9" applyFont="1" applyFill="1" applyBorder="1" applyAlignment="1">
      <alignment horizontal="center" vertical="center"/>
    </xf>
    <xf numFmtId="0" fontId="22" fillId="0" borderId="171" xfId="9" applyFont="1" applyBorder="1" applyAlignment="1">
      <alignment horizontal="center" vertical="center"/>
    </xf>
    <xf numFmtId="0" fontId="22" fillId="0" borderId="171" xfId="9" applyFont="1" applyBorder="1" applyAlignment="1">
      <alignment horizontal="left" vertical="center" wrapText="1"/>
    </xf>
    <xf numFmtId="0" fontId="22" fillId="0" borderId="172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/>
    </xf>
    <xf numFmtId="173" fontId="22" fillId="0" borderId="173" xfId="9" applyNumberFormat="1" applyFont="1" applyBorder="1" applyAlignment="1">
      <alignment horizontal="center" vertical="center"/>
    </xf>
    <xf numFmtId="1" fontId="22" fillId="0" borderId="170" xfId="9" applyNumberFormat="1" applyFont="1" applyBorder="1" applyAlignment="1">
      <alignment horizontal="center" vertical="center"/>
    </xf>
    <xf numFmtId="0" fontId="22" fillId="0" borderId="35" xfId="7" applyFont="1" applyBorder="1" applyAlignment="1">
      <alignment horizontal="center" vertical="center"/>
    </xf>
    <xf numFmtId="0" fontId="22" fillId="0" borderId="34" xfId="7" applyFont="1" applyBorder="1" applyAlignment="1">
      <alignment horizontal="center" vertical="center"/>
    </xf>
    <xf numFmtId="1" fontId="27" fillId="0" borderId="174" xfId="9" applyNumberFormat="1" applyFont="1" applyBorder="1" applyAlignment="1">
      <alignment horizontal="center" vertical="center"/>
    </xf>
    <xf numFmtId="0" fontId="27" fillId="0" borderId="174" xfId="9" applyFont="1" applyBorder="1" applyAlignment="1">
      <alignment horizontal="center" vertical="center"/>
    </xf>
    <xf numFmtId="0" fontId="27" fillId="0" borderId="175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 wrapText="1"/>
    </xf>
    <xf numFmtId="174" fontId="17" fillId="0" borderId="171" xfId="9" applyNumberFormat="1" applyFont="1" applyBorder="1" applyAlignment="1">
      <alignment horizontal="center" vertical="center"/>
    </xf>
    <xf numFmtId="175" fontId="17" fillId="0" borderId="171" xfId="9" applyNumberFormat="1" applyFont="1" applyBorder="1" applyAlignment="1">
      <alignment horizontal="center" vertical="center"/>
    </xf>
    <xf numFmtId="1" fontId="17" fillId="0" borderId="171" xfId="9" applyNumberFormat="1" applyFont="1" applyBorder="1" applyAlignment="1">
      <alignment horizontal="center" vertical="center"/>
    </xf>
    <xf numFmtId="176" fontId="17" fillId="0" borderId="176" xfId="9" applyNumberFormat="1" applyFont="1" applyBorder="1" applyAlignment="1">
      <alignment horizontal="center" vertical="center"/>
    </xf>
    <xf numFmtId="0" fontId="17" fillId="0" borderId="177" xfId="9" applyFont="1" applyBorder="1" applyAlignment="1">
      <alignment horizontal="center" vertical="center"/>
    </xf>
    <xf numFmtId="0" fontId="17" fillId="0" borderId="175" xfId="9" applyFont="1" applyBorder="1" applyAlignment="1">
      <alignment horizontal="center" vertical="center"/>
    </xf>
    <xf numFmtId="0" fontId="17" fillId="0" borderId="170" xfId="9" applyFont="1" applyBorder="1" applyAlignment="1">
      <alignment horizontal="center" vertical="center"/>
    </xf>
    <xf numFmtId="0" fontId="17" fillId="0" borderId="178" xfId="9" applyFont="1" applyBorder="1" applyAlignment="1">
      <alignment horizontal="center" vertical="center"/>
    </xf>
    <xf numFmtId="0" fontId="17" fillId="0" borderId="179" xfId="9" applyFont="1" applyBorder="1" applyAlignment="1">
      <alignment horizontal="center" vertical="center"/>
    </xf>
    <xf numFmtId="2" fontId="17" fillId="0" borderId="170" xfId="9" applyNumberFormat="1" applyFont="1" applyBorder="1" applyAlignment="1">
      <alignment horizontal="center" vertical="center"/>
    </xf>
    <xf numFmtId="167" fontId="17" fillId="0" borderId="170" xfId="9" applyNumberFormat="1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0" fontId="27" fillId="22" borderId="116" xfId="9" applyFont="1" applyFill="1" applyBorder="1" applyAlignment="1">
      <alignment horizontal="center" vertical="center"/>
    </xf>
    <xf numFmtId="0" fontId="22" fillId="18" borderId="40" xfId="9" applyFont="1" applyFill="1" applyBorder="1" applyAlignment="1">
      <alignment horizontal="center" vertical="center"/>
    </xf>
    <xf numFmtId="0" fontId="22" fillId="0" borderId="42" xfId="9" applyFont="1" applyBorder="1" applyAlignment="1">
      <alignment horizontal="left" vertical="center" wrapText="1"/>
    </xf>
    <xf numFmtId="0" fontId="22" fillId="0" borderId="43" xfId="9" applyFont="1" applyBorder="1" applyAlignment="1">
      <alignment horizontal="center" vertical="center"/>
    </xf>
    <xf numFmtId="173" fontId="22" fillId="0" borderId="136" xfId="9" applyNumberFormat="1" applyFont="1" applyBorder="1" applyAlignment="1">
      <alignment horizontal="center" vertical="center"/>
    </xf>
    <xf numFmtId="1" fontId="22" fillId="0" borderId="40" xfId="9" applyNumberFormat="1" applyFont="1" applyBorder="1" applyAlignment="1">
      <alignment horizontal="center" vertical="center"/>
    </xf>
    <xf numFmtId="1" fontId="27" fillId="0" borderId="44" xfId="9" applyNumberFormat="1" applyFont="1" applyBorder="1" applyAlignment="1">
      <alignment horizontal="center" vertical="center"/>
    </xf>
    <xf numFmtId="0" fontId="17" fillId="0" borderId="88" xfId="7" applyFont="1" applyBorder="1" applyAlignment="1">
      <alignment horizontal="center" vertical="center"/>
    </xf>
    <xf numFmtId="0" fontId="22" fillId="3" borderId="50" xfId="9" applyFont="1" applyFill="1" applyBorder="1" applyAlignment="1">
      <alignment horizontal="center" vertical="center"/>
    </xf>
    <xf numFmtId="0" fontId="36" fillId="0" borderId="1" xfId="9" applyFont="1" applyBorder="1" applyAlignment="1">
      <alignment horizontal="center" vertical="center"/>
    </xf>
    <xf numFmtId="0" fontId="36" fillId="0" borderId="1" xfId="9" applyFont="1" applyBorder="1" applyAlignment="1">
      <alignment horizontal="left" vertical="center" wrapText="1"/>
    </xf>
    <xf numFmtId="0" fontId="36" fillId="0" borderId="51" xfId="9" applyFont="1" applyBorder="1" applyAlignment="1">
      <alignment horizontal="center" vertical="center"/>
    </xf>
    <xf numFmtId="0" fontId="37" fillId="0" borderId="1" xfId="9" applyFont="1" applyBorder="1" applyAlignment="1">
      <alignment horizontal="center" vertical="center"/>
    </xf>
    <xf numFmtId="1" fontId="42" fillId="17" borderId="116" xfId="7" applyNumberFormat="1" applyFont="1" applyFill="1" applyBorder="1" applyAlignment="1">
      <alignment horizontal="center" vertical="center"/>
    </xf>
    <xf numFmtId="1" fontId="39" fillId="2" borderId="49" xfId="7" applyNumberFormat="1" applyFont="1" applyFill="1" applyBorder="1" applyAlignment="1">
      <alignment horizontal="center" vertical="center"/>
    </xf>
    <xf numFmtId="1" fontId="39" fillId="2" borderId="118" xfId="7" applyNumberFormat="1" applyFont="1" applyFill="1" applyBorder="1" applyAlignment="1">
      <alignment horizontal="center" vertical="center"/>
    </xf>
    <xf numFmtId="1" fontId="39" fillId="2" borderId="119" xfId="7" applyNumberFormat="1" applyFont="1" applyFill="1" applyBorder="1" applyAlignment="1">
      <alignment horizontal="center" vertical="center"/>
    </xf>
    <xf numFmtId="171" fontId="39" fillId="2" borderId="119" xfId="7" applyNumberFormat="1" applyFont="1" applyFill="1" applyBorder="1" applyAlignment="1">
      <alignment horizontal="center" vertical="center"/>
    </xf>
    <xf numFmtId="172" fontId="39" fillId="2" borderId="124" xfId="9" applyNumberFormat="1" applyFont="1" applyFill="1" applyBorder="1" applyAlignment="1">
      <alignment horizontal="center" vertical="center"/>
    </xf>
    <xf numFmtId="1" fontId="36" fillId="0" borderId="9" xfId="7" applyNumberFormat="1" applyFont="1" applyBorder="1" applyAlignment="1">
      <alignment horizontal="center" vertical="center"/>
    </xf>
    <xf numFmtId="173" fontId="36" fillId="0" borderId="142" xfId="9" applyNumberFormat="1" applyFont="1" applyBorder="1" applyAlignment="1">
      <alignment horizontal="center" vertical="center"/>
    </xf>
    <xf numFmtId="1" fontId="36" fillId="0" borderId="50" xfId="9" applyNumberFormat="1" applyFont="1" applyBorder="1" applyAlignment="1">
      <alignment horizontal="center" vertical="center"/>
    </xf>
    <xf numFmtId="0" fontId="36" fillId="0" borderId="42" xfId="9" applyFont="1" applyBorder="1" applyAlignment="1">
      <alignment horizontal="center" vertical="center"/>
    </xf>
    <xf numFmtId="1" fontId="39" fillId="16" borderId="119" xfId="7" applyNumberFormat="1" applyFont="1" applyFill="1" applyBorder="1" applyAlignment="1">
      <alignment horizontal="center" vertical="center"/>
    </xf>
    <xf numFmtId="1" fontId="39" fillId="0" borderId="12" xfId="9" applyNumberFormat="1" applyFont="1" applyBorder="1" applyAlignment="1">
      <alignment horizontal="center" vertical="center"/>
    </xf>
    <xf numFmtId="1" fontId="39" fillId="0" borderId="117" xfId="7" applyNumberFormat="1" applyFont="1" applyBorder="1" applyAlignment="1">
      <alignment horizontal="center" vertical="center"/>
    </xf>
    <xf numFmtId="1" fontId="39" fillId="14" borderId="117" xfId="7" applyNumberFormat="1" applyFont="1" applyFill="1" applyBorder="1" applyAlignment="1">
      <alignment horizontal="center" vertical="center"/>
    </xf>
    <xf numFmtId="0" fontId="39" fillId="0" borderId="12" xfId="9" applyFont="1" applyBorder="1" applyAlignment="1">
      <alignment horizontal="center" vertical="center"/>
    </xf>
    <xf numFmtId="0" fontId="39" fillId="0" borderId="125" xfId="9" applyFont="1" applyBorder="1" applyAlignment="1">
      <alignment horizontal="center" vertical="center"/>
    </xf>
    <xf numFmtId="1" fontId="36" fillId="17" borderId="117" xfId="7" applyNumberFormat="1" applyFont="1" applyFill="1" applyBorder="1" applyAlignment="1">
      <alignment horizontal="center" vertical="center"/>
    </xf>
    <xf numFmtId="0" fontId="22" fillId="18" borderId="50" xfId="9" applyFont="1" applyFill="1" applyBorder="1" applyAlignment="1">
      <alignment horizontal="center" vertical="center"/>
    </xf>
    <xf numFmtId="0" fontId="22" fillId="0" borderId="1" xfId="9" applyFont="1" applyBorder="1" applyAlignment="1">
      <alignment horizontal="center" vertical="center"/>
    </xf>
    <xf numFmtId="0" fontId="22" fillId="0" borderId="1" xfId="9" applyFont="1" applyBorder="1" applyAlignment="1">
      <alignment horizontal="left" vertical="center" wrapText="1"/>
    </xf>
    <xf numFmtId="0" fontId="22" fillId="0" borderId="51" xfId="9" applyFont="1" applyBorder="1" applyAlignment="1">
      <alignment horizontal="center" vertical="center"/>
    </xf>
    <xf numFmtId="171" fontId="27" fillId="2" borderId="119" xfId="7" applyNumberFormat="1" applyFont="1" applyFill="1" applyBorder="1" applyAlignment="1">
      <alignment horizontal="center" vertical="center"/>
    </xf>
    <xf numFmtId="172" fontId="27" fillId="2" borderId="124" xfId="9" applyNumberFormat="1" applyFont="1" applyFill="1" applyBorder="1" applyAlignment="1">
      <alignment horizontal="center" vertical="center"/>
    </xf>
    <xf numFmtId="173" fontId="22" fillId="15" borderId="1" xfId="7" applyNumberFormat="1" applyFont="1" applyFill="1" applyBorder="1" applyAlignment="1">
      <alignment horizontal="center" vertical="center"/>
    </xf>
    <xf numFmtId="0" fontId="22" fillId="23" borderId="51" xfId="9" applyFont="1" applyFill="1" applyBorder="1" applyAlignment="1">
      <alignment horizontal="center" vertical="center"/>
    </xf>
    <xf numFmtId="1" fontId="22" fillId="9" borderId="117" xfId="7" applyNumberFormat="1" applyFont="1" applyFill="1" applyBorder="1" applyAlignment="1">
      <alignment horizontal="center" vertical="center"/>
    </xf>
    <xf numFmtId="0" fontId="27" fillId="22" borderId="141" xfId="9" applyFont="1" applyFill="1" applyBorder="1" applyAlignment="1">
      <alignment horizontal="center" vertical="center"/>
    </xf>
    <xf numFmtId="0" fontId="27" fillId="9" borderId="99" xfId="9" applyFont="1" applyFill="1" applyBorder="1" applyAlignment="1">
      <alignment horizontal="center" vertical="center"/>
    </xf>
    <xf numFmtId="0" fontId="22" fillId="18" borderId="45" xfId="9" applyFont="1" applyFill="1" applyBorder="1" applyAlignment="1">
      <alignment horizontal="center" vertical="center"/>
    </xf>
    <xf numFmtId="0" fontId="22" fillId="0" borderId="47" xfId="9" applyFont="1" applyBorder="1" applyAlignment="1">
      <alignment horizontal="center" vertical="center"/>
    </xf>
    <xf numFmtId="0" fontId="22" fillId="0" borderId="47" xfId="9" applyFont="1" applyBorder="1" applyAlignment="1">
      <alignment horizontal="left" vertical="center" wrapText="1"/>
    </xf>
    <xf numFmtId="0" fontId="22" fillId="0" borderId="48" xfId="9" applyFont="1" applyBorder="1" applyAlignment="1">
      <alignment horizontal="center" vertical="center"/>
    </xf>
    <xf numFmtId="173" fontId="22" fillId="0" borderId="120" xfId="9" applyNumberFormat="1" applyFont="1" applyBorder="1" applyAlignment="1">
      <alignment horizontal="center" vertical="center"/>
    </xf>
    <xf numFmtId="1" fontId="22" fillId="0" borderId="45" xfId="9" applyNumberFormat="1" applyFont="1" applyBorder="1" applyAlignment="1">
      <alignment horizontal="center" vertical="center"/>
    </xf>
    <xf numFmtId="1" fontId="27" fillId="0" borderId="49" xfId="9" applyNumberFormat="1" applyFont="1" applyBorder="1" applyAlignment="1">
      <alignment horizontal="center" vertical="center"/>
    </xf>
    <xf numFmtId="0" fontId="27" fillId="22" borderId="115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22" fillId="3" borderId="45" xfId="9" applyFont="1" applyFill="1" applyBorder="1" applyAlignment="1">
      <alignment horizontal="center" vertical="center"/>
    </xf>
    <xf numFmtId="0" fontId="36" fillId="0" borderId="47" xfId="9" applyFont="1" applyBorder="1" applyAlignment="1">
      <alignment horizontal="center" vertical="center"/>
    </xf>
    <xf numFmtId="0" fontId="36" fillId="0" borderId="47" xfId="9" applyFont="1" applyBorder="1" applyAlignment="1">
      <alignment horizontal="left" vertical="center" wrapText="1"/>
    </xf>
    <xf numFmtId="0" fontId="36" fillId="0" borderId="48" xfId="9" applyFont="1" applyBorder="1" applyAlignment="1">
      <alignment horizontal="center" vertical="center"/>
    </xf>
    <xf numFmtId="0" fontId="37" fillId="0" borderId="47" xfId="9" applyFont="1" applyBorder="1" applyAlignment="1">
      <alignment horizontal="center" vertical="center"/>
    </xf>
    <xf numFmtId="1" fontId="39" fillId="2" borderId="128" xfId="7" applyNumberFormat="1" applyFont="1" applyFill="1" applyBorder="1" applyAlignment="1">
      <alignment horizontal="center" vertical="center"/>
    </xf>
    <xf numFmtId="172" fontId="39" fillId="2" borderId="129" xfId="7" applyNumberFormat="1" applyFont="1" applyFill="1" applyBorder="1" applyAlignment="1">
      <alignment horizontal="center" vertical="center"/>
    </xf>
    <xf numFmtId="173" fontId="36" fillId="0" borderId="120" xfId="9" applyNumberFormat="1" applyFont="1" applyBorder="1" applyAlignment="1">
      <alignment horizontal="center" vertical="center"/>
    </xf>
    <xf numFmtId="1" fontId="36" fillId="0" borderId="45" xfId="9" applyNumberFormat="1" applyFont="1" applyBorder="1" applyAlignment="1">
      <alignment horizontal="center" vertical="center"/>
    </xf>
    <xf numFmtId="1" fontId="39" fillId="0" borderId="49" xfId="9" applyNumberFormat="1" applyFont="1" applyBorder="1" applyAlignment="1">
      <alignment horizontal="center" vertical="center"/>
    </xf>
    <xf numFmtId="0" fontId="39" fillId="0" borderId="49" xfId="9" applyFont="1" applyBorder="1" applyAlignment="1">
      <alignment horizontal="center" vertical="center"/>
    </xf>
    <xf numFmtId="0" fontId="39" fillId="0" borderId="130" xfId="9" applyFont="1" applyBorder="1" applyAlignment="1">
      <alignment horizontal="center" vertical="center"/>
    </xf>
    <xf numFmtId="0" fontId="22" fillId="3" borderId="40" xfId="9" applyFont="1" applyFill="1" applyBorder="1" applyAlignment="1">
      <alignment horizontal="center" vertical="center"/>
    </xf>
    <xf numFmtId="0" fontId="36" fillId="0" borderId="42" xfId="9" applyFont="1" applyBorder="1" applyAlignment="1">
      <alignment horizontal="left" vertical="center" wrapText="1"/>
    </xf>
    <xf numFmtId="0" fontId="36" fillId="0" borderId="43" xfId="9" applyFont="1" applyBorder="1" applyAlignment="1">
      <alignment horizontal="center" vertical="center"/>
    </xf>
    <xf numFmtId="0" fontId="37" fillId="0" borderId="42" xfId="9" applyFont="1" applyBorder="1" applyAlignment="1">
      <alignment horizontal="center" vertical="center"/>
    </xf>
    <xf numFmtId="172" fontId="39" fillId="2" borderId="119" xfId="7" applyNumberFormat="1" applyFont="1" applyFill="1" applyBorder="1" applyAlignment="1">
      <alignment horizontal="center" vertical="center"/>
    </xf>
    <xf numFmtId="173" fontId="36" fillId="0" borderId="136" xfId="9" applyNumberFormat="1" applyFont="1" applyBorder="1" applyAlignment="1">
      <alignment horizontal="center" vertical="center"/>
    </xf>
    <xf numFmtId="1" fontId="36" fillId="0" borderId="40" xfId="9" applyNumberFormat="1" applyFont="1" applyBorder="1" applyAlignment="1">
      <alignment horizontal="center" vertical="center"/>
    </xf>
    <xf numFmtId="1" fontId="39" fillId="0" borderId="44" xfId="9" applyNumberFormat="1" applyFont="1" applyBorder="1" applyAlignment="1">
      <alignment horizontal="center" vertical="center"/>
    </xf>
    <xf numFmtId="0" fontId="39" fillId="0" borderId="44" xfId="9" applyFont="1" applyBorder="1" applyAlignment="1">
      <alignment horizontal="center" vertical="center"/>
    </xf>
    <xf numFmtId="0" fontId="39" fillId="0" borderId="137" xfId="9" applyFont="1" applyBorder="1" applyAlignment="1">
      <alignment horizontal="center" vertical="center"/>
    </xf>
    <xf numFmtId="1" fontId="22" fillId="0" borderId="117" xfId="7" applyNumberFormat="1" applyFont="1" applyBorder="1" applyAlignment="1">
      <alignment horizontal="center" vertical="center"/>
    </xf>
    <xf numFmtId="1" fontId="22" fillId="3" borderId="9" xfId="7" applyNumberFormat="1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/>
    </xf>
    <xf numFmtId="0" fontId="17" fillId="0" borderId="180" xfId="7" applyFont="1" applyBorder="1" applyAlignment="1">
      <alignment horizontal="center" vertical="center"/>
    </xf>
    <xf numFmtId="0" fontId="22" fillId="24" borderId="45" xfId="9" applyFont="1" applyFill="1" applyBorder="1" applyAlignment="1">
      <alignment horizontal="center" vertical="center"/>
    </xf>
    <xf numFmtId="172" fontId="27" fillId="2" borderId="129" xfId="9" applyNumberFormat="1" applyFont="1" applyFill="1" applyBorder="1" applyAlignment="1">
      <alignment horizontal="center" vertical="center"/>
    </xf>
    <xf numFmtId="0" fontId="22" fillId="24" borderId="40" xfId="9" applyFont="1" applyFill="1" applyBorder="1" applyAlignment="1">
      <alignment horizontal="center" vertical="center"/>
    </xf>
    <xf numFmtId="172" fontId="27" fillId="2" borderId="119" xfId="9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vertical="center" wrapText="1"/>
    </xf>
    <xf numFmtId="0" fontId="22" fillId="25" borderId="50" xfId="9" applyFont="1" applyFill="1" applyBorder="1" applyAlignment="1">
      <alignment horizontal="center" vertical="center"/>
    </xf>
    <xf numFmtId="1" fontId="27" fillId="2" borderId="126" xfId="7" applyNumberFormat="1" applyFont="1" applyFill="1" applyBorder="1" applyAlignment="1">
      <alignment horizontal="center" vertical="center"/>
    </xf>
    <xf numFmtId="1" fontId="27" fillId="2" borderId="124" xfId="7" applyNumberFormat="1" applyFont="1" applyFill="1" applyBorder="1" applyAlignment="1">
      <alignment horizontal="center" vertical="center"/>
    </xf>
    <xf numFmtId="171" fontId="27" fillId="2" borderId="124" xfId="7" applyNumberFormat="1" applyFont="1" applyFill="1" applyBorder="1" applyAlignment="1">
      <alignment horizontal="center" vertical="center"/>
    </xf>
    <xf numFmtId="1" fontId="22" fillId="0" borderId="11" xfId="7" applyNumberFormat="1" applyFont="1" applyBorder="1" applyAlignment="1">
      <alignment horizontal="center" vertical="center"/>
    </xf>
    <xf numFmtId="1" fontId="27" fillId="16" borderId="124" xfId="7" applyNumberFormat="1" applyFont="1" applyFill="1" applyBorder="1" applyAlignment="1">
      <alignment horizontal="center" vertical="center"/>
    </xf>
    <xf numFmtId="1" fontId="22" fillId="15" borderId="50" xfId="7" applyNumberFormat="1" applyFont="1" applyFill="1" applyBorder="1" applyAlignment="1">
      <alignment horizontal="center" vertical="center"/>
    </xf>
    <xf numFmtId="1" fontId="27" fillId="0" borderId="12" xfId="7" applyNumberFormat="1" applyFont="1" applyBorder="1" applyAlignment="1">
      <alignment horizontal="center" vertical="center"/>
    </xf>
    <xf numFmtId="1" fontId="27" fillId="14" borderId="12" xfId="7" applyNumberFormat="1" applyFont="1" applyFill="1" applyBorder="1" applyAlignment="1">
      <alignment horizontal="center" vertical="center"/>
    </xf>
    <xf numFmtId="0" fontId="17" fillId="0" borderId="182" xfId="12" applyFont="1" applyBorder="1" applyAlignment="1">
      <alignment vertical="center" wrapText="1"/>
    </xf>
    <xf numFmtId="0" fontId="22" fillId="24" borderId="183" xfId="9" applyFont="1" applyFill="1" applyBorder="1" applyAlignment="1">
      <alignment horizontal="center" vertical="center"/>
    </xf>
    <xf numFmtId="0" fontId="22" fillId="0" borderId="183" xfId="9" applyFont="1" applyBorder="1" applyAlignment="1">
      <alignment horizontal="center" vertical="center"/>
    </xf>
    <xf numFmtId="0" fontId="22" fillId="0" borderId="183" xfId="9" applyFont="1" applyBorder="1" applyAlignment="1">
      <alignment horizontal="left" vertical="center" wrapText="1"/>
    </xf>
    <xf numFmtId="0" fontId="22" fillId="0" borderId="184" xfId="9" applyFont="1" applyBorder="1" applyAlignment="1">
      <alignment horizontal="center" vertical="center"/>
    </xf>
    <xf numFmtId="0" fontId="17" fillId="0" borderId="183" xfId="9" applyFont="1" applyBorder="1" applyAlignment="1">
      <alignment horizontal="center" vertical="center"/>
    </xf>
    <xf numFmtId="1" fontId="27" fillId="2" borderId="185" xfId="7" applyNumberFormat="1" applyFont="1" applyFill="1" applyBorder="1" applyAlignment="1">
      <alignment horizontal="center" vertical="center"/>
    </xf>
    <xf numFmtId="1" fontId="27" fillId="2" borderId="186" xfId="7" applyNumberFormat="1" applyFont="1" applyFill="1" applyBorder="1" applyAlignment="1">
      <alignment horizontal="center" vertical="center"/>
    </xf>
    <xf numFmtId="172" fontId="27" fillId="2" borderId="186" xfId="9" applyNumberFormat="1" applyFont="1" applyFill="1" applyBorder="1" applyAlignment="1">
      <alignment horizontal="center" vertical="center"/>
    </xf>
    <xf numFmtId="1" fontId="22" fillId="0" borderId="187" xfId="7" applyNumberFormat="1" applyFont="1" applyBorder="1" applyAlignment="1">
      <alignment horizontal="center" vertical="center"/>
    </xf>
    <xf numFmtId="173" fontId="22" fillId="0" borderId="188" xfId="9" applyNumberFormat="1" applyFont="1" applyBorder="1" applyAlignment="1">
      <alignment horizontal="center" vertical="center"/>
    </xf>
    <xf numFmtId="1" fontId="22" fillId="0" borderId="189" xfId="9" applyNumberFormat="1" applyFont="1" applyBorder="1" applyAlignment="1">
      <alignment horizontal="center" vertical="center"/>
    </xf>
    <xf numFmtId="0" fontId="22" fillId="0" borderId="116" xfId="9" applyFont="1" applyBorder="1" applyAlignment="1">
      <alignment horizontal="center" vertical="center"/>
    </xf>
    <xf numFmtId="1" fontId="27" fillId="16" borderId="186" xfId="7" applyNumberFormat="1" applyFont="1" applyFill="1" applyBorder="1" applyAlignment="1">
      <alignment horizontal="center" vertical="center"/>
    </xf>
    <xf numFmtId="0" fontId="22" fillId="0" borderId="184" xfId="7" applyFont="1" applyBorder="1" applyAlignment="1">
      <alignment horizontal="center" vertical="center"/>
    </xf>
    <xf numFmtId="1" fontId="27" fillId="0" borderId="190" xfId="9" applyNumberFormat="1" applyFont="1" applyBorder="1" applyAlignment="1">
      <alignment horizontal="center" vertical="center"/>
    </xf>
    <xf numFmtId="1" fontId="27" fillId="0" borderId="190" xfId="7" applyNumberFormat="1" applyFont="1" applyBorder="1" applyAlignment="1">
      <alignment horizontal="center" vertical="center"/>
    </xf>
    <xf numFmtId="1" fontId="27" fillId="14" borderId="190" xfId="7" applyNumberFormat="1" applyFont="1" applyFill="1" applyBorder="1" applyAlignment="1">
      <alignment horizontal="center" vertical="center"/>
    </xf>
    <xf numFmtId="0" fontId="27" fillId="0" borderId="190" xfId="9" applyFont="1" applyBorder="1" applyAlignment="1">
      <alignment horizontal="center" vertical="center"/>
    </xf>
    <xf numFmtId="0" fontId="27" fillId="0" borderId="191" xfId="9" applyFont="1" applyBorder="1" applyAlignment="1">
      <alignment horizontal="center" vertical="center"/>
    </xf>
    <xf numFmtId="0" fontId="22" fillId="25" borderId="45" xfId="9" applyFont="1" applyFill="1" applyBorder="1" applyAlignment="1">
      <alignment horizontal="center" vertical="center"/>
    </xf>
    <xf numFmtId="1" fontId="27" fillId="2" borderId="193" xfId="7" applyNumberFormat="1" applyFont="1" applyFill="1" applyBorder="1" applyAlignment="1">
      <alignment horizontal="center" vertical="center"/>
    </xf>
    <xf numFmtId="1" fontId="27" fillId="2" borderId="194" xfId="7" applyNumberFormat="1" applyFont="1" applyFill="1" applyBorder="1" applyAlignment="1">
      <alignment horizontal="center" vertical="center"/>
    </xf>
    <xf numFmtId="172" fontId="27" fillId="2" borderId="194" xfId="9" applyNumberFormat="1" applyFont="1" applyFill="1" applyBorder="1" applyAlignment="1">
      <alignment horizontal="center" vertical="center"/>
    </xf>
    <xf numFmtId="1" fontId="22" fillId="0" borderId="195" xfId="9" applyNumberFormat="1" applyFont="1" applyBorder="1" applyAlignment="1">
      <alignment horizontal="center" vertical="center"/>
    </xf>
    <xf numFmtId="0" fontId="22" fillId="25" borderId="40" xfId="9" applyFont="1" applyFill="1" applyBorder="1" applyAlignment="1">
      <alignment horizontal="center" vertical="center"/>
    </xf>
    <xf numFmtId="1" fontId="27" fillId="2" borderId="196" xfId="7" applyNumberFormat="1" applyFont="1" applyFill="1" applyBorder="1" applyAlignment="1">
      <alignment horizontal="center" vertical="center"/>
    </xf>
    <xf numFmtId="1" fontId="27" fillId="2" borderId="197" xfId="7" applyNumberFormat="1" applyFont="1" applyFill="1" applyBorder="1" applyAlignment="1">
      <alignment horizontal="center" vertical="center"/>
    </xf>
    <xf numFmtId="172" fontId="27" fillId="2" borderId="197" xfId="9" applyNumberFormat="1" applyFont="1" applyFill="1" applyBorder="1" applyAlignment="1">
      <alignment horizontal="center" vertical="center"/>
    </xf>
    <xf numFmtId="1" fontId="22" fillId="0" borderId="198" xfId="7" applyNumberFormat="1" applyFont="1" applyBorder="1" applyAlignment="1">
      <alignment horizontal="center" vertical="center"/>
    </xf>
    <xf numFmtId="1" fontId="22" fillId="0" borderId="199" xfId="9" applyNumberFormat="1" applyFont="1" applyBorder="1" applyAlignment="1">
      <alignment horizontal="center" vertical="center"/>
    </xf>
    <xf numFmtId="1" fontId="27" fillId="9" borderId="119" xfId="7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horizontal="center" vertical="center" wrapText="1"/>
    </xf>
    <xf numFmtId="0" fontId="27" fillId="11" borderId="89" xfId="9" applyFont="1" applyFill="1" applyBorder="1" applyAlignment="1">
      <alignment horizontal="center" vertical="center"/>
    </xf>
    <xf numFmtId="0" fontId="27" fillId="12" borderId="90" xfId="9" applyFont="1" applyFill="1" applyBorder="1" applyAlignment="1">
      <alignment horizontal="center" vertical="center"/>
    </xf>
    <xf numFmtId="0" fontId="22" fillId="24" borderId="36" xfId="9" applyFont="1" applyFill="1" applyBorder="1" applyAlignment="1">
      <alignment horizontal="center" vertical="center"/>
    </xf>
    <xf numFmtId="0" fontId="22" fillId="0" borderId="38" xfId="9" applyFont="1" applyBorder="1" applyAlignment="1">
      <alignment horizontal="center" vertical="center"/>
    </xf>
    <xf numFmtId="0" fontId="22" fillId="0" borderId="38" xfId="9" applyFont="1" applyBorder="1" applyAlignment="1">
      <alignment horizontal="left" vertical="center" wrapText="1"/>
    </xf>
    <xf numFmtId="0" fontId="22" fillId="0" borderId="39" xfId="9" applyFont="1" applyBorder="1" applyAlignment="1">
      <alignment horizontal="center" vertical="center"/>
    </xf>
    <xf numFmtId="1" fontId="27" fillId="2" borderId="200" xfId="7" applyNumberFormat="1" applyFont="1" applyFill="1" applyBorder="1" applyAlignment="1">
      <alignment horizontal="center" vertical="center"/>
    </xf>
    <xf numFmtId="1" fontId="27" fillId="2" borderId="201" xfId="7" applyNumberFormat="1" applyFont="1" applyFill="1" applyBorder="1" applyAlignment="1">
      <alignment horizontal="center" vertical="center"/>
    </xf>
    <xf numFmtId="172" fontId="27" fillId="2" borderId="201" xfId="9" applyNumberFormat="1" applyFont="1" applyFill="1" applyBorder="1" applyAlignment="1">
      <alignment horizontal="center" vertical="center"/>
    </xf>
    <xf numFmtId="1" fontId="22" fillId="0" borderId="202" xfId="7" applyNumberFormat="1" applyFont="1" applyBorder="1" applyAlignment="1">
      <alignment horizontal="center" vertical="center"/>
    </xf>
    <xf numFmtId="173" fontId="22" fillId="0" borderId="203" xfId="9" applyNumberFormat="1" applyFont="1" applyBorder="1" applyAlignment="1">
      <alignment horizontal="center" vertical="center"/>
    </xf>
    <xf numFmtId="1" fontId="22" fillId="0" borderId="204" xfId="9" applyNumberFormat="1" applyFont="1" applyBorder="1" applyAlignment="1">
      <alignment horizontal="center" vertical="center"/>
    </xf>
    <xf numFmtId="0" fontId="22" fillId="15" borderId="132" xfId="7" applyFont="1" applyFill="1" applyBorder="1" applyAlignment="1">
      <alignment horizontal="center" vertical="center"/>
    </xf>
    <xf numFmtId="1" fontId="27" fillId="0" borderId="26" xfId="9" applyNumberFormat="1" applyFont="1" applyBorder="1" applyAlignment="1">
      <alignment horizontal="center" vertical="center"/>
    </xf>
    <xf numFmtId="0" fontId="17" fillId="0" borderId="88" xfId="9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1" fontId="22" fillId="15" borderId="50" xfId="9" applyNumberFormat="1" applyFont="1" applyFill="1" applyBorder="1" applyAlignment="1">
      <alignment horizontal="center" vertical="center"/>
    </xf>
    <xf numFmtId="0" fontId="22" fillId="15" borderId="1" xfId="9" applyFont="1" applyFill="1" applyBorder="1" applyAlignment="1">
      <alignment horizontal="center" vertical="center"/>
    </xf>
    <xf numFmtId="173" fontId="22" fillId="15" borderId="116" xfId="7" applyNumberFormat="1" applyFont="1" applyFill="1" applyBorder="1" applyAlignment="1">
      <alignment horizontal="center" vertical="center"/>
    </xf>
    <xf numFmtId="0" fontId="17" fillId="2" borderId="1" xfId="9" applyFont="1" applyFill="1" applyBorder="1" applyAlignment="1">
      <alignment horizontal="center" vertical="center"/>
    </xf>
    <xf numFmtId="0" fontId="22" fillId="9" borderId="43" xfId="9" applyFont="1" applyFill="1" applyBorder="1" applyAlignment="1">
      <alignment horizontal="center" vertical="center"/>
    </xf>
    <xf numFmtId="172" fontId="27" fillId="2" borderId="138" xfId="9" applyNumberFormat="1" applyFont="1" applyFill="1" applyBorder="1" applyAlignment="1">
      <alignment horizontal="center" vertical="center"/>
    </xf>
    <xf numFmtId="1" fontId="31" fillId="9" borderId="117" xfId="7" applyNumberFormat="1" applyFont="1" applyFill="1" applyBorder="1" applyAlignment="1">
      <alignment horizontal="center" vertical="center"/>
    </xf>
    <xf numFmtId="0" fontId="27" fillId="0" borderId="205" xfId="9" applyFont="1" applyBorder="1" applyAlignment="1">
      <alignment horizontal="center" vertical="center"/>
    </xf>
    <xf numFmtId="1" fontId="22" fillId="23" borderId="43" xfId="9" applyNumberFormat="1" applyFont="1" applyFill="1" applyBorder="1" applyAlignment="1">
      <alignment horizontal="center" vertical="center"/>
    </xf>
    <xf numFmtId="0" fontId="27" fillId="0" borderId="206" xfId="9" applyFont="1" applyBorder="1" applyAlignment="1">
      <alignment horizontal="center" vertical="center"/>
    </xf>
    <xf numFmtId="0" fontId="22" fillId="24" borderId="50" xfId="9" applyFont="1" applyFill="1" applyBorder="1" applyAlignment="1">
      <alignment horizontal="center" vertical="center"/>
    </xf>
    <xf numFmtId="0" fontId="17" fillId="13" borderId="1" xfId="9" applyFont="1" applyFill="1" applyBorder="1" applyAlignment="1">
      <alignment horizontal="center" vertical="center"/>
    </xf>
    <xf numFmtId="0" fontId="22" fillId="9" borderId="51" xfId="9" applyFont="1" applyFill="1" applyBorder="1" applyAlignment="1">
      <alignment horizontal="center" vertical="center"/>
    </xf>
    <xf numFmtId="0" fontId="17" fillId="15" borderId="1" xfId="9" applyFont="1" applyFill="1" applyBorder="1" applyAlignment="1">
      <alignment horizontal="center" vertical="center"/>
    </xf>
    <xf numFmtId="0" fontId="27" fillId="9" borderId="1" xfId="9" applyFont="1" applyFill="1" applyBorder="1" applyAlignment="1">
      <alignment horizontal="center" vertical="center"/>
    </xf>
    <xf numFmtId="0" fontId="27" fillId="9" borderId="123" xfId="9" applyFont="1" applyFill="1" applyBorder="1" applyAlignment="1">
      <alignment horizontal="center" vertical="center"/>
    </xf>
    <xf numFmtId="0" fontId="27" fillId="12" borderId="1" xfId="9" applyFont="1" applyFill="1" applyBorder="1" applyAlignment="1">
      <alignment horizontal="center" vertical="center"/>
    </xf>
    <xf numFmtId="0" fontId="27" fillId="22" borderId="123" xfId="9" applyFont="1" applyFill="1" applyBorder="1" applyAlignment="1">
      <alignment horizontal="center" vertical="center"/>
    </xf>
    <xf numFmtId="0" fontId="27" fillId="11" borderId="143" xfId="9" applyFont="1" applyFill="1" applyBorder="1" applyAlignment="1">
      <alignment vertical="center"/>
    </xf>
    <xf numFmtId="0" fontId="27" fillId="9" borderId="141" xfId="9" applyFont="1" applyFill="1" applyBorder="1" applyAlignment="1">
      <alignment horizontal="center" vertical="center"/>
    </xf>
    <xf numFmtId="0" fontId="27" fillId="12" borderId="99" xfId="9" applyFont="1" applyFill="1" applyBorder="1" applyAlignment="1">
      <alignment horizontal="center" vertical="center"/>
    </xf>
    <xf numFmtId="0" fontId="27" fillId="9" borderId="115" xfId="9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73" fontId="22" fillId="3" borderId="136" xfId="9" applyNumberFormat="1" applyFont="1" applyFill="1" applyBorder="1" applyAlignment="1">
      <alignment horizontal="center" vertical="center"/>
    </xf>
    <xf numFmtId="1" fontId="22" fillId="3" borderId="50" xfId="9" applyNumberFormat="1" applyFont="1" applyFill="1" applyBorder="1" applyAlignment="1">
      <alignment horizontal="center" vertical="center"/>
    </xf>
    <xf numFmtId="0" fontId="22" fillId="3" borderId="1" xfId="9" applyFont="1" applyFill="1" applyBorder="1" applyAlignment="1">
      <alignment horizontal="center" vertical="center"/>
    </xf>
    <xf numFmtId="1" fontId="27" fillId="3" borderId="119" xfId="7" applyNumberFormat="1" applyFont="1" applyFill="1" applyBorder="1" applyAlignment="1">
      <alignment horizontal="center" vertical="center"/>
    </xf>
    <xf numFmtId="0" fontId="22" fillId="3" borderId="51" xfId="9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 wrapText="1"/>
    </xf>
    <xf numFmtId="0" fontId="17" fillId="2" borderId="47" xfId="9" applyFont="1" applyFill="1" applyBorder="1" applyAlignment="1">
      <alignment horizontal="center" vertical="center"/>
    </xf>
    <xf numFmtId="0" fontId="17" fillId="2" borderId="42" xfId="9" applyFont="1" applyFill="1" applyBorder="1" applyAlignment="1">
      <alignment horizontal="center" vertical="center"/>
    </xf>
    <xf numFmtId="0" fontId="27" fillId="9" borderId="90" xfId="9" applyFont="1" applyFill="1" applyBorder="1" applyAlignment="1">
      <alignment horizontal="center" vertical="center"/>
    </xf>
    <xf numFmtId="0" fontId="27" fillId="12" borderId="91" xfId="9" applyFont="1" applyFill="1" applyBorder="1" applyAlignment="1">
      <alignment horizontal="center" vertical="center"/>
    </xf>
    <xf numFmtId="1" fontId="17" fillId="2" borderId="47" xfId="9" applyNumberFormat="1" applyFont="1" applyFill="1" applyBorder="1" applyAlignment="1">
      <alignment horizontal="center" vertical="center"/>
    </xf>
    <xf numFmtId="171" fontId="27" fillId="2" borderId="97" xfId="7" applyNumberFormat="1" applyFont="1" applyFill="1" applyBorder="1" applyAlignment="1">
      <alignment horizontal="center" vertical="center"/>
    </xf>
    <xf numFmtId="1" fontId="22" fillId="3" borderId="46" xfId="7" applyNumberFormat="1" applyFont="1" applyFill="1" applyBorder="1" applyAlignment="1">
      <alignment horizontal="center" vertical="center"/>
    </xf>
    <xf numFmtId="173" fontId="22" fillId="3" borderId="120" xfId="9" applyNumberFormat="1" applyFont="1" applyFill="1" applyBorder="1" applyAlignment="1">
      <alignment horizontal="center" vertical="center"/>
    </xf>
    <xf numFmtId="1" fontId="22" fillId="3" borderId="45" xfId="9" applyNumberFormat="1" applyFont="1" applyFill="1" applyBorder="1" applyAlignment="1">
      <alignment horizontal="center" vertical="center"/>
    </xf>
    <xf numFmtId="0" fontId="22" fillId="3" borderId="47" xfId="9" applyFont="1" applyFill="1" applyBorder="1" applyAlignment="1">
      <alignment horizontal="center" vertical="center"/>
    </xf>
    <xf numFmtId="0" fontId="22" fillId="3" borderId="48" xfId="7" applyFont="1" applyFill="1" applyBorder="1" applyAlignment="1">
      <alignment horizontal="center" vertical="center"/>
    </xf>
    <xf numFmtId="0" fontId="22" fillId="3" borderId="36" xfId="9" applyFont="1" applyFill="1" applyBorder="1" applyAlignment="1">
      <alignment horizontal="center" vertical="center"/>
    </xf>
    <xf numFmtId="172" fontId="27" fillId="2" borderId="134" xfId="9" applyNumberFormat="1" applyFont="1" applyFill="1" applyBorder="1" applyAlignment="1">
      <alignment horizontal="center" vertical="center"/>
    </xf>
    <xf numFmtId="173" fontId="22" fillId="3" borderId="135" xfId="9" applyNumberFormat="1" applyFont="1" applyFill="1" applyBorder="1" applyAlignment="1">
      <alignment horizontal="center" vertical="center"/>
    </xf>
    <xf numFmtId="1" fontId="22" fillId="3" borderId="36" xfId="9" applyNumberFormat="1" applyFont="1" applyFill="1" applyBorder="1" applyAlignment="1">
      <alignment horizontal="center" vertical="center"/>
    </xf>
    <xf numFmtId="0" fontId="22" fillId="3" borderId="43" xfId="7" applyFont="1" applyFill="1" applyBorder="1" applyAlignment="1">
      <alignment horizontal="center" vertical="center"/>
    </xf>
    <xf numFmtId="0" fontId="17" fillId="0" borderId="9" xfId="11" applyFont="1" applyBorder="1" applyAlignment="1">
      <alignment horizontal="center" vertical="center" wrapText="1"/>
    </xf>
    <xf numFmtId="1" fontId="17" fillId="15" borderId="42" xfId="9" applyNumberFormat="1" applyFont="1" applyFill="1" applyBorder="1" applyAlignment="1">
      <alignment horizontal="center" vertical="center"/>
    </xf>
    <xf numFmtId="1" fontId="22" fillId="3" borderId="40" xfId="9" applyNumberFormat="1" applyFont="1" applyFill="1" applyBorder="1" applyAlignment="1">
      <alignment horizontal="center" vertical="center"/>
    </xf>
    <xf numFmtId="0" fontId="22" fillId="3" borderId="43" xfId="9" applyFont="1" applyFill="1" applyBorder="1" applyAlignment="1">
      <alignment horizontal="center" vertical="center"/>
    </xf>
    <xf numFmtId="1" fontId="27" fillId="0" borderId="137" xfId="9" applyNumberFormat="1" applyFont="1" applyBorder="1" applyAlignment="1">
      <alignment horizontal="center" vertical="center"/>
    </xf>
    <xf numFmtId="0" fontId="22" fillId="3" borderId="102" xfId="9" applyFont="1" applyFill="1" applyBorder="1" applyAlignment="1">
      <alignment horizontal="center" vertical="center"/>
    </xf>
    <xf numFmtId="0" fontId="22" fillId="0" borderId="116" xfId="9" applyFont="1" applyBorder="1" applyAlignment="1">
      <alignment horizontal="left" vertical="center" wrapText="1"/>
    </xf>
    <xf numFmtId="0" fontId="22" fillId="0" borderId="101" xfId="9" applyFont="1" applyBorder="1" applyAlignment="1">
      <alignment horizontal="center" vertical="center"/>
    </xf>
    <xf numFmtId="0" fontId="17" fillId="0" borderId="66" xfId="9" applyFont="1" applyBorder="1" applyAlignment="1">
      <alignment horizontal="center" vertical="center"/>
    </xf>
    <xf numFmtId="0" fontId="17" fillId="15" borderId="66" xfId="9" applyFont="1" applyFill="1" applyBorder="1" applyAlignment="1">
      <alignment horizontal="center" vertical="center"/>
    </xf>
    <xf numFmtId="173" fontId="22" fillId="3" borderId="121" xfId="9" applyNumberFormat="1" applyFont="1" applyFill="1" applyBorder="1" applyAlignment="1">
      <alignment horizontal="center" vertical="center"/>
    </xf>
    <xf numFmtId="1" fontId="22" fillId="3" borderId="102" xfId="9" applyNumberFormat="1" applyFont="1" applyFill="1" applyBorder="1" applyAlignment="1">
      <alignment horizontal="center" vertical="center"/>
    </xf>
    <xf numFmtId="1" fontId="27" fillId="0" borderId="117" xfId="9" applyNumberFormat="1" applyFont="1" applyBorder="1" applyAlignment="1">
      <alignment horizontal="center" vertical="center"/>
    </xf>
    <xf numFmtId="1" fontId="27" fillId="0" borderId="95" xfId="9" applyNumberFormat="1" applyFont="1" applyBorder="1" applyAlignment="1">
      <alignment horizontal="center" vertical="center"/>
    </xf>
    <xf numFmtId="0" fontId="17" fillId="0" borderId="208" xfId="7" applyFont="1" applyBorder="1" applyAlignment="1">
      <alignment horizontal="center" vertical="center"/>
    </xf>
    <xf numFmtId="0" fontId="27" fillId="11" borderId="209" xfId="9" applyFont="1" applyFill="1" applyBorder="1" applyAlignment="1">
      <alignment horizontal="center" vertical="center"/>
    </xf>
    <xf numFmtId="0" fontId="27" fillId="0" borderId="210" xfId="9" applyFont="1" applyBorder="1" applyAlignment="1">
      <alignment horizontal="center" vertical="center"/>
    </xf>
    <xf numFmtId="0" fontId="27" fillId="0" borderId="211" xfId="9" applyFont="1" applyBorder="1" applyAlignment="1">
      <alignment horizontal="center" vertical="center"/>
    </xf>
    <xf numFmtId="0" fontId="22" fillId="0" borderId="212" xfId="9" applyFont="1" applyBorder="1" applyAlignment="1">
      <alignment horizontal="center" vertical="center"/>
    </xf>
    <xf numFmtId="0" fontId="22" fillId="0" borderId="211" xfId="9" applyFont="1" applyBorder="1" applyAlignment="1">
      <alignment horizontal="center" vertical="center"/>
    </xf>
    <xf numFmtId="0" fontId="22" fillId="0" borderId="211" xfId="9" applyFont="1" applyBorder="1" applyAlignment="1">
      <alignment horizontal="left" vertical="center" wrapText="1"/>
    </xf>
    <xf numFmtId="0" fontId="22" fillId="0" borderId="213" xfId="9" applyFont="1" applyBorder="1" applyAlignment="1">
      <alignment horizontal="center" vertical="center"/>
    </xf>
    <xf numFmtId="0" fontId="17" fillId="0" borderId="162" xfId="9" applyFont="1" applyBorder="1" applyAlignment="1">
      <alignment horizontal="center" vertical="center"/>
    </xf>
    <xf numFmtId="1" fontId="38" fillId="17" borderId="211" xfId="7" applyNumberFormat="1" applyFont="1" applyFill="1" applyBorder="1" applyAlignment="1">
      <alignment horizontal="center" vertical="center"/>
    </xf>
    <xf numFmtId="1" fontId="27" fillId="2" borderId="214" xfId="7" applyNumberFormat="1" applyFont="1" applyFill="1" applyBorder="1" applyAlignment="1">
      <alignment horizontal="center" vertical="center"/>
    </xf>
    <xf numFmtId="1" fontId="27" fillId="2" borderId="215" xfId="7" applyNumberFormat="1" applyFont="1" applyFill="1" applyBorder="1" applyAlignment="1">
      <alignment horizontal="center" vertical="center"/>
    </xf>
    <xf numFmtId="1" fontId="27" fillId="2" borderId="216" xfId="7" applyNumberFormat="1" applyFont="1" applyFill="1" applyBorder="1" applyAlignment="1">
      <alignment horizontal="center" vertical="center"/>
    </xf>
    <xf numFmtId="171" fontId="27" fillId="2" borderId="216" xfId="7" applyNumberFormat="1" applyFont="1" applyFill="1" applyBorder="1" applyAlignment="1">
      <alignment horizontal="center" vertical="center"/>
    </xf>
    <xf numFmtId="172" fontId="27" fillId="2" borderId="216" xfId="9" applyNumberFormat="1" applyFont="1" applyFill="1" applyBorder="1" applyAlignment="1">
      <alignment horizontal="center" vertical="center"/>
    </xf>
    <xf numFmtId="1" fontId="22" fillId="0" borderId="217" xfId="7" applyNumberFormat="1" applyFont="1" applyBorder="1" applyAlignment="1">
      <alignment horizontal="center" vertical="center"/>
    </xf>
    <xf numFmtId="173" fontId="22" fillId="0" borderId="218" xfId="9" applyNumberFormat="1" applyFont="1" applyBorder="1" applyAlignment="1">
      <alignment horizontal="center" vertical="center"/>
    </xf>
    <xf numFmtId="1" fontId="22" fillId="0" borderId="219" xfId="9" applyNumberFormat="1" applyFont="1" applyBorder="1" applyAlignment="1">
      <alignment horizontal="center" vertical="center"/>
    </xf>
    <xf numFmtId="0" fontId="22" fillId="0" borderId="162" xfId="9" applyFont="1" applyBorder="1" applyAlignment="1">
      <alignment horizontal="center" vertical="center"/>
    </xf>
    <xf numFmtId="1" fontId="27" fillId="16" borderId="216" xfId="7" applyNumberFormat="1" applyFont="1" applyFill="1" applyBorder="1" applyAlignment="1">
      <alignment horizontal="center" vertical="center"/>
    </xf>
    <xf numFmtId="0" fontId="22" fillId="0" borderId="161" xfId="9" applyFont="1" applyBorder="1" applyAlignment="1">
      <alignment horizontal="center" vertical="center"/>
    </xf>
    <xf numFmtId="1" fontId="27" fillId="0" borderId="214" xfId="9" applyNumberFormat="1" applyFont="1" applyBorder="1" applyAlignment="1">
      <alignment horizontal="center" vertical="center"/>
    </xf>
    <xf numFmtId="1" fontId="27" fillId="0" borderId="207" xfId="7" applyNumberFormat="1" applyFont="1" applyBorder="1" applyAlignment="1">
      <alignment horizontal="center" vertical="center"/>
    </xf>
    <xf numFmtId="1" fontId="27" fillId="14" borderId="214" xfId="7" applyNumberFormat="1" applyFont="1" applyFill="1" applyBorder="1" applyAlignment="1">
      <alignment horizontal="center" vertical="center"/>
    </xf>
    <xf numFmtId="0" fontId="27" fillId="0" borderId="214" xfId="9" applyFont="1" applyBorder="1" applyAlignment="1">
      <alignment horizontal="center" vertical="center"/>
    </xf>
    <xf numFmtId="0" fontId="27" fillId="0" borderId="220" xfId="9" applyFont="1" applyBorder="1" applyAlignment="1">
      <alignment horizontal="center" vertical="center"/>
    </xf>
    <xf numFmtId="1" fontId="31" fillId="0" borderId="214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 wrapText="1"/>
    </xf>
    <xf numFmtId="174" fontId="17" fillId="0" borderId="91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/>
    </xf>
    <xf numFmtId="175" fontId="17" fillId="0" borderId="91" xfId="9" applyNumberFormat="1" applyFont="1" applyBorder="1" applyAlignment="1">
      <alignment horizontal="center" vertical="center"/>
    </xf>
    <xf numFmtId="1" fontId="17" fillId="0" borderId="91" xfId="9" applyNumberFormat="1" applyFont="1" applyBorder="1" applyAlignment="1">
      <alignment horizontal="center" vertical="center"/>
    </xf>
    <xf numFmtId="1" fontId="17" fillId="0" borderId="97" xfId="9" applyNumberFormat="1" applyFont="1" applyBorder="1" applyAlignment="1">
      <alignment horizontal="center" vertical="center"/>
    </xf>
    <xf numFmtId="0" fontId="17" fillId="0" borderId="103" xfId="9" applyFont="1" applyBorder="1" applyAlignment="1">
      <alignment horizontal="center" vertical="center"/>
    </xf>
    <xf numFmtId="0" fontId="17" fillId="0" borderId="96" xfId="9" applyFont="1" applyBorder="1" applyAlignment="1">
      <alignment horizontal="center" vertical="center"/>
    </xf>
    <xf numFmtId="167" fontId="17" fillId="0" borderId="100" xfId="9" applyNumberFormat="1" applyFont="1" applyBorder="1" applyAlignment="1">
      <alignment horizontal="center" vertical="center"/>
    </xf>
    <xf numFmtId="0" fontId="37" fillId="14" borderId="0" xfId="0" applyFont="1" applyFill="1"/>
    <xf numFmtId="0" fontId="27" fillId="11" borderId="222" xfId="9" applyFont="1" applyFill="1" applyBorder="1" applyAlignment="1">
      <alignment vertical="center"/>
    </xf>
    <xf numFmtId="0" fontId="22" fillId="14" borderId="189" xfId="9" applyFont="1" applyFill="1" applyBorder="1" applyAlignment="1">
      <alignment horizontal="center" vertical="center"/>
    </xf>
    <xf numFmtId="1" fontId="17" fillId="2" borderId="34" xfId="9" applyNumberFormat="1" applyFont="1" applyFill="1" applyBorder="1" applyAlignment="1">
      <alignment horizontal="center" vertical="center"/>
    </xf>
    <xf numFmtId="1" fontId="27" fillId="2" borderId="52" xfId="7" applyNumberFormat="1" applyFont="1" applyFill="1" applyBorder="1" applyAlignment="1">
      <alignment horizontal="center" vertical="center"/>
    </xf>
    <xf numFmtId="0" fontId="22" fillId="0" borderId="183" xfId="7" applyFont="1" applyBorder="1" applyAlignment="1">
      <alignment horizontal="center" vertical="center"/>
    </xf>
    <xf numFmtId="1" fontId="27" fillId="0" borderId="52" xfId="9" applyNumberFormat="1" applyFont="1" applyBorder="1" applyAlignment="1">
      <alignment horizontal="center" vertical="center"/>
    </xf>
    <xf numFmtId="0" fontId="27" fillId="0" borderId="52" xfId="9" applyFont="1" applyBorder="1" applyAlignment="1">
      <alignment horizontal="center" vertical="center"/>
    </xf>
    <xf numFmtId="0" fontId="27" fillId="0" borderId="223" xfId="9" applyFont="1" applyBorder="1" applyAlignment="1">
      <alignment horizontal="center" vertical="center"/>
    </xf>
    <xf numFmtId="0" fontId="22" fillId="14" borderId="199" xfId="9" applyFont="1" applyFill="1" applyBorder="1" applyAlignment="1">
      <alignment horizontal="center" vertical="center"/>
    </xf>
    <xf numFmtId="0" fontId="22" fillId="0" borderId="140" xfId="9" applyFont="1" applyBorder="1" applyAlignment="1">
      <alignment horizontal="center" vertical="center"/>
    </xf>
    <xf numFmtId="0" fontId="22" fillId="0" borderId="140" xfId="9" applyFont="1" applyBorder="1" applyAlignment="1">
      <alignment horizontal="left" vertical="center" wrapText="1"/>
    </xf>
    <xf numFmtId="0" fontId="22" fillId="0" borderId="225" xfId="9" applyFont="1" applyBorder="1" applyAlignment="1">
      <alignment horizontal="center" vertical="center"/>
    </xf>
    <xf numFmtId="0" fontId="17" fillId="0" borderId="140" xfId="9" applyFont="1" applyBorder="1" applyAlignment="1">
      <alignment horizontal="center" vertical="center"/>
    </xf>
    <xf numFmtId="173" fontId="22" fillId="0" borderId="226" xfId="9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81" xfId="7" applyFont="1" applyBorder="1" applyAlignment="1">
      <alignment horizontal="center" vertical="center"/>
    </xf>
    <xf numFmtId="0" fontId="22" fillId="14" borderId="102" xfId="9" applyFont="1" applyFill="1" applyBorder="1" applyAlignment="1">
      <alignment horizontal="center" vertical="center" shrinkToFit="1"/>
    </xf>
    <xf numFmtId="0" fontId="17" fillId="0" borderId="116" xfId="9" applyFont="1" applyBorder="1" applyAlignment="1">
      <alignment horizontal="center" vertical="center"/>
    </xf>
    <xf numFmtId="173" fontId="22" fillId="0" borderId="121" xfId="9" applyNumberFormat="1" applyFont="1" applyBorder="1" applyAlignment="1">
      <alignment horizontal="center" vertical="center"/>
    </xf>
    <xf numFmtId="1" fontId="22" fillId="0" borderId="102" xfId="9" applyNumberFormat="1" applyFont="1" applyBorder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0" fontId="17" fillId="0" borderId="227" xfId="9" applyFont="1" applyBorder="1" applyAlignment="1">
      <alignment horizontal="center" vertical="center" wrapText="1"/>
    </xf>
    <xf numFmtId="174" fontId="17" fillId="0" borderId="227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/>
    </xf>
    <xf numFmtId="175" fontId="17" fillId="0" borderId="227" xfId="9" applyNumberFormat="1" applyFont="1" applyBorder="1" applyAlignment="1">
      <alignment horizontal="center" vertical="center"/>
    </xf>
    <xf numFmtId="1" fontId="17" fillId="0" borderId="227" xfId="9" applyNumberFormat="1" applyFont="1" applyBorder="1" applyAlignment="1">
      <alignment horizontal="center" vertical="center"/>
    </xf>
    <xf numFmtId="176" fontId="17" fillId="0" borderId="228" xfId="9" applyNumberFormat="1" applyFont="1" applyBorder="1" applyAlignment="1">
      <alignment horizontal="center" vertical="center"/>
    </xf>
    <xf numFmtId="0" fontId="17" fillId="0" borderId="229" xfId="9" applyFont="1" applyBorder="1" applyAlignment="1">
      <alignment horizontal="center" vertical="center"/>
    </xf>
    <xf numFmtId="0" fontId="17" fillId="0" borderId="230" xfId="9" applyFont="1" applyBorder="1" applyAlignment="1">
      <alignment horizontal="center" vertical="center"/>
    </xf>
    <xf numFmtId="0" fontId="17" fillId="0" borderId="231" xfId="9" applyFont="1" applyBorder="1" applyAlignment="1">
      <alignment horizontal="center" vertical="center"/>
    </xf>
    <xf numFmtId="0" fontId="17" fillId="0" borderId="232" xfId="9" applyFont="1" applyBorder="1" applyAlignment="1">
      <alignment horizontal="center" vertical="center"/>
    </xf>
    <xf numFmtId="2" fontId="17" fillId="0" borderId="231" xfId="9" applyNumberFormat="1" applyFont="1" applyBorder="1" applyAlignment="1">
      <alignment horizontal="center" vertical="center"/>
    </xf>
    <xf numFmtId="167" fontId="17" fillId="0" borderId="231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 shrinkToFit="1"/>
    </xf>
    <xf numFmtId="0" fontId="22" fillId="14" borderId="50" xfId="9" applyFont="1" applyFill="1" applyBorder="1" applyAlignment="1">
      <alignment horizontal="center" vertical="center" shrinkToFit="1"/>
    </xf>
    <xf numFmtId="0" fontId="17" fillId="0" borderId="1" xfId="9" applyFont="1" applyBorder="1" applyAlignment="1">
      <alignment horizontal="center" vertical="center" shrinkToFit="1"/>
    </xf>
    <xf numFmtId="0" fontId="22" fillId="14" borderId="45" xfId="9" applyFont="1" applyFill="1" applyBorder="1" applyAlignment="1">
      <alignment horizontal="center" vertical="center" shrinkToFit="1"/>
    </xf>
    <xf numFmtId="0" fontId="17" fillId="0" borderId="47" xfId="9" applyFont="1" applyBorder="1" applyAlignment="1">
      <alignment horizontal="center" vertical="center" shrinkToFit="1"/>
    </xf>
    <xf numFmtId="0" fontId="22" fillId="14" borderId="40" xfId="9" applyFont="1" applyFill="1" applyBorder="1" applyAlignment="1">
      <alignment horizontal="center" vertical="center" shrinkToFit="1"/>
    </xf>
    <xf numFmtId="0" fontId="17" fillId="0" borderId="42" xfId="9" applyFont="1" applyBorder="1" applyAlignment="1">
      <alignment horizontal="center" vertical="center" shrinkToFit="1"/>
    </xf>
    <xf numFmtId="177" fontId="17" fillId="0" borderId="1" xfId="9" applyNumberFormat="1" applyFont="1" applyBorder="1" applyAlignment="1">
      <alignment horizontal="center" vertical="center"/>
    </xf>
    <xf numFmtId="0" fontId="27" fillId="11" borderId="205" xfId="9" applyFont="1" applyFill="1" applyBorder="1" applyAlignment="1">
      <alignment vertical="center"/>
    </xf>
    <xf numFmtId="0" fontId="45" fillId="0" borderId="233" xfId="0" applyFont="1" applyBorder="1" applyAlignment="1">
      <alignment horizontal="left"/>
    </xf>
    <xf numFmtId="0" fontId="17" fillId="0" borderId="182" xfId="12" applyFont="1" applyBorder="1" applyAlignment="1">
      <alignment horizontal="center" vertical="center"/>
    </xf>
    <xf numFmtId="0" fontId="27" fillId="17" borderId="90" xfId="9" applyFont="1" applyFill="1" applyBorder="1" applyAlignment="1">
      <alignment horizontal="center" vertical="center"/>
    </xf>
    <xf numFmtId="0" fontId="27" fillId="9" borderId="91" xfId="9" applyFont="1" applyFill="1" applyBorder="1" applyAlignment="1">
      <alignment horizontal="center" vertical="center"/>
    </xf>
    <xf numFmtId="0" fontId="27" fillId="17" borderId="115" xfId="9" applyFont="1" applyFill="1" applyBorder="1" applyAlignment="1">
      <alignment horizontal="center" vertical="center"/>
    </xf>
    <xf numFmtId="0" fontId="27" fillId="17" borderId="141" xfId="9" applyFont="1" applyFill="1" applyBorder="1" applyAlignment="1">
      <alignment horizontal="center" vertical="center"/>
    </xf>
    <xf numFmtId="0" fontId="22" fillId="9" borderId="48" xfId="9" applyFont="1" applyFill="1" applyBorder="1" applyAlignment="1">
      <alignment horizontal="center" vertical="center"/>
    </xf>
    <xf numFmtId="0" fontId="27" fillId="9" borderId="64" xfId="9" applyFont="1" applyFill="1" applyBorder="1" applyAlignment="1">
      <alignment horizontal="center" vertical="center"/>
    </xf>
    <xf numFmtId="0" fontId="27" fillId="0" borderId="64" xfId="9" applyFont="1" applyBorder="1" applyAlignment="1">
      <alignment horizontal="center" vertical="center"/>
    </xf>
    <xf numFmtId="0" fontId="27" fillId="9" borderId="102" xfId="9" applyFont="1" applyFill="1" applyBorder="1" applyAlignment="1">
      <alignment horizontal="center" vertical="center"/>
    </xf>
    <xf numFmtId="0" fontId="27" fillId="0" borderId="102" xfId="9" applyFont="1" applyBorder="1" applyAlignment="1">
      <alignment horizontal="center" vertical="center"/>
    </xf>
    <xf numFmtId="0" fontId="22" fillId="14" borderId="40" xfId="9" applyFont="1" applyFill="1" applyBorder="1" applyAlignment="1">
      <alignment horizontal="center" vertical="center"/>
    </xf>
    <xf numFmtId="0" fontId="17" fillId="0" borderId="105" xfId="7" applyFont="1" applyBorder="1" applyAlignment="1">
      <alignment horizontal="center" vertical="center"/>
    </xf>
    <xf numFmtId="0" fontId="27" fillId="2" borderId="151" xfId="9" applyFont="1" applyFill="1" applyBorder="1" applyAlignment="1">
      <alignment horizontal="center" vertical="center"/>
    </xf>
    <xf numFmtId="0" fontId="22" fillId="14" borderId="108" xfId="9" applyFont="1" applyFill="1" applyBorder="1" applyAlignment="1">
      <alignment horizontal="center" vertical="center" shrinkToFit="1"/>
    </xf>
    <xf numFmtId="1" fontId="38" fillId="17" borderId="151" xfId="7" applyNumberFormat="1" applyFont="1" applyFill="1" applyBorder="1" applyAlignment="1">
      <alignment horizontal="center" vertical="center"/>
    </xf>
    <xf numFmtId="1" fontId="27" fillId="2" borderId="156" xfId="7" applyNumberFormat="1" applyFont="1" applyFill="1" applyBorder="1" applyAlignment="1">
      <alignment horizontal="center" vertical="center"/>
    </xf>
    <xf numFmtId="1" fontId="27" fillId="2" borderId="94" xfId="7" applyNumberFormat="1" applyFont="1" applyFill="1" applyBorder="1" applyAlignment="1">
      <alignment horizontal="center" vertical="center"/>
    </xf>
    <xf numFmtId="1" fontId="27" fillId="2" borderId="113" xfId="7" applyNumberFormat="1" applyFont="1" applyFill="1" applyBorder="1" applyAlignment="1">
      <alignment horizontal="center" vertical="center"/>
    </xf>
    <xf numFmtId="171" fontId="27" fillId="2" borderId="156" xfId="7" applyNumberFormat="1" applyFont="1" applyFill="1" applyBorder="1" applyAlignment="1">
      <alignment horizontal="center" vertical="center"/>
    </xf>
    <xf numFmtId="1" fontId="27" fillId="16" borderId="154" xfId="7" applyNumberFormat="1" applyFont="1" applyFill="1" applyBorder="1" applyAlignment="1">
      <alignment horizontal="center" vertical="center"/>
    </xf>
    <xf numFmtId="1" fontId="22" fillId="15" borderId="108" xfId="7" applyNumberFormat="1" applyFont="1" applyFill="1" applyBorder="1" applyAlignment="1">
      <alignment horizontal="center" vertical="center"/>
    </xf>
    <xf numFmtId="1" fontId="27" fillId="0" borderId="156" xfId="7" applyNumberFormat="1" applyFont="1" applyBorder="1" applyAlignment="1">
      <alignment horizontal="center" vertical="center"/>
    </xf>
    <xf numFmtId="1" fontId="31" fillId="0" borderId="156" xfId="7" applyNumberFormat="1" applyFont="1" applyBorder="1" applyAlignment="1">
      <alignment horizontal="center" vertical="center"/>
    </xf>
    <xf numFmtId="1" fontId="17" fillId="0" borderId="151" xfId="9" applyNumberFormat="1" applyFont="1" applyBorder="1" applyAlignment="1">
      <alignment horizontal="center" vertical="center"/>
    </xf>
    <xf numFmtId="176" fontId="17" fillId="0" borderId="154" xfId="9" applyNumberFormat="1" applyFont="1" applyBorder="1" applyAlignment="1">
      <alignment horizontal="center" vertical="center"/>
    </xf>
    <xf numFmtId="2" fontId="17" fillId="0" borderId="108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shrinkToFit="1"/>
    </xf>
    <xf numFmtId="0" fontId="27" fillId="11" borderId="75" xfId="9" applyFont="1" applyFill="1" applyBorder="1" applyAlignment="1">
      <alignment horizontal="center" vertical="center"/>
    </xf>
    <xf numFmtId="0" fontId="27" fillId="12" borderId="235" xfId="9" applyFont="1" applyFill="1" applyBorder="1" applyAlignment="1">
      <alignment horizontal="center" vertical="center"/>
    </xf>
    <xf numFmtId="0" fontId="27" fillId="0" borderId="77" xfId="9" applyFont="1" applyBorder="1" applyAlignment="1">
      <alignment horizontal="center" vertical="center"/>
    </xf>
    <xf numFmtId="0" fontId="27" fillId="0" borderId="158" xfId="9" applyFont="1" applyBorder="1" applyAlignment="1">
      <alignment horizontal="center" vertical="center"/>
    </xf>
    <xf numFmtId="0" fontId="22" fillId="14" borderId="77" xfId="9" applyFont="1" applyFill="1" applyBorder="1" applyAlignment="1">
      <alignment horizontal="center" vertical="center" shrinkToFit="1"/>
    </xf>
    <xf numFmtId="0" fontId="22" fillId="0" borderId="158" xfId="9" applyFont="1" applyBorder="1" applyAlignment="1">
      <alignment horizontal="center" vertical="center"/>
    </xf>
    <xf numFmtId="0" fontId="22" fillId="0" borderId="158" xfId="9" applyFont="1" applyBorder="1" applyAlignment="1">
      <alignment horizontal="left" vertical="center" wrapText="1"/>
    </xf>
    <xf numFmtId="0" fontId="22" fillId="0" borderId="236" xfId="9" applyFont="1" applyBorder="1" applyAlignment="1">
      <alignment horizontal="center" vertical="center"/>
    </xf>
    <xf numFmtId="171" fontId="27" fillId="2" borderId="87" xfId="7" applyNumberFormat="1" applyFont="1" applyFill="1" applyBorder="1" applyAlignment="1">
      <alignment horizontal="center" vertical="center"/>
    </xf>
    <xf numFmtId="172" fontId="27" fillId="2" borderId="237" xfId="7" applyNumberFormat="1" applyFont="1" applyFill="1" applyBorder="1" applyAlignment="1">
      <alignment horizontal="center" vertical="center"/>
    </xf>
    <xf numFmtId="173" fontId="22" fillId="0" borderId="238" xfId="9" applyNumberFormat="1" applyFont="1" applyBorder="1" applyAlignment="1">
      <alignment horizontal="center" vertical="center"/>
    </xf>
    <xf numFmtId="1" fontId="22" fillId="0" borderId="33" xfId="9" applyNumberFormat="1" applyFont="1" applyBorder="1" applyAlignment="1">
      <alignment horizontal="center" vertical="center"/>
    </xf>
    <xf numFmtId="0" fontId="27" fillId="12" borderId="102" xfId="9" applyFont="1" applyFill="1" applyBorder="1" applyAlignment="1">
      <alignment horizontal="center" vertical="center"/>
    </xf>
    <xf numFmtId="171" fontId="27" fillId="2" borderId="118" xfId="7" applyNumberFormat="1" applyFont="1" applyFill="1" applyBorder="1" applyAlignment="1">
      <alignment horizontal="center" vertical="center"/>
    </xf>
    <xf numFmtId="0" fontId="22" fillId="0" borderId="11" xfId="7" applyFont="1" applyBorder="1" applyAlignment="1">
      <alignment horizontal="center" vertical="center"/>
    </xf>
    <xf numFmtId="0" fontId="22" fillId="0" borderId="70" xfId="7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wrapText="1"/>
    </xf>
    <xf numFmtId="174" fontId="17" fillId="0" borderId="116" xfId="9" applyNumberFormat="1" applyFont="1" applyBorder="1" applyAlignment="1">
      <alignment horizontal="center" vertical="center"/>
    </xf>
    <xf numFmtId="175" fontId="17" fillId="0" borderId="116" xfId="9" applyNumberFormat="1" applyFont="1" applyBorder="1" applyAlignment="1">
      <alignment horizontal="center" vertical="center"/>
    </xf>
    <xf numFmtId="1" fontId="17" fillId="0" borderId="116" xfId="9" applyNumberFormat="1" applyFont="1" applyBorder="1" applyAlignment="1">
      <alignment horizontal="center" vertical="center"/>
    </xf>
    <xf numFmtId="176" fontId="17" fillId="0" borderId="119" xfId="9" applyNumberFormat="1" applyFont="1" applyBorder="1" applyAlignment="1">
      <alignment horizontal="center" vertical="center"/>
    </xf>
    <xf numFmtId="0" fontId="17" fillId="0" borderId="9" xfId="9" applyFont="1" applyBorder="1" applyAlignment="1">
      <alignment horizontal="center" vertical="center"/>
    </xf>
    <xf numFmtId="0" fontId="17" fillId="0" borderId="95" xfId="9" applyFont="1" applyBorder="1" applyAlignment="1">
      <alignment horizontal="center" vertical="center"/>
    </xf>
    <xf numFmtId="0" fontId="17" fillId="0" borderId="118" xfId="9" applyFont="1" applyBorder="1" applyAlignment="1">
      <alignment horizontal="center" vertical="center"/>
    </xf>
    <xf numFmtId="2" fontId="17" fillId="0" borderId="102" xfId="9" applyNumberFormat="1" applyFont="1" applyBorder="1" applyAlignment="1">
      <alignment horizontal="center" vertical="center"/>
    </xf>
    <xf numFmtId="167" fontId="17" fillId="0" borderId="102" xfId="9" applyNumberFormat="1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shrinkToFit="1"/>
    </xf>
    <xf numFmtId="0" fontId="22" fillId="0" borderId="9" xfId="7" applyFont="1" applyBorder="1" applyAlignment="1">
      <alignment horizontal="center" vertical="center"/>
    </xf>
    <xf numFmtId="173" fontId="22" fillId="0" borderId="1" xfId="7" applyNumberFormat="1" applyFont="1" applyBorder="1" applyAlignment="1">
      <alignment horizontal="center" vertical="center"/>
    </xf>
    <xf numFmtId="1" fontId="22" fillId="0" borderId="102" xfId="7" applyNumberFormat="1" applyFont="1" applyBorder="1" applyAlignment="1">
      <alignment horizontal="center" vertical="center"/>
    </xf>
    <xf numFmtId="173" fontId="22" fillId="0" borderId="116" xfId="7" applyNumberFormat="1" applyFont="1" applyBorder="1" applyAlignment="1">
      <alignment horizontal="center" vertical="center"/>
    </xf>
    <xf numFmtId="0" fontId="27" fillId="9" borderId="141" xfId="9" applyFont="1" applyFill="1" applyBorder="1" applyAlignment="1">
      <alignment vertical="center"/>
    </xf>
    <xf numFmtId="0" fontId="27" fillId="12" borderId="99" xfId="9" applyFont="1" applyFill="1" applyBorder="1" applyAlignment="1">
      <alignment vertical="center"/>
    </xf>
    <xf numFmtId="0" fontId="27" fillId="0" borderId="99" xfId="9" applyFont="1" applyBorder="1" applyAlignment="1">
      <alignment vertical="center"/>
    </xf>
    <xf numFmtId="0" fontId="17" fillId="0" borderId="182" xfId="10" applyFont="1" applyBorder="1" applyAlignment="1">
      <alignment horizontal="center" vertical="center" wrapText="1"/>
    </xf>
    <xf numFmtId="0" fontId="27" fillId="9" borderId="115" xfId="9" applyFont="1" applyFill="1" applyBorder="1" applyAlignment="1">
      <alignment vertical="center"/>
    </xf>
    <xf numFmtId="0" fontId="27" fillId="12" borderId="116" xfId="9" applyFont="1" applyFill="1" applyBorder="1" applyAlignment="1">
      <alignment vertical="center"/>
    </xf>
    <xf numFmtId="0" fontId="27" fillId="0" borderId="116" xfId="9" applyFont="1" applyBorder="1" applyAlignment="1">
      <alignment vertical="center"/>
    </xf>
    <xf numFmtId="0" fontId="22" fillId="14" borderId="100" xfId="9" applyFont="1" applyFill="1" applyBorder="1" applyAlignment="1">
      <alignment horizontal="center" vertical="center"/>
    </xf>
    <xf numFmtId="0" fontId="22" fillId="0" borderId="91" xfId="9" applyFont="1" applyBorder="1" applyAlignment="1">
      <alignment horizontal="center" vertical="center"/>
    </xf>
    <xf numFmtId="0" fontId="22" fillId="0" borderId="91" xfId="9" applyFont="1" applyBorder="1" applyAlignment="1">
      <alignment horizontal="left" vertical="center" wrapText="1"/>
    </xf>
    <xf numFmtId="0" fontId="22" fillId="0" borderId="68" xfId="9" applyFont="1" applyBorder="1" applyAlignment="1">
      <alignment horizontal="center" vertical="center"/>
    </xf>
    <xf numFmtId="1" fontId="27" fillId="2" borderId="12" xfId="7" applyNumberFormat="1" applyFont="1" applyFill="1" applyBorder="1" applyAlignment="1">
      <alignment horizontal="center" vertical="center"/>
    </xf>
    <xf numFmtId="172" fontId="27" fillId="2" borderId="97" xfId="9" applyNumberFormat="1" applyFont="1" applyFill="1" applyBorder="1" applyAlignment="1">
      <alignment horizontal="center" vertical="center"/>
    </xf>
    <xf numFmtId="1" fontId="22" fillId="0" borderId="64" xfId="9" applyNumberFormat="1" applyFont="1" applyBorder="1" applyAlignment="1">
      <alignment horizontal="center" vertical="center"/>
    </xf>
    <xf numFmtId="1" fontId="22" fillId="0" borderId="100" xfId="7" applyNumberFormat="1" applyFont="1" applyBorder="1" applyAlignment="1">
      <alignment horizontal="center" vertical="center"/>
    </xf>
    <xf numFmtId="1" fontId="27" fillId="0" borderId="87" xfId="9" applyNumberFormat="1" applyFont="1" applyBorder="1" applyAlignment="1">
      <alignment horizontal="center" vertical="center"/>
    </xf>
    <xf numFmtId="0" fontId="27" fillId="0" borderId="87" xfId="9" applyFont="1" applyBorder="1" applyAlignment="1">
      <alignment horizontal="center" vertical="center"/>
    </xf>
    <xf numFmtId="0" fontId="27" fillId="0" borderId="103" xfId="9" applyFont="1" applyBorder="1" applyAlignment="1">
      <alignment horizontal="center" vertical="center"/>
    </xf>
    <xf numFmtId="176" fontId="17" fillId="0" borderId="97" xfId="9" applyNumberFormat="1" applyFont="1" applyBorder="1" applyAlignment="1">
      <alignment horizontal="center" vertical="center"/>
    </xf>
    <xf numFmtId="2" fontId="17" fillId="0" borderId="100" xfId="9" applyNumberFormat="1" applyFont="1" applyBorder="1" applyAlignment="1">
      <alignment horizontal="center" vertical="center"/>
    </xf>
    <xf numFmtId="0" fontId="17" fillId="0" borderId="182" xfId="10" applyFont="1" applyBorder="1" applyAlignment="1">
      <alignment vertical="center" wrapText="1"/>
    </xf>
    <xf numFmtId="171" fontId="27" fillId="2" borderId="12" xfId="7" applyNumberFormat="1" applyFont="1" applyFill="1" applyBorder="1" applyAlignment="1">
      <alignment horizontal="center" vertical="center"/>
    </xf>
    <xf numFmtId="1" fontId="22" fillId="0" borderId="50" xfId="7" applyNumberFormat="1" applyFont="1" applyBorder="1" applyAlignment="1">
      <alignment horizontal="center" vertical="center"/>
    </xf>
    <xf numFmtId="0" fontId="27" fillId="2" borderId="102" xfId="9" applyFont="1" applyFill="1" applyBorder="1" applyAlignment="1">
      <alignment horizontal="center" vertical="center"/>
    </xf>
    <xf numFmtId="1" fontId="27" fillId="2" borderId="18" xfId="7" applyNumberFormat="1" applyFont="1" applyFill="1" applyBorder="1" applyAlignment="1">
      <alignment horizontal="center" vertical="center"/>
    </xf>
    <xf numFmtId="1" fontId="27" fillId="2" borderId="87" xfId="7" applyNumberFormat="1" applyFont="1" applyFill="1" applyBorder="1" applyAlignment="1">
      <alignment horizontal="center" vertical="center"/>
    </xf>
    <xf numFmtId="0" fontId="27" fillId="2" borderId="1" xfId="9" applyFont="1" applyFill="1" applyBorder="1" applyAlignment="1">
      <alignment horizontal="center" vertical="center"/>
    </xf>
    <xf numFmtId="0" fontId="27" fillId="2" borderId="116" xfId="9" applyFont="1" applyFill="1" applyBorder="1" applyAlignment="1">
      <alignment horizontal="center" vertical="center"/>
    </xf>
    <xf numFmtId="0" fontId="17" fillId="0" borderId="181" xfId="10" applyFont="1" applyBorder="1" applyAlignment="1">
      <alignment vertical="center" wrapText="1"/>
    </xf>
    <xf numFmtId="1" fontId="22" fillId="0" borderId="88" xfId="7" applyNumberFormat="1" applyFont="1" applyBorder="1" applyAlignment="1">
      <alignment horizontal="center" vertical="center"/>
    </xf>
    <xf numFmtId="0" fontId="46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vertical="center"/>
    </xf>
    <xf numFmtId="0" fontId="27" fillId="2" borderId="116" xfId="9" applyFont="1" applyFill="1" applyBorder="1" applyAlignment="1">
      <alignment vertical="center"/>
    </xf>
    <xf numFmtId="0" fontId="17" fillId="0" borderId="181" xfId="12" applyFont="1" applyBorder="1" applyAlignment="1">
      <alignment horizontal="center" vertical="center"/>
    </xf>
    <xf numFmtId="1" fontId="22" fillId="0" borderId="116" xfId="9" applyNumberFormat="1" applyFont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 wrapText="1"/>
    </xf>
    <xf numFmtId="0" fontId="17" fillId="0" borderId="180" xfId="10" applyFont="1" applyBorder="1" applyAlignment="1">
      <alignment horizontal="center" vertical="center" wrapText="1"/>
    </xf>
    <xf numFmtId="0" fontId="27" fillId="0" borderId="150" xfId="9" applyFont="1" applyBorder="1" applyAlignment="1">
      <alignment vertical="center"/>
    </xf>
    <xf numFmtId="0" fontId="27" fillId="0" borderId="151" xfId="9" applyFont="1" applyBorder="1" applyAlignment="1">
      <alignment vertical="center"/>
    </xf>
    <xf numFmtId="0" fontId="27" fillId="14" borderId="151" xfId="9" applyFont="1" applyFill="1" applyBorder="1" applyAlignment="1">
      <alignment vertical="center"/>
    </xf>
    <xf numFmtId="0" fontId="17" fillId="13" borderId="151" xfId="9" applyFont="1" applyFill="1" applyBorder="1" applyAlignment="1">
      <alignment horizontal="center" vertical="center"/>
    </xf>
    <xf numFmtId="1" fontId="22" fillId="0" borderId="239" xfId="9" applyNumberFormat="1" applyFont="1" applyBorder="1" applyAlignment="1">
      <alignment horizontal="center" vertical="center"/>
    </xf>
    <xf numFmtId="173" fontId="22" fillId="0" borderId="151" xfId="7" applyNumberFormat="1" applyFont="1" applyBorder="1" applyAlignment="1">
      <alignment horizontal="center" vertical="center"/>
    </xf>
    <xf numFmtId="1" fontId="22" fillId="0" borderId="108" xfId="7" applyNumberFormat="1" applyFont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 wrapText="1"/>
    </xf>
    <xf numFmtId="0" fontId="27" fillId="11" borderId="240" xfId="9" applyFont="1" applyFill="1" applyBorder="1" applyAlignment="1">
      <alignment horizontal="center" vertical="center"/>
    </xf>
    <xf numFmtId="0" fontId="22" fillId="2" borderId="102" xfId="9" applyFont="1" applyFill="1" applyBorder="1" applyAlignment="1">
      <alignment horizontal="center" vertical="center" shrinkToFit="1"/>
    </xf>
    <xf numFmtId="1" fontId="31" fillId="0" borderId="85" xfId="7" applyNumberFormat="1" applyFont="1" applyBorder="1" applyAlignment="1">
      <alignment horizontal="center" vertical="center" wrapText="1"/>
    </xf>
    <xf numFmtId="0" fontId="17" fillId="0" borderId="181" xfId="10" applyFont="1" applyBorder="1" applyAlignment="1">
      <alignment horizontal="center" vertical="center" wrapText="1"/>
    </xf>
    <xf numFmtId="0" fontId="27" fillId="0" borderId="50" xfId="9" applyFont="1" applyBorder="1" applyAlignment="1">
      <alignment horizontal="center" vertical="center"/>
    </xf>
    <xf numFmtId="0" fontId="27" fillId="11" borderId="241" xfId="9" applyFont="1" applyFill="1" applyBorder="1" applyAlignment="1">
      <alignment horizontal="center" vertical="center"/>
    </xf>
    <xf numFmtId="0" fontId="27" fillId="2" borderId="151" xfId="9" applyFont="1" applyFill="1" applyBorder="1" applyAlignment="1">
      <alignment vertical="center"/>
    </xf>
    <xf numFmtId="0" fontId="22" fillId="2" borderId="108" xfId="9" applyFont="1" applyFill="1" applyBorder="1" applyAlignment="1">
      <alignment horizontal="center" vertical="center" shrinkToFit="1"/>
    </xf>
    <xf numFmtId="1" fontId="31" fillId="0" borderId="104" xfId="7" applyNumberFormat="1" applyFont="1" applyBorder="1" applyAlignment="1">
      <alignment horizontal="center" vertical="center" wrapText="1"/>
    </xf>
    <xf numFmtId="0" fontId="17" fillId="2" borderId="116" xfId="9" applyFont="1" applyFill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 wrapText="1"/>
    </xf>
    <xf numFmtId="0" fontId="17" fillId="0" borderId="92" xfId="10" applyFont="1" applyBorder="1" applyAlignment="1">
      <alignment horizontal="center" vertical="center" wrapText="1"/>
    </xf>
    <xf numFmtId="0" fontId="27" fillId="12" borderId="150" xfId="9" applyFont="1" applyFill="1" applyBorder="1" applyAlignment="1">
      <alignment vertical="center"/>
    </xf>
    <xf numFmtId="0" fontId="39" fillId="9" borderId="151" xfId="9" applyFont="1" applyFill="1" applyBorder="1" applyAlignment="1">
      <alignment vertical="center"/>
    </xf>
    <xf numFmtId="0" fontId="17" fillId="2" borderId="151" xfId="9" applyFont="1" applyFill="1" applyBorder="1" applyAlignment="1">
      <alignment horizontal="center" vertical="center"/>
    </xf>
    <xf numFmtId="1" fontId="28" fillId="0" borderId="104" xfId="7" applyNumberFormat="1" applyFont="1" applyBorder="1" applyAlignment="1">
      <alignment horizontal="center" vertical="center" wrapText="1"/>
    </xf>
    <xf numFmtId="1" fontId="28" fillId="0" borderId="12" xfId="7" applyNumberFormat="1" applyFont="1" applyBorder="1" applyAlignment="1">
      <alignment horizontal="center" vertical="center" wrapText="1"/>
    </xf>
    <xf numFmtId="172" fontId="27" fillId="2" borderId="124" xfId="7" applyNumberFormat="1" applyFont="1" applyFill="1" applyBorder="1" applyAlignment="1">
      <alignment horizontal="center" vertical="center"/>
    </xf>
    <xf numFmtId="0" fontId="17" fillId="18" borderId="42" xfId="9" applyFont="1" applyFill="1" applyBorder="1" applyAlignment="1">
      <alignment horizontal="center" vertical="center"/>
    </xf>
    <xf numFmtId="0" fontId="22" fillId="0" borderId="55" xfId="9" applyFont="1" applyBorder="1" applyAlignment="1">
      <alignment horizontal="center" vertical="center"/>
    </xf>
    <xf numFmtId="1" fontId="38" fillId="17" borderId="109" xfId="7" applyNumberFormat="1" applyFont="1" applyFill="1" applyBorder="1" applyAlignment="1">
      <alignment horizontal="center" vertical="center"/>
    </xf>
    <xf numFmtId="173" fontId="22" fillId="9" borderId="109" xfId="7" applyNumberFormat="1" applyFont="1" applyFill="1" applyBorder="1" applyAlignment="1">
      <alignment horizontal="center" vertical="center"/>
    </xf>
    <xf numFmtId="1" fontId="22" fillId="9" borderId="108" xfId="7" applyNumberFormat="1" applyFont="1" applyFill="1" applyBorder="1" applyAlignment="1">
      <alignment horizontal="center" vertical="center"/>
    </xf>
    <xf numFmtId="1" fontId="31" fillId="0" borderId="104" xfId="7" applyNumberFormat="1" applyFont="1" applyBorder="1" applyAlignment="1">
      <alignment horizontal="center" vertical="center"/>
    </xf>
    <xf numFmtId="0" fontId="34" fillId="0" borderId="87" xfId="8" applyFont="1" applyBorder="1" applyAlignment="1">
      <alignment vertical="center" textRotation="90"/>
    </xf>
    <xf numFmtId="0" fontId="22" fillId="0" borderId="102" xfId="9" applyFont="1" applyBorder="1" applyAlignment="1">
      <alignment horizontal="center" vertical="center" shrinkToFit="1"/>
    </xf>
    <xf numFmtId="173" fontId="22" fillId="0" borderId="111" xfId="9" applyNumberFormat="1" applyFont="1" applyBorder="1" applyAlignment="1">
      <alignment horizontal="center" vertical="center"/>
    </xf>
    <xf numFmtId="1" fontId="47" fillId="0" borderId="87" xfId="7" applyNumberFormat="1" applyFont="1" applyBorder="1" applyAlignment="1">
      <alignment vertical="center" wrapText="1"/>
    </xf>
    <xf numFmtId="0" fontId="27" fillId="0" borderId="89" xfId="9" applyFont="1" applyBorder="1" applyAlignment="1">
      <alignment horizontal="center" vertical="center"/>
    </xf>
    <xf numFmtId="0" fontId="27" fillId="0" borderId="143" xfId="9" applyFont="1" applyBorder="1" applyAlignment="1">
      <alignment horizontal="center" vertical="center"/>
    </xf>
    <xf numFmtId="0" fontId="27" fillId="0" borderId="90" xfId="9" applyFont="1" applyBorder="1" applyAlignment="1">
      <alignment vertical="center"/>
    </xf>
    <xf numFmtId="0" fontId="27" fillId="0" borderId="91" xfId="9" applyFont="1" applyBorder="1" applyAlignment="1">
      <alignment vertical="center"/>
    </xf>
    <xf numFmtId="0" fontId="22" fillId="0" borderId="100" xfId="9" applyFont="1" applyBorder="1" applyAlignment="1">
      <alignment horizontal="center" vertical="center" shrinkToFit="1"/>
    </xf>
    <xf numFmtId="0" fontId="22" fillId="0" borderId="99" xfId="9" applyFont="1" applyBorder="1" applyAlignment="1">
      <alignment horizontal="center" vertical="center"/>
    </xf>
    <xf numFmtId="0" fontId="22" fillId="0" borderId="99" xfId="9" applyFont="1" applyBorder="1" applyAlignment="1">
      <alignment horizontal="left" vertical="center" wrapText="1"/>
    </xf>
    <xf numFmtId="0" fontId="22" fillId="0" borderId="144" xfId="9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/>
    </xf>
    <xf numFmtId="0" fontId="17" fillId="2" borderId="91" xfId="9" applyFont="1" applyFill="1" applyBorder="1" applyAlignment="1">
      <alignment horizontal="center" vertical="center"/>
    </xf>
    <xf numFmtId="0" fontId="22" fillId="0" borderId="66" xfId="9" applyFont="1" applyBorder="1" applyAlignment="1">
      <alignment horizontal="center" vertical="center"/>
    </xf>
    <xf numFmtId="1" fontId="38" fillId="17" borderId="91" xfId="7" applyNumberFormat="1" applyFont="1" applyFill="1" applyBorder="1" applyAlignment="1">
      <alignment horizontal="center" vertical="center"/>
    </xf>
    <xf numFmtId="1" fontId="27" fillId="2" borderId="96" xfId="7" applyNumberFormat="1" applyFont="1" applyFill="1" applyBorder="1" applyAlignment="1">
      <alignment horizontal="center" vertical="center"/>
    </xf>
    <xf numFmtId="172" fontId="27" fillId="2" borderId="145" xfId="9" applyNumberFormat="1" applyFont="1" applyFill="1" applyBorder="1" applyAlignment="1">
      <alignment horizontal="center" vertical="center"/>
    </xf>
    <xf numFmtId="1" fontId="22" fillId="0" borderId="65" xfId="7" applyNumberFormat="1" applyFont="1" applyBorder="1" applyAlignment="1">
      <alignment horizontal="center" vertical="center"/>
    </xf>
    <xf numFmtId="173" fontId="22" fillId="0" borderId="146" xfId="9" applyNumberFormat="1" applyFont="1" applyBorder="1" applyAlignment="1">
      <alignment horizontal="center" vertical="center"/>
    </xf>
    <xf numFmtId="1" fontId="22" fillId="15" borderId="64" xfId="9" applyNumberFormat="1" applyFont="1" applyFill="1" applyBorder="1" applyAlignment="1">
      <alignment horizontal="center" vertical="center"/>
    </xf>
    <xf numFmtId="0" fontId="22" fillId="15" borderId="99" xfId="9" applyFont="1" applyFill="1" applyBorder="1" applyAlignment="1">
      <alignment horizontal="center" vertical="center"/>
    </xf>
    <xf numFmtId="1" fontId="27" fillId="16" borderId="97" xfId="7" applyNumberFormat="1" applyFont="1" applyFill="1" applyBorder="1" applyAlignment="1">
      <alignment horizontal="center" vertical="center"/>
    </xf>
    <xf numFmtId="173" fontId="22" fillId="0" borderId="99" xfId="7" applyNumberFormat="1" applyFont="1" applyBorder="1" applyAlignment="1">
      <alignment horizontal="center" vertical="center"/>
    </xf>
    <xf numFmtId="1" fontId="27" fillId="0" borderId="131" xfId="9" applyNumberFormat="1" applyFont="1" applyBorder="1" applyAlignment="1">
      <alignment horizontal="center" vertical="center"/>
    </xf>
    <xf numFmtId="1" fontId="27" fillId="0" borderId="87" xfId="7" applyNumberFormat="1" applyFont="1" applyBorder="1" applyAlignment="1">
      <alignment horizontal="center" vertical="center"/>
    </xf>
    <xf numFmtId="1" fontId="27" fillId="14" borderId="87" xfId="7" applyNumberFormat="1" applyFont="1" applyFill="1" applyBorder="1" applyAlignment="1">
      <alignment horizontal="center" vertical="center"/>
    </xf>
    <xf numFmtId="0" fontId="27" fillId="0" borderId="131" xfId="9" applyFont="1" applyBorder="1" applyAlignment="1">
      <alignment horizontal="center" vertical="center"/>
    </xf>
    <xf numFmtId="0" fontId="27" fillId="0" borderId="98" xfId="9" applyFont="1" applyBorder="1" applyAlignment="1">
      <alignment horizontal="center" vertical="center"/>
    </xf>
    <xf numFmtId="0" fontId="34" fillId="0" borderId="131" xfId="8" applyFont="1" applyBorder="1" applyAlignment="1">
      <alignment vertical="center" textRotation="90"/>
    </xf>
    <xf numFmtId="0" fontId="27" fillId="11" borderId="242" xfId="9" applyFont="1" applyFill="1" applyBorder="1" applyAlignment="1">
      <alignment horizontal="center" vertical="center"/>
    </xf>
    <xf numFmtId="0" fontId="27" fillId="0" borderId="123" xfId="9" applyFont="1" applyBorder="1" applyAlignment="1">
      <alignment vertical="center"/>
    </xf>
    <xf numFmtId="0" fontId="27" fillId="0" borderId="1" xfId="9" applyFont="1" applyBorder="1" applyAlignment="1">
      <alignment vertical="center"/>
    </xf>
    <xf numFmtId="0" fontId="22" fillId="0" borderId="50" xfId="9" applyFont="1" applyBorder="1" applyAlignment="1">
      <alignment horizontal="center" vertical="center" shrinkToFit="1"/>
    </xf>
    <xf numFmtId="1" fontId="47" fillId="0" borderId="12" xfId="7" applyNumberFormat="1" applyFont="1" applyBorder="1" applyAlignment="1">
      <alignment vertical="center" wrapText="1"/>
    </xf>
    <xf numFmtId="0" fontId="17" fillId="0" borderId="103" xfId="10" applyFont="1" applyBorder="1" applyAlignment="1">
      <alignment vertical="center" wrapText="1"/>
    </xf>
    <xf numFmtId="0" fontId="27" fillId="11" borderId="243" xfId="9" applyFont="1" applyFill="1" applyBorder="1" applyAlignment="1">
      <alignment horizontal="center" vertical="center"/>
    </xf>
    <xf numFmtId="1" fontId="22" fillId="15" borderId="102" xfId="9" applyNumberFormat="1" applyFont="1" applyFill="1" applyBorder="1" applyAlignment="1">
      <alignment horizontal="center" vertical="center"/>
    </xf>
    <xf numFmtId="0" fontId="22" fillId="15" borderId="116" xfId="9" applyFont="1" applyFill="1" applyBorder="1" applyAlignment="1">
      <alignment horizontal="center" vertical="center"/>
    </xf>
    <xf numFmtId="1" fontId="47" fillId="0" borderId="87" xfId="7" applyNumberFormat="1" applyFont="1" applyBorder="1" applyAlignment="1">
      <alignment horizontal="right" vertical="center" wrapText="1"/>
    </xf>
    <xf numFmtId="0" fontId="17" fillId="0" borderId="92" xfId="10" applyFont="1" applyBorder="1" applyAlignment="1">
      <alignment vertical="center" wrapText="1"/>
    </xf>
    <xf numFmtId="0" fontId="22" fillId="0" borderId="108" xfId="9" applyFont="1" applyBorder="1" applyAlignment="1">
      <alignment horizontal="center" vertical="center" shrinkToFit="1"/>
    </xf>
    <xf numFmtId="1" fontId="22" fillId="15" borderId="108" xfId="9" applyNumberFormat="1" applyFont="1" applyFill="1" applyBorder="1" applyAlignment="1">
      <alignment horizontal="center" vertical="center"/>
    </xf>
    <xf numFmtId="0" fontId="27" fillId="11" borderId="244" xfId="9" applyFont="1" applyFill="1" applyBorder="1" applyAlignment="1">
      <alignment horizontal="center" vertical="center"/>
    </xf>
    <xf numFmtId="0" fontId="17" fillId="0" borderId="65" xfId="9" applyFont="1" applyBorder="1" applyAlignment="1">
      <alignment horizontal="center" vertical="center"/>
    </xf>
    <xf numFmtId="0" fontId="17" fillId="0" borderId="98" xfId="9" applyFont="1" applyBorder="1" applyAlignment="1">
      <alignment horizontal="center" vertical="center"/>
    </xf>
    <xf numFmtId="1" fontId="15" fillId="0" borderId="0" xfId="0" applyNumberFormat="1" applyFont="1"/>
    <xf numFmtId="0" fontId="27" fillId="9" borderId="235" xfId="9" applyFont="1" applyFill="1" applyBorder="1" applyAlignment="1">
      <alignment horizontal="center" vertical="center"/>
    </xf>
    <xf numFmtId="0" fontId="27" fillId="9" borderId="158" xfId="9" applyFont="1" applyFill="1" applyBorder="1" applyAlignment="1">
      <alignment horizontal="center" vertical="center"/>
    </xf>
    <xf numFmtId="0" fontId="28" fillId="9" borderId="158" xfId="13" applyFont="1" applyFill="1" applyBorder="1" applyAlignment="1">
      <alignment horizontal="center" vertical="center"/>
    </xf>
    <xf numFmtId="0" fontId="28" fillId="0" borderId="158" xfId="0" applyFont="1" applyBorder="1" applyAlignment="1">
      <alignment vertical="center" wrapText="1"/>
    </xf>
    <xf numFmtId="0" fontId="17" fillId="2" borderId="158" xfId="9" applyFont="1" applyFill="1" applyBorder="1" applyAlignment="1">
      <alignment horizontal="center" vertical="center"/>
    </xf>
    <xf numFmtId="1" fontId="38" fillId="17" borderId="158" xfId="7" applyNumberFormat="1" applyFont="1" applyFill="1" applyBorder="1" applyAlignment="1">
      <alignment horizontal="center" vertical="center"/>
    </xf>
    <xf numFmtId="1" fontId="27" fillId="2" borderId="25" xfId="7" applyNumberFormat="1" applyFont="1" applyFill="1" applyBorder="1" applyAlignment="1">
      <alignment horizontal="center" vertical="center"/>
    </xf>
    <xf numFmtId="1" fontId="27" fillId="2" borderId="15" xfId="7" applyNumberFormat="1" applyFont="1" applyFill="1" applyBorder="1" applyAlignment="1">
      <alignment horizontal="center" vertical="center"/>
    </xf>
    <xf numFmtId="1" fontId="27" fillId="2" borderId="159" xfId="7" applyNumberFormat="1" applyFont="1" applyFill="1" applyBorder="1" applyAlignment="1">
      <alignment horizontal="center" vertical="center"/>
    </xf>
    <xf numFmtId="171" fontId="27" fillId="2" borderId="159" xfId="7" applyNumberFormat="1" applyFont="1" applyFill="1" applyBorder="1" applyAlignment="1">
      <alignment horizontal="center" vertical="center"/>
    </xf>
    <xf numFmtId="172" fontId="27" fillId="2" borderId="159" xfId="9" applyNumberFormat="1" applyFont="1" applyFill="1" applyBorder="1" applyAlignment="1">
      <alignment horizontal="center" vertical="center"/>
    </xf>
    <xf numFmtId="1" fontId="22" fillId="0" borderId="13" xfId="7" applyNumberFormat="1" applyFont="1" applyBorder="1" applyAlignment="1">
      <alignment horizontal="center" vertical="center"/>
    </xf>
    <xf numFmtId="173" fontId="22" fillId="0" borderId="246" xfId="9" applyNumberFormat="1" applyFont="1" applyBorder="1" applyAlignment="1">
      <alignment horizontal="center" vertical="center"/>
    </xf>
    <xf numFmtId="1" fontId="22" fillId="0" borderId="77" xfId="9" applyNumberFormat="1" applyFont="1" applyBorder="1" applyAlignment="1">
      <alignment horizontal="center" vertical="center"/>
    </xf>
    <xf numFmtId="1" fontId="27" fillId="16" borderId="159" xfId="7" applyNumberFormat="1" applyFont="1" applyFill="1" applyBorder="1" applyAlignment="1">
      <alignment horizontal="center" vertical="center"/>
    </xf>
    <xf numFmtId="173" fontId="22" fillId="0" borderId="158" xfId="7" applyNumberFormat="1" applyFont="1" applyBorder="1" applyAlignment="1">
      <alignment horizontal="center" vertical="center"/>
    </xf>
    <xf numFmtId="1" fontId="22" fillId="0" borderId="15" xfId="7" applyNumberFormat="1" applyFont="1" applyBorder="1" applyAlignment="1">
      <alignment horizontal="center" vertical="center"/>
    </xf>
    <xf numFmtId="1" fontId="27" fillId="0" borderId="85" xfId="9" applyNumberFormat="1" applyFont="1" applyBorder="1" applyAlignment="1">
      <alignment horizontal="center" vertical="center"/>
    </xf>
    <xf numFmtId="1" fontId="27" fillId="0" borderId="85" xfId="7" applyNumberFormat="1" applyFont="1" applyBorder="1" applyAlignment="1">
      <alignment horizontal="center" vertical="center"/>
    </xf>
    <xf numFmtId="1" fontId="27" fillId="14" borderId="85" xfId="7" applyNumberFormat="1" applyFont="1" applyFill="1" applyBorder="1" applyAlignment="1">
      <alignment horizontal="center" vertical="center"/>
    </xf>
    <xf numFmtId="0" fontId="27" fillId="0" borderId="85" xfId="9" applyFont="1" applyBorder="1" applyAlignment="1">
      <alignment horizontal="center" vertical="center"/>
    </xf>
    <xf numFmtId="0" fontId="27" fillId="0" borderId="84" xfId="9" applyFont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/>
    </xf>
    <xf numFmtId="176" fontId="17" fillId="0" borderId="43" xfId="9" applyNumberFormat="1" applyFont="1" applyBorder="1" applyAlignment="1">
      <alignment horizontal="center" vertical="center"/>
    </xf>
    <xf numFmtId="0" fontId="28" fillId="9" borderId="1" xfId="13" applyFont="1" applyFill="1" applyBorder="1" applyAlignment="1">
      <alignment horizontal="center" vertical="center"/>
    </xf>
    <xf numFmtId="0" fontId="28" fillId="0" borderId="1" xfId="0" applyFont="1" applyBorder="1" applyAlignment="1">
      <alignment vertical="center" wrapText="1"/>
    </xf>
    <xf numFmtId="0" fontId="28" fillId="0" borderId="116" xfId="0" applyFont="1" applyBorder="1" applyAlignment="1">
      <alignment vertical="center" wrapText="1"/>
    </xf>
    <xf numFmtId="176" fontId="17" fillId="0" borderId="68" xfId="9" applyNumberFormat="1" applyFont="1" applyBorder="1" applyAlignment="1">
      <alignment horizontal="center" vertical="center"/>
    </xf>
    <xf numFmtId="0" fontId="27" fillId="9" borderId="116" xfId="9" applyFont="1" applyFill="1" applyBorder="1" applyAlignment="1">
      <alignment vertical="center"/>
    </xf>
    <xf numFmtId="174" fontId="17" fillId="0" borderId="99" xfId="9" applyNumberFormat="1" applyFont="1" applyBorder="1" applyAlignment="1">
      <alignment horizontal="center" vertical="center"/>
    </xf>
    <xf numFmtId="176" fontId="17" fillId="0" borderId="51" xfId="9" applyNumberFormat="1" applyFont="1" applyBorder="1" applyAlignment="1">
      <alignment horizontal="center" vertical="center"/>
    </xf>
    <xf numFmtId="0" fontId="22" fillId="0" borderId="51" xfId="7" applyFont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173" fontId="22" fillId="15" borderId="11" xfId="7" applyNumberFormat="1" applyFont="1" applyFill="1" applyBorder="1" applyAlignment="1">
      <alignment horizontal="center" vertical="center"/>
    </xf>
    <xf numFmtId="1" fontId="22" fillId="15" borderId="126" xfId="7" applyNumberFormat="1" applyFont="1" applyFill="1" applyBorder="1" applyAlignment="1">
      <alignment horizontal="center" vertical="center"/>
    </xf>
    <xf numFmtId="0" fontId="28" fillId="0" borderId="99" xfId="0" applyFont="1" applyBorder="1" applyAlignment="1">
      <alignment vertical="center" wrapText="1"/>
    </xf>
    <xf numFmtId="0" fontId="27" fillId="9" borderId="150" xfId="9" applyFont="1" applyFill="1" applyBorder="1" applyAlignment="1">
      <alignment vertical="center"/>
    </xf>
    <xf numFmtId="0" fontId="27" fillId="9" borderId="151" xfId="9" applyFont="1" applyFill="1" applyBorder="1" applyAlignment="1">
      <alignment vertical="center"/>
    </xf>
    <xf numFmtId="0" fontId="28" fillId="9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/>
    </xf>
    <xf numFmtId="173" fontId="22" fillId="15" borderId="148" xfId="7" applyNumberFormat="1" applyFont="1" applyFill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wrapText="1"/>
    </xf>
    <xf numFmtId="167" fontId="38" fillId="0" borderId="1" xfId="0" applyNumberFormat="1" applyFont="1" applyBorder="1" applyAlignment="1">
      <alignment horizontal="center" vertical="center"/>
    </xf>
    <xf numFmtId="0" fontId="17" fillId="0" borderId="102" xfId="10" applyFont="1" applyBorder="1" applyAlignment="1">
      <alignment horizontal="center" vertical="center" wrapText="1"/>
    </xf>
    <xf numFmtId="0" fontId="28" fillId="16" borderId="116" xfId="13" applyFont="1" applyFill="1" applyBorder="1" applyAlignment="1">
      <alignment horizontal="center" vertical="center"/>
    </xf>
    <xf numFmtId="0" fontId="28" fillId="9" borderId="116" xfId="13" applyFont="1" applyFill="1" applyBorder="1" applyAlignment="1">
      <alignment horizontal="center" vertical="center"/>
    </xf>
    <xf numFmtId="0" fontId="17" fillId="0" borderId="242" xfId="10" applyFont="1" applyBorder="1" applyAlignment="1">
      <alignment vertical="center" wrapText="1"/>
    </xf>
    <xf numFmtId="0" fontId="28" fillId="16" borderId="1" xfId="13" applyFont="1" applyFill="1" applyBorder="1" applyAlignment="1">
      <alignment horizontal="center" vertical="center"/>
    </xf>
    <xf numFmtId="0" fontId="17" fillId="0" borderId="248" xfId="10" applyFont="1" applyBorder="1" applyAlignment="1">
      <alignment vertical="center" wrapText="1"/>
    </xf>
    <xf numFmtId="173" fontId="22" fillId="9" borderId="11" xfId="7" applyNumberFormat="1" applyFont="1" applyFill="1" applyBorder="1" applyAlignment="1">
      <alignment horizontal="center" vertical="center"/>
    </xf>
    <xf numFmtId="1" fontId="22" fillId="9" borderId="126" xfId="7" applyNumberFormat="1" applyFont="1" applyFill="1" applyBorder="1" applyAlignment="1">
      <alignment horizontal="center" vertical="center"/>
    </xf>
    <xf numFmtId="0" fontId="17" fillId="0" borderId="147" xfId="9" applyFont="1" applyBorder="1" applyAlignment="1">
      <alignment horizontal="center" vertical="center"/>
    </xf>
    <xf numFmtId="2" fontId="17" fillId="0" borderId="64" xfId="9" applyNumberFormat="1" applyFont="1" applyBorder="1" applyAlignment="1">
      <alignment horizontal="center" vertical="center"/>
    </xf>
    <xf numFmtId="167" fontId="17" fillId="0" borderId="64" xfId="9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shrinkToFit="1"/>
    </xf>
    <xf numFmtId="0" fontId="17" fillId="0" borderId="242" xfId="12" applyFont="1" applyBorder="1" applyAlignment="1">
      <alignment horizontal="center" vertical="center"/>
    </xf>
    <xf numFmtId="2" fontId="17" fillId="0" borderId="1" xfId="9" applyNumberFormat="1" applyFont="1" applyBorder="1" applyAlignment="1">
      <alignment horizontal="center" vertical="center"/>
    </xf>
    <xf numFmtId="167" fontId="17" fillId="0" borderId="1" xfId="9" applyNumberFormat="1" applyFont="1" applyBorder="1" applyAlignment="1">
      <alignment horizontal="center" vertical="center"/>
    </xf>
    <xf numFmtId="0" fontId="17" fillId="0" borderId="102" xfId="12" applyFont="1" applyBorder="1" applyAlignment="1">
      <alignment horizontal="center" vertical="center"/>
    </xf>
    <xf numFmtId="0" fontId="17" fillId="0" borderId="242" xfId="7" applyFont="1" applyBorder="1" applyAlignment="1">
      <alignment horizontal="center" vertical="center"/>
    </xf>
    <xf numFmtId="0" fontId="22" fillId="15" borderId="101" xfId="7" applyFont="1" applyFill="1" applyBorder="1" applyAlignment="1">
      <alignment horizontal="center" vertical="center"/>
    </xf>
    <xf numFmtId="0" fontId="17" fillId="0" borderId="148" xfId="10" applyFont="1" applyBorder="1" applyAlignment="1">
      <alignment horizontal="center" vertical="center" wrapText="1"/>
    </xf>
    <xf numFmtId="0" fontId="27" fillId="9" borderId="150" xfId="9" applyFont="1" applyFill="1" applyBorder="1" applyAlignment="1">
      <alignment horizontal="center" vertical="center"/>
    </xf>
    <xf numFmtId="0" fontId="27" fillId="9" borderId="151" xfId="9" applyFont="1" applyFill="1" applyBorder="1" applyAlignment="1">
      <alignment horizontal="center" vertical="center"/>
    </xf>
    <xf numFmtId="0" fontId="28" fillId="16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 wrapText="1"/>
    </xf>
    <xf numFmtId="0" fontId="22" fillId="15" borderId="144" xfId="7" applyFont="1" applyFill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/>
    </xf>
    <xf numFmtId="173" fontId="22" fillId="15" borderId="13" xfId="7" applyNumberFormat="1" applyFont="1" applyFill="1" applyBorder="1" applyAlignment="1">
      <alignment horizontal="center" vertical="center"/>
    </xf>
    <xf numFmtId="0" fontId="22" fillId="15" borderId="159" xfId="7" applyFont="1" applyFill="1" applyBorder="1" applyAlignment="1">
      <alignment horizontal="center" vertical="center"/>
    </xf>
    <xf numFmtId="0" fontId="17" fillId="0" borderId="108" xfId="10" applyFont="1" applyBorder="1" applyAlignment="1">
      <alignment horizontal="center" vertical="center" wrapText="1"/>
    </xf>
    <xf numFmtId="0" fontId="22" fillId="15" borderId="154" xfId="7" applyFont="1" applyFill="1" applyBorder="1" applyAlignment="1">
      <alignment horizontal="center" vertical="center"/>
    </xf>
    <xf numFmtId="0" fontId="28" fillId="11" borderId="73" xfId="0" applyFont="1" applyFill="1" applyBorder="1" applyAlignment="1">
      <alignment vertical="center"/>
    </xf>
    <xf numFmtId="41" fontId="22" fillId="0" borderId="249" xfId="6" applyFont="1" applyFill="1" applyBorder="1" applyAlignment="1"/>
    <xf numFmtId="41" fontId="22" fillId="0" borderId="250" xfId="6" applyFont="1" applyFill="1" applyBorder="1" applyAlignment="1"/>
    <xf numFmtId="3" fontId="22" fillId="0" borderId="250" xfId="6" applyNumberFormat="1" applyFont="1" applyFill="1" applyBorder="1" applyAlignment="1"/>
    <xf numFmtId="175" fontId="17" fillId="0" borderId="0" xfId="0" applyNumberFormat="1" applyFont="1" applyAlignment="1">
      <alignment horizontal="center"/>
    </xf>
    <xf numFmtId="0" fontId="28" fillId="11" borderId="87" xfId="0" applyFont="1" applyFill="1" applyBorder="1" applyAlignment="1">
      <alignment vertical="center"/>
    </xf>
    <xf numFmtId="41" fontId="22" fillId="0" borderId="204" xfId="6" applyFont="1" applyFill="1" applyBorder="1" applyAlignment="1"/>
    <xf numFmtId="41" fontId="22" fillId="0" borderId="132" xfId="6" applyFont="1" applyFill="1" applyBorder="1" applyAlignment="1"/>
    <xf numFmtId="3" fontId="22" fillId="0" borderId="132" xfId="6" applyNumberFormat="1" applyFont="1" applyFill="1" applyBorder="1" applyAlignment="1"/>
    <xf numFmtId="41" fontId="22" fillId="0" borderId="102" xfId="6" applyFont="1" applyFill="1" applyBorder="1" applyAlignment="1"/>
    <xf numFmtId="41" fontId="22" fillId="0" borderId="116" xfId="6" applyFont="1" applyFill="1" applyBorder="1" applyAlignment="1"/>
    <xf numFmtId="38" fontId="22" fillId="0" borderId="116" xfId="14" applyFont="1" applyFill="1" applyBorder="1" applyAlignment="1"/>
    <xf numFmtId="3" fontId="22" fillId="0" borderId="116" xfId="14" applyNumberFormat="1" applyFont="1" applyFill="1" applyBorder="1" applyAlignment="1"/>
    <xf numFmtId="3" fontId="36" fillId="0" borderId="116" xfId="14" applyNumberFormat="1" applyFont="1" applyFill="1" applyBorder="1" applyAlignment="1"/>
    <xf numFmtId="38" fontId="22" fillId="0" borderId="100" xfId="14" applyFont="1" applyFill="1" applyBorder="1" applyAlignment="1"/>
    <xf numFmtId="38" fontId="22" fillId="0" borderId="91" xfId="14" applyFont="1" applyFill="1" applyBorder="1" applyAlignment="1"/>
    <xf numFmtId="3" fontId="22" fillId="0" borderId="91" xfId="14" applyNumberFormat="1" applyFont="1" applyFill="1" applyBorder="1" applyAlignment="1"/>
    <xf numFmtId="3" fontId="36" fillId="0" borderId="91" xfId="14" applyNumberFormat="1" applyFont="1" applyFill="1" applyBorder="1" applyAlignment="1"/>
    <xf numFmtId="38" fontId="22" fillId="0" borderId="204" xfId="14" applyFont="1" applyFill="1" applyBorder="1" applyAlignment="1"/>
    <xf numFmtId="38" fontId="22" fillId="0" borderId="132" xfId="14" applyFont="1" applyFill="1" applyBorder="1" applyAlignment="1"/>
    <xf numFmtId="3" fontId="22" fillId="0" borderId="132" xfId="14" applyNumberFormat="1" applyFont="1" applyFill="1" applyBorder="1" applyAlignment="1"/>
    <xf numFmtId="38" fontId="22" fillId="0" borderId="102" xfId="14" applyFont="1" applyFill="1" applyBorder="1" applyAlignment="1"/>
    <xf numFmtId="0" fontId="28" fillId="11" borderId="87" xfId="0" applyFont="1" applyFill="1" applyBorder="1" applyAlignment="1">
      <alignment horizontal="left" vertical="center"/>
    </xf>
    <xf numFmtId="0" fontId="28" fillId="11" borderId="104" xfId="0" applyFont="1" applyFill="1" applyBorder="1" applyAlignment="1">
      <alignment vertical="center"/>
    </xf>
    <xf numFmtId="38" fontId="27" fillId="11" borderId="108" xfId="0" applyNumberFormat="1" applyFont="1" applyFill="1" applyBorder="1"/>
    <xf numFmtId="38" fontId="27" fillId="11" borderId="151" xfId="0" applyNumberFormat="1" applyFont="1" applyFill="1" applyBorder="1"/>
    <xf numFmtId="0" fontId="17" fillId="0" borderId="74" xfId="9" applyFont="1" applyBorder="1" applyAlignment="1">
      <alignment horizontal="center" vertical="center"/>
    </xf>
    <xf numFmtId="0" fontId="27" fillId="11" borderId="14" xfId="9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left" vertical="center" wrapText="1"/>
    </xf>
    <xf numFmtId="178" fontId="33" fillId="2" borderId="85" xfId="9" applyNumberFormat="1" applyFont="1" applyFill="1" applyBorder="1" applyAlignment="1">
      <alignment horizontal="center" vertical="center"/>
    </xf>
    <xf numFmtId="179" fontId="33" fillId="2" borderId="15" xfId="7" applyNumberFormat="1" applyFont="1" applyFill="1" applyBorder="1" applyAlignment="1">
      <alignment horizontal="center" vertical="center"/>
    </xf>
    <xf numFmtId="180" fontId="33" fillId="2" borderId="159" xfId="7" applyNumberFormat="1" applyFont="1" applyFill="1" applyBorder="1" applyAlignment="1">
      <alignment horizontal="center" vertical="center"/>
    </xf>
    <xf numFmtId="171" fontId="33" fillId="2" borderId="159" xfId="7" applyNumberFormat="1" applyFont="1" applyFill="1" applyBorder="1" applyAlignment="1">
      <alignment horizontal="center" vertical="center"/>
    </xf>
    <xf numFmtId="172" fontId="33" fillId="2" borderId="159" xfId="9" applyNumberFormat="1" applyFont="1" applyFill="1" applyBorder="1" applyAlignment="1">
      <alignment horizontal="center" vertical="center"/>
    </xf>
    <xf numFmtId="1" fontId="17" fillId="0" borderId="13" xfId="9" applyNumberFormat="1" applyFont="1" applyBorder="1" applyAlignment="1">
      <alignment horizontal="center" vertical="center"/>
    </xf>
    <xf numFmtId="173" fontId="17" fillId="0" borderId="246" xfId="9" applyNumberFormat="1" applyFont="1" applyBorder="1" applyAlignment="1">
      <alignment horizontal="center" vertical="center"/>
    </xf>
    <xf numFmtId="174" fontId="17" fillId="0" borderId="77" xfId="9" applyNumberFormat="1" applyFont="1" applyBorder="1" applyAlignment="1">
      <alignment horizontal="center" vertical="center"/>
    </xf>
    <xf numFmtId="0" fontId="33" fillId="11" borderId="159" xfId="9" applyFont="1" applyFill="1" applyBorder="1" applyAlignment="1">
      <alignment horizontal="center" vertical="center"/>
    </xf>
    <xf numFmtId="0" fontId="17" fillId="0" borderId="236" xfId="9" applyFont="1" applyBorder="1" applyAlignment="1">
      <alignment horizontal="center" vertical="center"/>
    </xf>
    <xf numFmtId="0" fontId="33" fillId="0" borderId="85" xfId="9" applyFont="1" applyBorder="1" applyAlignment="1">
      <alignment horizontal="center" vertical="center"/>
    </xf>
    <xf numFmtId="1" fontId="14" fillId="26" borderId="85" xfId="9" applyNumberFormat="1" applyFont="1" applyFill="1" applyBorder="1" applyAlignment="1">
      <alignment horizontal="center" vertical="center"/>
    </xf>
    <xf numFmtId="1" fontId="16" fillId="0" borderId="85" xfId="9" applyNumberFormat="1" applyFont="1" applyBorder="1" applyAlignment="1">
      <alignment horizontal="center" vertical="center"/>
    </xf>
    <xf numFmtId="0" fontId="27" fillId="11" borderId="256" xfId="9" applyFont="1" applyFill="1" applyBorder="1" applyAlignment="1">
      <alignment horizontal="center" vertical="center"/>
    </xf>
    <xf numFmtId="0" fontId="17" fillId="0" borderId="1" xfId="9" applyFont="1" applyBorder="1" applyAlignment="1">
      <alignment horizontal="left" vertical="center" wrapText="1"/>
    </xf>
    <xf numFmtId="178" fontId="33" fillId="2" borderId="12" xfId="9" applyNumberFormat="1" applyFont="1" applyFill="1" applyBorder="1" applyAlignment="1">
      <alignment horizontal="center" vertical="center"/>
    </xf>
    <xf numFmtId="179" fontId="33" fillId="2" borderId="118" xfId="7" applyNumberFormat="1" applyFont="1" applyFill="1" applyBorder="1" applyAlignment="1">
      <alignment horizontal="center" vertical="center"/>
    </xf>
    <xf numFmtId="180" fontId="49" fillId="2" borderId="119" xfId="7" applyNumberFormat="1" applyFont="1" applyFill="1" applyBorder="1" applyAlignment="1">
      <alignment horizontal="center" vertical="center"/>
    </xf>
    <xf numFmtId="171" fontId="33" fillId="2" borderId="119" xfId="7" applyNumberFormat="1" applyFont="1" applyFill="1" applyBorder="1" applyAlignment="1">
      <alignment horizontal="center" vertical="center"/>
    </xf>
    <xf numFmtId="172" fontId="33" fillId="2" borderId="124" xfId="9" applyNumberFormat="1" applyFont="1" applyFill="1" applyBorder="1" applyAlignment="1">
      <alignment horizontal="center" vertical="center"/>
    </xf>
    <xf numFmtId="1" fontId="17" fillId="0" borderId="11" xfId="9" applyNumberFormat="1" applyFont="1" applyBorder="1" applyAlignment="1">
      <alignment horizontal="center" vertical="center"/>
    </xf>
    <xf numFmtId="173" fontId="17" fillId="0" borderId="142" xfId="9" applyNumberFormat="1" applyFont="1" applyBorder="1" applyAlignment="1">
      <alignment horizontal="center" vertical="center"/>
    </xf>
    <xf numFmtId="174" fontId="17" fillId="0" borderId="50" xfId="9" applyNumberFormat="1" applyFont="1" applyBorder="1" applyAlignment="1">
      <alignment horizontal="center" vertical="center"/>
    </xf>
    <xf numFmtId="0" fontId="33" fillId="11" borderId="124" xfId="9" applyFont="1" applyFill="1" applyBorder="1" applyAlignment="1">
      <alignment horizontal="center" vertical="center"/>
    </xf>
    <xf numFmtId="0" fontId="17" fillId="0" borderId="51" xfId="9" applyFont="1" applyBorder="1" applyAlignment="1">
      <alignment horizontal="center" vertical="center"/>
    </xf>
    <xf numFmtId="0" fontId="33" fillId="0" borderId="12" xfId="9" applyFont="1" applyBorder="1" applyAlignment="1">
      <alignment horizontal="center" vertical="center"/>
    </xf>
    <xf numFmtId="1" fontId="14" fillId="26" borderId="12" xfId="9" applyNumberFormat="1" applyFont="1" applyFill="1" applyBorder="1" applyAlignment="1">
      <alignment horizontal="center" vertical="center"/>
    </xf>
    <xf numFmtId="1" fontId="16" fillId="0" borderId="12" xfId="9" applyNumberFormat="1" applyFont="1" applyBorder="1" applyAlignment="1">
      <alignment horizontal="center" vertical="center"/>
    </xf>
    <xf numFmtId="180" fontId="33" fillId="2" borderId="119" xfId="7" applyNumberFormat="1" applyFont="1" applyFill="1" applyBorder="1" applyAlignment="1">
      <alignment horizontal="center" vertical="center"/>
    </xf>
    <xf numFmtId="0" fontId="17" fillId="0" borderId="105" xfId="9" applyFont="1" applyBorder="1" applyAlignment="1">
      <alignment horizontal="center" vertical="center"/>
    </xf>
    <xf numFmtId="0" fontId="27" fillId="11" borderId="259" xfId="9" applyFont="1" applyFill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/>
    </xf>
    <xf numFmtId="0" fontId="17" fillId="0" borderId="109" xfId="9" applyFont="1" applyBorder="1" applyAlignment="1">
      <alignment horizontal="left" vertical="center" wrapText="1"/>
    </xf>
    <xf numFmtId="178" fontId="33" fillId="2" borderId="214" xfId="9" applyNumberFormat="1" applyFont="1" applyFill="1" applyBorder="1" applyAlignment="1">
      <alignment horizontal="center" vertical="center"/>
    </xf>
    <xf numFmtId="179" fontId="33" fillId="2" borderId="260" xfId="7" applyNumberFormat="1" applyFont="1" applyFill="1" applyBorder="1" applyAlignment="1">
      <alignment horizontal="center" vertical="center"/>
    </xf>
    <xf numFmtId="180" fontId="33" fillId="2" borderId="261" xfId="7" applyNumberFormat="1" applyFont="1" applyFill="1" applyBorder="1" applyAlignment="1">
      <alignment horizontal="center" vertical="center"/>
    </xf>
    <xf numFmtId="171" fontId="33" fillId="2" borderId="261" xfId="7" applyNumberFormat="1" applyFont="1" applyFill="1" applyBorder="1" applyAlignment="1">
      <alignment horizontal="center" vertical="center"/>
    </xf>
    <xf numFmtId="172" fontId="33" fillId="2" borderId="261" xfId="9" applyNumberFormat="1" applyFont="1" applyFill="1" applyBorder="1" applyAlignment="1">
      <alignment horizontal="center" vertical="center"/>
    </xf>
    <xf numFmtId="1" fontId="17" fillId="0" borderId="105" xfId="9" applyNumberFormat="1" applyFont="1" applyBorder="1" applyAlignment="1">
      <alignment horizontal="center" vertical="center"/>
    </xf>
    <xf numFmtId="173" fontId="17" fillId="0" borderId="111" xfId="9" applyNumberFormat="1" applyFont="1" applyBorder="1" applyAlignment="1">
      <alignment horizontal="center" vertical="center"/>
    </xf>
    <xf numFmtId="174" fontId="17" fillId="0" borderId="112" xfId="9" applyNumberFormat="1" applyFont="1" applyBorder="1" applyAlignment="1">
      <alignment horizontal="center" vertical="center"/>
    </xf>
    <xf numFmtId="0" fontId="33" fillId="11" borderId="113" xfId="9" applyFont="1" applyFill="1" applyBorder="1" applyAlignment="1">
      <alignment horizontal="center" vertical="center"/>
    </xf>
    <xf numFmtId="0" fontId="17" fillId="0" borderId="110" xfId="9" applyFont="1" applyBorder="1" applyAlignment="1">
      <alignment horizontal="center" vertical="center"/>
    </xf>
    <xf numFmtId="0" fontId="33" fillId="0" borderId="104" xfId="9" applyFont="1" applyBorder="1" applyAlignment="1">
      <alignment horizontal="center" vertical="center"/>
    </xf>
    <xf numFmtId="0" fontId="33" fillId="0" borderId="156" xfId="9" applyFont="1" applyBorder="1" applyAlignment="1">
      <alignment horizontal="center" vertical="center"/>
    </xf>
    <xf numFmtId="1" fontId="14" fillId="26" borderId="104" xfId="9" applyNumberFormat="1" applyFont="1" applyFill="1" applyBorder="1" applyAlignment="1">
      <alignment horizontal="center" vertical="center"/>
    </xf>
    <xf numFmtId="1" fontId="16" fillId="0" borderId="104" xfId="9" applyNumberFormat="1" applyFont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 wrapText="1"/>
    </xf>
    <xf numFmtId="174" fontId="17" fillId="0" borderId="109" xfId="9" applyNumberFormat="1" applyFont="1" applyBorder="1" applyAlignment="1">
      <alignment horizontal="center" vertical="center"/>
    </xf>
    <xf numFmtId="175" fontId="17" fillId="0" borderId="109" xfId="9" applyNumberFormat="1" applyFont="1" applyBorder="1" applyAlignment="1">
      <alignment horizontal="center" vertical="center"/>
    </xf>
    <xf numFmtId="1" fontId="17" fillId="0" borderId="109" xfId="9" applyNumberFormat="1" applyFont="1" applyBorder="1" applyAlignment="1">
      <alignment horizontal="center" vertical="center"/>
    </xf>
    <xf numFmtId="176" fontId="17" fillId="0" borderId="113" xfId="9" applyNumberFormat="1" applyFont="1" applyBorder="1" applyAlignment="1">
      <alignment horizontal="center" vertical="center"/>
    </xf>
    <xf numFmtId="0" fontId="17" fillId="0" borderId="92" xfId="9" applyFont="1" applyBorder="1" applyAlignment="1">
      <alignment horizontal="center" vertical="center"/>
    </xf>
    <xf numFmtId="0" fontId="17" fillId="0" borderId="94" xfId="9" applyFont="1" applyBorder="1" applyAlignment="1">
      <alignment horizontal="center" vertical="center"/>
    </xf>
    <xf numFmtId="2" fontId="17" fillId="0" borderId="112" xfId="9" applyNumberFormat="1" applyFont="1" applyBorder="1" applyAlignment="1">
      <alignment horizontal="center" vertical="center"/>
    </xf>
    <xf numFmtId="167" fontId="17" fillId="0" borderId="112" xfId="9" applyNumberFormat="1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2" borderId="1" xfId="0" applyFill="1" applyBorder="1"/>
    <xf numFmtId="0" fontId="51" fillId="0" borderId="1" xfId="0" applyFont="1" applyBorder="1"/>
    <xf numFmtId="0" fontId="0" fillId="18" borderId="3" xfId="0" applyFill="1" applyBorder="1"/>
    <xf numFmtId="0" fontId="0" fillId="24" borderId="1" xfId="0" applyFill="1" applyBorder="1"/>
    <xf numFmtId="0" fontId="51" fillId="24" borderId="1" xfId="0" applyFont="1" applyFill="1" applyBorder="1"/>
    <xf numFmtId="0" fontId="0" fillId="24" borderId="1" xfId="0" applyFill="1" applyBorder="1" applyAlignment="1">
      <alignment horizontal="right"/>
    </xf>
    <xf numFmtId="0" fontId="51" fillId="2" borderId="1" xfId="0" applyFont="1" applyFill="1" applyBorder="1"/>
    <xf numFmtId="0" fontId="0" fillId="2" borderId="1" xfId="0" applyFill="1" applyBorder="1" applyAlignment="1">
      <alignment horizontal="right"/>
    </xf>
    <xf numFmtId="0" fontId="0" fillId="27" borderId="1" xfId="0" applyFill="1" applyBorder="1"/>
    <xf numFmtId="0" fontId="0" fillId="27" borderId="1" xfId="0" applyFill="1" applyBorder="1" applyAlignment="1">
      <alignment horizontal="right"/>
    </xf>
    <xf numFmtId="0" fontId="52" fillId="0" borderId="1" xfId="0" applyFont="1" applyBorder="1"/>
    <xf numFmtId="0" fontId="52" fillId="27" borderId="1" xfId="0" applyFont="1" applyFill="1" applyBorder="1"/>
    <xf numFmtId="0" fontId="0" fillId="27" borderId="0" xfId="0" applyFill="1"/>
    <xf numFmtId="0" fontId="51" fillId="0" borderId="0" xfId="0" applyFont="1"/>
    <xf numFmtId="0" fontId="18" fillId="9" borderId="69" xfId="0" applyFont="1" applyFill="1" applyBorder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19" fillId="0" borderId="0" xfId="0" applyFont="1" applyAlignment="1">
      <alignment horizontal="left" vertical="center"/>
    </xf>
    <xf numFmtId="168" fontId="21" fillId="10" borderId="0" xfId="0" applyNumberFormat="1" applyFont="1" applyFill="1" applyAlignment="1">
      <alignment horizontal="center" vertical="center"/>
    </xf>
    <xf numFmtId="0" fontId="23" fillId="0" borderId="70" xfId="0" applyFont="1" applyBorder="1" applyAlignment="1">
      <alignment horizontal="center"/>
    </xf>
    <xf numFmtId="0" fontId="22" fillId="0" borderId="22" xfId="0" applyFont="1" applyBorder="1" applyAlignment="1">
      <alignment horizontal="center" vertical="center"/>
    </xf>
    <xf numFmtId="0" fontId="22" fillId="0" borderId="71" xfId="0" applyFont="1" applyBorder="1" applyAlignment="1">
      <alignment horizontal="center" vertical="center"/>
    </xf>
    <xf numFmtId="0" fontId="22" fillId="0" borderId="72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6" fillId="0" borderId="71" xfId="0" applyFont="1" applyBorder="1" applyAlignment="1">
      <alignment horizontal="center" vertical="center"/>
    </xf>
    <xf numFmtId="0" fontId="26" fillId="0" borderId="72" xfId="0" applyFont="1" applyBorder="1" applyAlignment="1">
      <alignment horizontal="center" vertical="center"/>
    </xf>
    <xf numFmtId="0" fontId="17" fillId="0" borderId="73" xfId="0" applyFont="1" applyBorder="1" applyAlignment="1">
      <alignment horizontal="center" vertical="center"/>
    </xf>
    <xf numFmtId="0" fontId="17" fillId="0" borderId="87" xfId="0" applyFont="1" applyBorder="1" applyAlignment="1">
      <alignment horizontal="center" vertical="center"/>
    </xf>
    <xf numFmtId="0" fontId="17" fillId="0" borderId="104" xfId="0" applyFont="1" applyBorder="1" applyAlignment="1">
      <alignment horizontal="center" vertical="center"/>
    </xf>
    <xf numFmtId="0" fontId="17" fillId="0" borderId="74" xfId="0" applyFont="1" applyBorder="1" applyAlignment="1">
      <alignment horizontal="center" vertical="center" textRotation="90" wrapText="1"/>
    </xf>
    <xf numFmtId="0" fontId="17" fillId="0" borderId="88" xfId="0" applyFont="1" applyBorder="1" applyAlignment="1">
      <alignment horizontal="center" vertical="center" textRotation="90" wrapText="1"/>
    </xf>
    <xf numFmtId="0" fontId="17" fillId="0" borderId="105" xfId="0" applyFont="1" applyBorder="1" applyAlignment="1">
      <alignment horizontal="center" vertical="center" textRotation="90" wrapText="1"/>
    </xf>
    <xf numFmtId="0" fontId="27" fillId="11" borderId="75" xfId="0" applyFont="1" applyFill="1" applyBorder="1" applyAlignment="1">
      <alignment horizontal="center" vertical="center" wrapText="1"/>
    </xf>
    <xf numFmtId="0" fontId="27" fillId="11" borderId="89" xfId="0" applyFont="1" applyFill="1" applyBorder="1" applyAlignment="1">
      <alignment horizontal="center" vertical="center" wrapText="1"/>
    </xf>
    <xf numFmtId="0" fontId="27" fillId="11" borderId="106" xfId="0" applyFont="1" applyFill="1" applyBorder="1" applyAlignment="1">
      <alignment horizontal="center" vertical="center" wrapText="1"/>
    </xf>
    <xf numFmtId="0" fontId="27" fillId="12" borderId="76" xfId="0" applyFont="1" applyFill="1" applyBorder="1" applyAlignment="1">
      <alignment horizontal="center" vertical="center" textRotation="90" wrapText="1"/>
    </xf>
    <xf numFmtId="0" fontId="27" fillId="12" borderId="90" xfId="0" applyFont="1" applyFill="1" applyBorder="1" applyAlignment="1">
      <alignment horizontal="center" vertical="center" textRotation="90" wrapText="1"/>
    </xf>
    <xf numFmtId="0" fontId="27" fillId="12" borderId="107" xfId="0" applyFont="1" applyFill="1" applyBorder="1" applyAlignment="1">
      <alignment horizontal="center" vertical="center" textRotation="90" wrapText="1"/>
    </xf>
    <xf numFmtId="0" fontId="27" fillId="13" borderId="76" xfId="0" applyFont="1" applyFill="1" applyBorder="1" applyAlignment="1">
      <alignment horizontal="center" vertical="center" textRotation="90" wrapText="1"/>
    </xf>
    <xf numFmtId="0" fontId="27" fillId="13" borderId="90" xfId="0" applyFont="1" applyFill="1" applyBorder="1" applyAlignment="1">
      <alignment horizontal="center" vertical="center" textRotation="90" wrapText="1"/>
    </xf>
    <xf numFmtId="0" fontId="27" fillId="13" borderId="107" xfId="0" applyFont="1" applyFill="1" applyBorder="1" applyAlignment="1">
      <alignment horizontal="center" vertical="center" textRotation="90" wrapText="1"/>
    </xf>
    <xf numFmtId="0" fontId="27" fillId="14" borderId="76" xfId="0" applyFont="1" applyFill="1" applyBorder="1" applyAlignment="1">
      <alignment horizontal="center" vertical="center" textRotation="90" wrapText="1"/>
    </xf>
    <xf numFmtId="0" fontId="27" fillId="14" borderId="90" xfId="0" applyFont="1" applyFill="1" applyBorder="1" applyAlignment="1">
      <alignment horizontal="center" vertical="center" textRotation="90" wrapText="1"/>
    </xf>
    <xf numFmtId="0" fontId="27" fillId="14" borderId="107" xfId="0" applyFont="1" applyFill="1" applyBorder="1" applyAlignment="1">
      <alignment horizontal="center" vertical="center" textRotation="90" wrapText="1"/>
    </xf>
    <xf numFmtId="0" fontId="17" fillId="0" borderId="77" xfId="0" applyFont="1" applyBorder="1" applyAlignment="1">
      <alignment horizontal="center" vertical="center"/>
    </xf>
    <xf numFmtId="0" fontId="17" fillId="0" borderId="50" xfId="0" applyFont="1" applyBorder="1" applyAlignment="1">
      <alignment horizontal="center" vertical="center"/>
    </xf>
    <xf numFmtId="0" fontId="17" fillId="0" borderId="108" xfId="0" applyFont="1" applyBorder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/>
    </xf>
    <xf numFmtId="0" fontId="17" fillId="0" borderId="78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 wrapText="1"/>
    </xf>
    <xf numFmtId="0" fontId="27" fillId="0" borderId="80" xfId="0" applyFont="1" applyBorder="1" applyAlignment="1">
      <alignment horizontal="center" vertical="center"/>
    </xf>
    <xf numFmtId="0" fontId="27" fillId="0" borderId="81" xfId="0" applyFont="1" applyBorder="1" applyAlignment="1">
      <alignment horizontal="center" vertical="center"/>
    </xf>
    <xf numFmtId="0" fontId="27" fillId="0" borderId="82" xfId="0" applyFont="1" applyBorder="1" applyAlignment="1">
      <alignment horizontal="center" vertical="center"/>
    </xf>
    <xf numFmtId="0" fontId="27" fillId="0" borderId="92" xfId="0" applyFont="1" applyBorder="1" applyAlignment="1">
      <alignment horizontal="center" vertical="center"/>
    </xf>
    <xf numFmtId="0" fontId="27" fillId="0" borderId="93" xfId="0" applyFont="1" applyBorder="1" applyAlignment="1">
      <alignment horizontal="center" vertical="center"/>
    </xf>
    <xf numFmtId="0" fontId="27" fillId="0" borderId="94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8" fillId="0" borderId="71" xfId="0" applyFont="1" applyBorder="1" applyAlignment="1">
      <alignment horizontal="center" vertical="center"/>
    </xf>
    <xf numFmtId="0" fontId="28" fillId="0" borderId="72" xfId="0" applyFont="1" applyBorder="1" applyAlignment="1">
      <alignment horizontal="center" vertical="center"/>
    </xf>
    <xf numFmtId="0" fontId="22" fillId="14" borderId="80" xfId="0" applyFont="1" applyFill="1" applyBorder="1" applyAlignment="1">
      <alignment horizontal="center" vertical="center"/>
    </xf>
    <xf numFmtId="0" fontId="22" fillId="14" borderId="81" xfId="0" applyFont="1" applyFill="1" applyBorder="1" applyAlignment="1">
      <alignment horizontal="center" vertical="center"/>
    </xf>
    <xf numFmtId="0" fontId="22" fillId="14" borderId="82" xfId="0" applyFont="1" applyFill="1" applyBorder="1" applyAlignment="1">
      <alignment horizontal="center" vertical="center"/>
    </xf>
    <xf numFmtId="0" fontId="17" fillId="0" borderId="74" xfId="0" applyFont="1" applyBorder="1" applyAlignment="1">
      <alignment horizontal="center"/>
    </xf>
    <xf numFmtId="0" fontId="17" fillId="0" borderId="88" xfId="0" applyFont="1" applyBorder="1" applyAlignment="1">
      <alignment horizontal="center"/>
    </xf>
    <xf numFmtId="0" fontId="17" fillId="0" borderId="78" xfId="8" applyFont="1" applyBorder="1" applyAlignment="1">
      <alignment horizontal="center" vertical="center" wrapText="1"/>
    </xf>
    <xf numFmtId="0" fontId="17" fillId="0" borderId="91" xfId="8" applyFont="1" applyBorder="1" applyAlignment="1">
      <alignment horizontal="center" vertical="center" wrapText="1"/>
    </xf>
    <xf numFmtId="0" fontId="17" fillId="0" borderId="109" xfId="8" applyFont="1" applyBorder="1" applyAlignment="1">
      <alignment horizontal="center" vertical="center" wrapText="1"/>
    </xf>
    <xf numFmtId="0" fontId="32" fillId="2" borderId="73" xfId="0" applyFont="1" applyFill="1" applyBorder="1" applyAlignment="1">
      <alignment horizontal="center" vertical="center" wrapText="1"/>
    </xf>
    <xf numFmtId="0" fontId="32" fillId="2" borderId="104" xfId="0" applyFont="1" applyFill="1" applyBorder="1" applyAlignment="1">
      <alignment horizontal="center" vertical="center" wrapText="1"/>
    </xf>
    <xf numFmtId="0" fontId="32" fillId="2" borderId="82" xfId="0" applyFont="1" applyFill="1" applyBorder="1" applyAlignment="1">
      <alignment horizontal="center" vertical="center" wrapText="1"/>
    </xf>
    <xf numFmtId="0" fontId="32" fillId="2" borderId="94" xfId="0" applyFont="1" applyFill="1" applyBorder="1" applyAlignment="1">
      <alignment horizontal="center" vertical="center" wrapText="1"/>
    </xf>
    <xf numFmtId="0" fontId="17" fillId="0" borderId="83" xfId="0" applyFont="1" applyBorder="1" applyAlignment="1">
      <alignment horizontal="center" vertical="center" wrapText="1"/>
    </xf>
    <xf numFmtId="0" fontId="17" fillId="0" borderId="97" xfId="0" applyFont="1" applyBorder="1" applyAlignment="1">
      <alignment horizontal="center" vertical="center" wrapText="1"/>
    </xf>
    <xf numFmtId="0" fontId="17" fillId="0" borderId="113" xfId="0" applyFont="1" applyBorder="1" applyAlignment="1">
      <alignment horizontal="center" vertical="center" wrapText="1"/>
    </xf>
    <xf numFmtId="0" fontId="17" fillId="0" borderId="84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167" fontId="17" fillId="0" borderId="78" xfId="0" applyNumberFormat="1" applyFont="1" applyBorder="1" applyAlignment="1">
      <alignment horizontal="center" vertical="center" wrapText="1"/>
    </xf>
    <xf numFmtId="167" fontId="17" fillId="0" borderId="91" xfId="0" applyNumberFormat="1" applyFont="1" applyBorder="1" applyAlignment="1">
      <alignment horizontal="center" vertical="center" wrapText="1"/>
    </xf>
    <xf numFmtId="167" fontId="17" fillId="0" borderId="109" xfId="0" applyNumberFormat="1" applyFont="1" applyBorder="1" applyAlignment="1">
      <alignment horizontal="center" vertical="center" wrapText="1"/>
    </xf>
    <xf numFmtId="0" fontId="22" fillId="16" borderId="95" xfId="0" applyFont="1" applyFill="1" applyBorder="1" applyAlignment="1">
      <alignment horizontal="center" vertical="center"/>
    </xf>
    <xf numFmtId="0" fontId="22" fillId="16" borderId="70" xfId="0" applyFont="1" applyFill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 wrapText="1"/>
    </xf>
    <xf numFmtId="1" fontId="31" fillId="0" borderId="117" xfId="7" applyNumberFormat="1" applyFont="1" applyBorder="1" applyAlignment="1">
      <alignment horizontal="center" vertical="center" wrapText="1"/>
    </xf>
    <xf numFmtId="0" fontId="17" fillId="0" borderId="11" xfId="10" applyFont="1" applyBorder="1" applyAlignment="1">
      <alignment horizontal="center" vertical="center" wrapText="1"/>
    </xf>
    <xf numFmtId="0" fontId="27" fillId="11" borderId="122" xfId="9" applyFont="1" applyFill="1" applyBorder="1" applyAlignment="1">
      <alignment horizontal="center" vertical="center"/>
    </xf>
    <xf numFmtId="1" fontId="39" fillId="19" borderId="131" xfId="7" applyNumberFormat="1" applyFont="1" applyFill="1" applyBorder="1" applyAlignment="1">
      <alignment horizontal="center" vertical="center"/>
    </xf>
    <xf numFmtId="1" fontId="39" fillId="19" borderId="117" xfId="7" applyNumberFormat="1" applyFont="1" applyFill="1" applyBorder="1" applyAlignment="1">
      <alignment horizontal="center" vertical="center"/>
    </xf>
    <xf numFmtId="171" fontId="39" fillId="19" borderId="131" xfId="7" applyNumberFormat="1" applyFont="1" applyFill="1" applyBorder="1" applyAlignment="1">
      <alignment horizontal="center" vertical="center"/>
    </xf>
    <xf numFmtId="171" fontId="39" fillId="19" borderId="117" xfId="7" applyNumberFormat="1" applyFont="1" applyFill="1" applyBorder="1" applyAlignment="1">
      <alignment horizontal="center" vertical="center"/>
    </xf>
    <xf numFmtId="0" fontId="17" fillId="0" borderId="101" xfId="0" applyFont="1" applyBorder="1" applyAlignment="1">
      <alignment horizontal="center" vertical="center"/>
    </xf>
    <xf numFmtId="0" fontId="17" fillId="0" borderId="102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17" fillId="0" borderId="88" xfId="0" applyFont="1" applyBorder="1" applyAlignment="1">
      <alignment horizontal="center" vertical="top"/>
    </xf>
    <xf numFmtId="0" fontId="17" fillId="0" borderId="105" xfId="0" applyFont="1" applyBorder="1" applyAlignment="1">
      <alignment horizontal="center" vertical="top"/>
    </xf>
    <xf numFmtId="0" fontId="17" fillId="0" borderId="46" xfId="10" applyFont="1" applyBorder="1" applyAlignment="1">
      <alignment horizontal="center" vertical="center" wrapText="1"/>
    </xf>
    <xf numFmtId="0" fontId="17" fillId="0" borderId="88" xfId="10" applyFont="1" applyBorder="1" applyAlignment="1">
      <alignment horizontal="center" vertical="center" wrapText="1"/>
    </xf>
    <xf numFmtId="0" fontId="17" fillId="0" borderId="41" xfId="10" applyFont="1" applyBorder="1" applyAlignment="1">
      <alignment horizontal="center" vertical="center" wrapText="1"/>
    </xf>
    <xf numFmtId="1" fontId="40" fillId="0" borderId="131" xfId="7" applyNumberFormat="1" applyFont="1" applyBorder="1" applyAlignment="1">
      <alignment horizontal="right" vertical="center" wrapText="1"/>
    </xf>
    <xf numFmtId="1" fontId="40" fillId="0" borderId="117" xfId="7" applyNumberFormat="1" applyFont="1" applyBorder="1" applyAlignment="1">
      <alignment horizontal="right" vertical="center" wrapText="1"/>
    </xf>
    <xf numFmtId="0" fontId="17" fillId="0" borderId="79" xfId="8" applyFont="1" applyBorder="1" applyAlignment="1">
      <alignment horizontal="center" vertical="center" wrapText="1"/>
    </xf>
    <xf numFmtId="0" fontId="17" fillId="0" borderId="68" xfId="8" applyFont="1" applyBorder="1" applyAlignment="1">
      <alignment horizontal="center" vertical="center" wrapText="1"/>
    </xf>
    <xf numFmtId="0" fontId="17" fillId="0" borderId="110" xfId="8" applyFont="1" applyBorder="1" applyAlignment="1">
      <alignment horizontal="center" vertical="center" wrapText="1"/>
    </xf>
    <xf numFmtId="0" fontId="17" fillId="0" borderId="78" xfId="0" applyFont="1" applyBorder="1" applyAlignment="1">
      <alignment horizontal="center"/>
    </xf>
    <xf numFmtId="0" fontId="17" fillId="0" borderId="91" xfId="0" applyFont="1" applyBorder="1" applyAlignment="1">
      <alignment horizontal="center"/>
    </xf>
    <xf numFmtId="0" fontId="17" fillId="15" borderId="78" xfId="8" applyFont="1" applyFill="1" applyBorder="1" applyAlignment="1">
      <alignment horizontal="center" vertical="center" wrapText="1"/>
    </xf>
    <xf numFmtId="0" fontId="17" fillId="15" borderId="91" xfId="8" applyFont="1" applyFill="1" applyBorder="1" applyAlignment="1">
      <alignment horizontal="center" vertical="center" wrapText="1"/>
    </xf>
    <xf numFmtId="0" fontId="17" fillId="15" borderId="109" xfId="8" applyFont="1" applyFill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top"/>
    </xf>
    <xf numFmtId="0" fontId="17" fillId="0" borderId="109" xfId="0" applyFont="1" applyBorder="1" applyAlignment="1">
      <alignment horizontal="center" vertical="top"/>
    </xf>
    <xf numFmtId="0" fontId="17" fillId="0" borderId="9" xfId="10" applyFont="1" applyBorder="1" applyAlignment="1">
      <alignment horizontal="center" vertical="center" wrapText="1"/>
    </xf>
    <xf numFmtId="1" fontId="27" fillId="2" borderId="131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1" fontId="22" fillId="0" borderId="131" xfId="7" applyNumberFormat="1" applyFont="1" applyBorder="1" applyAlignment="1">
      <alignment horizontal="center" vertical="center" wrapText="1"/>
    </xf>
    <xf numFmtId="1" fontId="22" fillId="0" borderId="117" xfId="7" applyNumberFormat="1" applyFont="1" applyBorder="1" applyAlignment="1">
      <alignment horizontal="center" vertical="center" wrapText="1"/>
    </xf>
    <xf numFmtId="0" fontId="34" fillId="0" borderId="80" xfId="8" applyFont="1" applyBorder="1" applyAlignment="1">
      <alignment horizontal="center" vertical="center" textRotation="90"/>
    </xf>
    <xf numFmtId="0" fontId="34" fillId="0" borderId="103" xfId="8" applyFont="1" applyBorder="1" applyAlignment="1">
      <alignment horizontal="center" vertical="center" textRotation="90"/>
    </xf>
    <xf numFmtId="0" fontId="34" fillId="0" borderId="92" xfId="8" applyFont="1" applyBorder="1" applyAlignment="1">
      <alignment horizontal="center" vertical="center" textRotation="90"/>
    </xf>
    <xf numFmtId="0" fontId="17" fillId="0" borderId="46" xfId="11" applyFont="1" applyBorder="1" applyAlignment="1">
      <alignment horizontal="center" vertical="center"/>
    </xf>
    <xf numFmtId="0" fontId="17" fillId="0" borderId="41" xfId="11" applyFont="1" applyBorder="1" applyAlignment="1">
      <alignment horizontal="center" vertical="center"/>
    </xf>
    <xf numFmtId="1" fontId="39" fillId="12" borderId="131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71" fontId="39" fillId="12" borderId="131" xfId="7" applyNumberFormat="1" applyFont="1" applyFill="1" applyBorder="1" applyAlignment="1">
      <alignment horizontal="center" vertical="center"/>
    </xf>
    <xf numFmtId="171" fontId="39" fillId="12" borderId="117" xfId="7" applyNumberFormat="1" applyFont="1" applyFill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/>
    </xf>
    <xf numFmtId="0" fontId="34" fillId="0" borderId="73" xfId="8" applyFont="1" applyBorder="1" applyAlignment="1">
      <alignment horizontal="center" vertical="center" textRotation="90"/>
    </xf>
    <xf numFmtId="0" fontId="34" fillId="0" borderId="87" xfId="8" applyFont="1" applyBorder="1" applyAlignment="1">
      <alignment horizontal="center" vertical="center" textRotation="90"/>
    </xf>
    <xf numFmtId="0" fontId="34" fillId="0" borderId="104" xfId="8" applyFont="1" applyBorder="1" applyAlignment="1">
      <alignment horizontal="center" vertical="center" textRotation="90"/>
    </xf>
    <xf numFmtId="1" fontId="39" fillId="17" borderId="131" xfId="7" applyNumberFormat="1" applyFont="1" applyFill="1" applyBorder="1" applyAlignment="1">
      <alignment horizontal="center" vertical="center"/>
    </xf>
    <xf numFmtId="1" fontId="39" fillId="17" borderId="117" xfId="7" applyNumberFormat="1" applyFont="1" applyFill="1" applyBorder="1" applyAlignment="1">
      <alignment horizontal="center" vertical="center"/>
    </xf>
    <xf numFmtId="171" fontId="39" fillId="17" borderId="131" xfId="7" applyNumberFormat="1" applyFont="1" applyFill="1" applyBorder="1" applyAlignment="1">
      <alignment horizontal="center" vertical="center"/>
    </xf>
    <xf numFmtId="171" fontId="39" fillId="17" borderId="117" xfId="7" applyNumberFormat="1" applyFont="1" applyFill="1" applyBorder="1" applyAlignment="1">
      <alignment horizontal="center" vertical="center"/>
    </xf>
    <xf numFmtId="0" fontId="34" fillId="0" borderId="165" xfId="8" applyFont="1" applyBorder="1" applyAlignment="1">
      <alignment horizontal="center" vertical="center" textRotation="90"/>
    </xf>
    <xf numFmtId="0" fontId="17" fillId="0" borderId="166" xfId="12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0" fontId="27" fillId="11" borderId="167" xfId="9" applyFont="1" applyFill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17" fillId="0" borderId="65" xfId="12" applyFont="1" applyBorder="1" applyAlignment="1">
      <alignment horizontal="center" vertical="center" wrapText="1"/>
    </xf>
    <xf numFmtId="0" fontId="17" fillId="0" borderId="9" xfId="12" applyFont="1" applyBorder="1" applyAlignment="1">
      <alignment horizontal="center" vertical="center" wrapText="1"/>
    </xf>
    <xf numFmtId="0" fontId="17" fillId="0" borderId="65" xfId="12" applyFont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1" fontId="39" fillId="2" borderId="131" xfId="7" applyNumberFormat="1" applyFont="1" applyFill="1" applyBorder="1" applyAlignment="1">
      <alignment horizontal="center" vertical="center"/>
    </xf>
    <xf numFmtId="1" fontId="39" fillId="2" borderId="117" xfId="7" applyNumberFormat="1" applyFont="1" applyFill="1" applyBorder="1" applyAlignment="1">
      <alignment horizontal="center" vertical="center"/>
    </xf>
    <xf numFmtId="1" fontId="28" fillId="0" borderId="131" xfId="7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0" fontId="43" fillId="0" borderId="73" xfId="8" applyFont="1" applyBorder="1" applyAlignment="1">
      <alignment horizontal="center" vertical="center" textRotation="90"/>
    </xf>
    <xf numFmtId="0" fontId="44" fillId="0" borderId="23" xfId="8" applyFont="1" applyBorder="1" applyAlignment="1">
      <alignment horizontal="center" vertical="center" textRotation="90"/>
    </xf>
    <xf numFmtId="0" fontId="44" fillId="0" borderId="73" xfId="8" applyFont="1" applyBorder="1" applyAlignment="1">
      <alignment horizontal="center" vertical="center" textRotation="90"/>
    </xf>
    <xf numFmtId="0" fontId="44" fillId="0" borderId="104" xfId="8" applyFont="1" applyBorder="1" applyAlignment="1">
      <alignment horizontal="center" vertical="center" textRotation="90"/>
    </xf>
    <xf numFmtId="0" fontId="34" fillId="0" borderId="207" xfId="8" applyFont="1" applyBorder="1" applyAlignment="1">
      <alignment horizontal="center" vertical="center" textRotation="90"/>
    </xf>
    <xf numFmtId="0" fontId="17" fillId="0" borderId="88" xfId="12" applyFont="1" applyBorder="1" applyAlignment="1">
      <alignment horizontal="center" vertical="center" wrapText="1"/>
    </xf>
    <xf numFmtId="0" fontId="17" fillId="0" borderId="192" xfId="12" applyFont="1" applyBorder="1" applyAlignment="1">
      <alignment horizontal="center" vertical="center" wrapText="1"/>
    </xf>
    <xf numFmtId="0" fontId="17" fillId="0" borderId="182" xfId="12" applyFont="1" applyBorder="1" applyAlignment="1">
      <alignment horizontal="center" vertical="center" wrapText="1"/>
    </xf>
    <xf numFmtId="0" fontId="27" fillId="11" borderId="143" xfId="9" applyFont="1" applyFill="1" applyBorder="1" applyAlignment="1">
      <alignment horizontal="center" vertical="center"/>
    </xf>
    <xf numFmtId="0" fontId="27" fillId="11" borderId="89" xfId="9" applyFont="1" applyFill="1" applyBorder="1" applyAlignment="1">
      <alignment horizontal="center" vertical="center"/>
    </xf>
    <xf numFmtId="1" fontId="31" fillId="3" borderId="131" xfId="7" applyNumberFormat="1" applyFont="1" applyFill="1" applyBorder="1" applyAlignment="1">
      <alignment horizontal="center" vertical="center" wrapText="1"/>
    </xf>
    <xf numFmtId="1" fontId="31" fillId="3" borderId="117" xfId="7" applyNumberFormat="1" applyFont="1" applyFill="1" applyBorder="1" applyAlignment="1">
      <alignment horizontal="center" vertical="center" wrapText="1"/>
    </xf>
    <xf numFmtId="0" fontId="43" fillId="0" borderId="87" xfId="8" applyFont="1" applyBorder="1" applyAlignment="1">
      <alignment horizontal="center" vertical="center" textRotation="90"/>
    </xf>
    <xf numFmtId="0" fontId="17" fillId="0" borderId="221" xfId="12" applyFont="1" applyBorder="1" applyAlignment="1">
      <alignment horizontal="center" vertical="center" wrapText="1"/>
    </xf>
    <xf numFmtId="0" fontId="17" fillId="0" borderId="224" xfId="12" applyFont="1" applyBorder="1" applyAlignment="1">
      <alignment horizontal="center" vertical="center" wrapText="1"/>
    </xf>
    <xf numFmtId="1" fontId="28" fillId="0" borderId="87" xfId="7" applyNumberFormat="1" applyFont="1" applyBorder="1" applyAlignment="1">
      <alignment horizontal="center" vertical="center" wrapText="1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92" xfId="12" applyFont="1" applyBorder="1" applyAlignment="1">
      <alignment horizontal="center" vertical="center"/>
    </xf>
    <xf numFmtId="0" fontId="17" fillId="0" borderId="182" xfId="12" applyFont="1" applyBorder="1" applyAlignment="1">
      <alignment horizontal="center" vertical="center"/>
    </xf>
    <xf numFmtId="0" fontId="27" fillId="17" borderId="99" xfId="9" applyFont="1" applyFill="1" applyBorder="1" applyAlignment="1">
      <alignment horizontal="center" vertical="center"/>
    </xf>
    <xf numFmtId="0" fontId="27" fillId="17" borderId="116" xfId="9" applyFont="1" applyFill="1" applyBorder="1" applyAlignment="1">
      <alignment horizontal="center" vertical="center"/>
    </xf>
    <xf numFmtId="0" fontId="27" fillId="9" borderId="99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43" fillId="0" borderId="104" xfId="8" applyFont="1" applyBorder="1" applyAlignment="1">
      <alignment horizontal="center" vertical="center" textRotation="90"/>
    </xf>
    <xf numFmtId="0" fontId="17" fillId="0" borderId="103" xfId="10" applyFont="1" applyBorder="1" applyAlignment="1">
      <alignment horizontal="center" vertical="center" wrapText="1"/>
    </xf>
    <xf numFmtId="1" fontId="47" fillId="0" borderId="131" xfId="7" applyNumberFormat="1" applyFont="1" applyBorder="1" applyAlignment="1">
      <alignment horizontal="right" vertical="center" wrapText="1"/>
    </xf>
    <xf numFmtId="1" fontId="47" fillId="0" borderId="104" xfId="7" applyNumberFormat="1" applyFont="1" applyBorder="1" applyAlignment="1">
      <alignment horizontal="right" vertical="center" wrapText="1"/>
    </xf>
    <xf numFmtId="0" fontId="46" fillId="0" borderId="73" xfId="8" applyFont="1" applyBorder="1" applyAlignment="1">
      <alignment horizontal="center" vertical="center" textRotation="90"/>
    </xf>
    <xf numFmtId="0" fontId="46" fillId="0" borderId="87" xfId="8" applyFont="1" applyBorder="1" applyAlignment="1">
      <alignment horizontal="center" vertical="center" textRotation="90"/>
    </xf>
    <xf numFmtId="0" fontId="17" fillId="0" borderId="234" xfId="12" applyFont="1" applyBorder="1" applyAlignment="1">
      <alignment horizontal="center" vertical="center" wrapText="1"/>
    </xf>
    <xf numFmtId="1" fontId="28" fillId="0" borderId="73" xfId="7" applyNumberFormat="1" applyFont="1" applyBorder="1" applyAlignment="1">
      <alignment horizontal="center" vertical="center" wrapText="1"/>
    </xf>
    <xf numFmtId="0" fontId="17" fillId="0" borderId="192" xfId="10" applyFont="1" applyBorder="1" applyAlignment="1">
      <alignment horizontal="center" vertical="center" wrapText="1"/>
    </xf>
    <xf numFmtId="0" fontId="17" fillId="0" borderId="182" xfId="10" applyFont="1" applyBorder="1" applyAlignment="1">
      <alignment horizontal="center" vertical="center" wrapText="1"/>
    </xf>
    <xf numFmtId="0" fontId="17" fillId="0" borderId="98" xfId="10" applyFont="1" applyBorder="1" applyAlignment="1">
      <alignment horizontal="center" vertical="center" wrapText="1"/>
    </xf>
    <xf numFmtId="1" fontId="47" fillId="0" borderId="87" xfId="7" applyNumberFormat="1" applyFont="1" applyBorder="1" applyAlignment="1">
      <alignment horizontal="right" vertical="center" wrapText="1"/>
    </xf>
    <xf numFmtId="0" fontId="34" fillId="0" borderId="245" xfId="8" applyFont="1" applyBorder="1" applyAlignment="1">
      <alignment horizontal="center" vertical="center" textRotation="90"/>
    </xf>
    <xf numFmtId="0" fontId="34" fillId="0" borderId="247" xfId="8" applyFont="1" applyBorder="1" applyAlignment="1">
      <alignment horizontal="center" vertical="center" textRotation="90"/>
    </xf>
    <xf numFmtId="0" fontId="17" fillId="0" borderId="234" xfId="10" applyFont="1" applyBorder="1" applyAlignment="1">
      <alignment horizontal="center" vertical="center" wrapText="1"/>
    </xf>
    <xf numFmtId="0" fontId="27" fillId="9" borderId="78" xfId="9" applyFont="1" applyFill="1" applyBorder="1" applyAlignment="1">
      <alignment horizontal="center" vertical="center"/>
    </xf>
    <xf numFmtId="0" fontId="17" fillId="0" borderId="192" xfId="7" applyFont="1" applyBorder="1" applyAlignment="1">
      <alignment horizontal="center" vertical="center"/>
    </xf>
    <xf numFmtId="0" fontId="17" fillId="0" borderId="182" xfId="7" applyFont="1" applyBorder="1" applyAlignment="1">
      <alignment horizontal="center" vertical="center"/>
    </xf>
    <xf numFmtId="38" fontId="22" fillId="0" borderId="152" xfId="14" applyFont="1" applyFill="1" applyBorder="1" applyAlignment="1">
      <alignment horizontal="center" vertical="center"/>
    </xf>
    <xf numFmtId="38" fontId="22" fillId="0" borderId="259" xfId="14" applyFont="1" applyFill="1" applyBorder="1" applyAlignment="1">
      <alignment horizontal="center" vertical="center"/>
    </xf>
    <xf numFmtId="38" fontId="22" fillId="0" borderId="108" xfId="14" applyFont="1" applyFill="1" applyBorder="1" applyAlignment="1">
      <alignment horizontal="center" vertical="center"/>
    </xf>
    <xf numFmtId="38" fontId="27" fillId="11" borderId="32" xfId="0" applyNumberFormat="1" applyFont="1" applyFill="1" applyBorder="1" applyAlignment="1">
      <alignment horizontal="center"/>
    </xf>
    <xf numFmtId="38" fontId="27" fillId="11" borderId="71" xfId="0" applyNumberFormat="1" applyFont="1" applyFill="1" applyBorder="1" applyAlignment="1">
      <alignment horizontal="center"/>
    </xf>
    <xf numFmtId="38" fontId="27" fillId="11" borderId="29" xfId="0" applyNumberFormat="1" applyFont="1" applyFill="1" applyBorder="1" applyAlignment="1">
      <alignment horizontal="center"/>
    </xf>
    <xf numFmtId="0" fontId="17" fillId="0" borderId="80" xfId="8" applyFont="1" applyBorder="1" applyAlignment="1">
      <alignment horizontal="center" vertical="center" textRotation="90"/>
    </xf>
    <xf numFmtId="0" fontId="17" fillId="0" borderId="103" xfId="8" applyFont="1" applyBorder="1" applyAlignment="1">
      <alignment horizontal="center" vertical="center" textRotation="90"/>
    </xf>
    <xf numFmtId="0" fontId="17" fillId="0" borderId="92" xfId="8" applyFont="1" applyBorder="1" applyAlignment="1">
      <alignment horizontal="center" vertical="center" textRotation="90"/>
    </xf>
    <xf numFmtId="0" fontId="34" fillId="0" borderId="85" xfId="8" applyFont="1" applyBorder="1" applyAlignment="1">
      <alignment horizontal="center" vertical="center" textRotation="90"/>
    </xf>
    <xf numFmtId="0" fontId="34" fillId="0" borderId="12" xfId="8" applyFont="1" applyBorder="1" applyAlignment="1">
      <alignment horizontal="center" vertical="center" textRotation="90"/>
    </xf>
    <xf numFmtId="0" fontId="34" fillId="0" borderId="156" xfId="8" applyFont="1" applyBorder="1" applyAlignment="1">
      <alignment horizontal="center" vertical="center" textRotation="90"/>
    </xf>
    <xf numFmtId="0" fontId="48" fillId="0" borderId="73" xfId="8" applyFont="1" applyBorder="1" applyAlignment="1">
      <alignment horizontal="center" vertical="center" textRotation="90"/>
    </xf>
    <xf numFmtId="0" fontId="48" fillId="0" borderId="104" xfId="8" applyFont="1" applyBorder="1" applyAlignment="1">
      <alignment horizontal="center" vertical="center" textRotation="90"/>
    </xf>
    <xf numFmtId="0" fontId="28" fillId="11" borderId="85" xfId="0" applyFont="1" applyFill="1" applyBorder="1" applyAlignment="1">
      <alignment horizontal="center" vertical="center"/>
    </xf>
    <xf numFmtId="0" fontId="28" fillId="11" borderId="12" xfId="0" applyFont="1" applyFill="1" applyBorder="1" applyAlignment="1">
      <alignment horizontal="center" vertical="center"/>
    </xf>
    <xf numFmtId="0" fontId="28" fillId="11" borderId="156" xfId="0" applyFont="1" applyFill="1" applyBorder="1" applyAlignment="1">
      <alignment horizontal="center" vertical="center"/>
    </xf>
    <xf numFmtId="41" fontId="22" fillId="0" borderId="251" xfId="6" applyFont="1" applyFill="1" applyBorder="1" applyAlignment="1">
      <alignment horizontal="center" vertical="center"/>
    </xf>
    <xf numFmtId="41" fontId="22" fillId="0" borderId="252" xfId="6" applyFont="1" applyFill="1" applyBorder="1" applyAlignment="1">
      <alignment horizontal="center" vertical="center"/>
    </xf>
    <xf numFmtId="41" fontId="22" fillId="0" borderId="249" xfId="6" applyFont="1" applyFill="1" applyBorder="1" applyAlignment="1">
      <alignment horizontal="center" vertical="center"/>
    </xf>
    <xf numFmtId="41" fontId="22" fillId="0" borderId="253" xfId="6" applyFont="1" applyFill="1" applyBorder="1" applyAlignment="1">
      <alignment horizontal="center" vertical="center"/>
    </xf>
    <xf numFmtId="41" fontId="22" fillId="0" borderId="254" xfId="6" applyFont="1" applyFill="1" applyBorder="1" applyAlignment="1">
      <alignment horizontal="center" vertical="center"/>
    </xf>
    <xf numFmtId="41" fontId="22" fillId="0" borderId="204" xfId="6" applyFont="1" applyFill="1" applyBorder="1" applyAlignment="1">
      <alignment horizontal="center" vertical="center"/>
    </xf>
    <xf numFmtId="41" fontId="22" fillId="0" borderId="225" xfId="6" applyFont="1" applyFill="1" applyBorder="1" applyAlignment="1">
      <alignment horizontal="center" vertical="center"/>
    </xf>
    <xf numFmtId="41" fontId="22" fillId="0" borderId="255" xfId="6" applyFont="1" applyFill="1" applyBorder="1" applyAlignment="1">
      <alignment horizontal="center" vertical="center"/>
    </xf>
    <xf numFmtId="41" fontId="22" fillId="0" borderId="199" xfId="6" applyFont="1" applyFill="1" applyBorder="1" applyAlignment="1">
      <alignment horizontal="center" vertical="center"/>
    </xf>
    <xf numFmtId="38" fontId="22" fillId="0" borderId="51" xfId="14" applyFont="1" applyFill="1" applyBorder="1" applyAlignment="1">
      <alignment horizontal="center" vertical="center"/>
    </xf>
    <xf numFmtId="38" fontId="22" fillId="0" borderId="256" xfId="14" applyFont="1" applyFill="1" applyBorder="1" applyAlignment="1">
      <alignment horizontal="center" vertical="center"/>
    </xf>
    <xf numFmtId="38" fontId="22" fillId="0" borderId="50" xfId="14" applyFont="1" applyFill="1" applyBorder="1" applyAlignment="1">
      <alignment horizontal="center" vertical="center"/>
    </xf>
    <xf numFmtId="38" fontId="22" fillId="0" borderId="257" xfId="14" applyFont="1" applyFill="1" applyBorder="1" applyAlignment="1">
      <alignment horizontal="center" vertical="center"/>
    </xf>
    <xf numFmtId="38" fontId="22" fillId="0" borderId="258" xfId="14" applyFont="1" applyFill="1" applyBorder="1" applyAlignment="1">
      <alignment horizontal="center" vertical="center"/>
    </xf>
    <xf numFmtId="38" fontId="22" fillId="0" borderId="195" xfId="14" applyFont="1" applyFill="1" applyBorder="1" applyAlignment="1">
      <alignment horizontal="center" vertical="center"/>
    </xf>
    <xf numFmtId="38" fontId="22" fillId="0" borderId="225" xfId="14" applyFont="1" applyFill="1" applyBorder="1" applyAlignment="1">
      <alignment horizontal="center" vertical="center"/>
    </xf>
    <xf numFmtId="38" fontId="22" fillId="0" borderId="255" xfId="14" applyFont="1" applyFill="1" applyBorder="1" applyAlignment="1">
      <alignment horizontal="center" vertical="center"/>
    </xf>
    <xf numFmtId="38" fontId="22" fillId="0" borderId="199" xfId="14" applyFont="1" applyFill="1" applyBorder="1" applyAlignment="1">
      <alignment horizontal="center" vertical="center"/>
    </xf>
  </cellXfs>
  <cellStyles count="15">
    <cellStyle name="Comma" xfId="1" builtinId="3"/>
    <cellStyle name="Comma [0]" xfId="6" builtinId="6"/>
    <cellStyle name="Comma [0] 2" xfId="14" xr:uid="{9E5C685C-C51B-4C3C-9B0C-359B0A9D4576}"/>
    <cellStyle name="Normal" xfId="0" builtinId="0"/>
    <cellStyle name="Normal 3" xfId="4" xr:uid="{791E95CF-B93D-48CD-A082-389758E14E2E}"/>
    <cellStyle name="Normal_04. Inventory List WIP_28-03-11" xfId="3" xr:uid="{EE071924-3143-40BB-95CB-7981B04F1773}"/>
    <cellStyle name="Normal_3.Year Plan January-2011 (27 Jan 2011)" xfId="13" xr:uid="{2402F35B-EFF6-4DD4-8E4C-ABFDF71C5E4D}"/>
    <cellStyle name="Normal_Cal Kanban &amp; Capacity Press1000t (Nov'12)" xfId="8" xr:uid="{027D3480-4BF2-40F3-A338-22E05E765CF7}"/>
    <cellStyle name="Normal_FORM PC" xfId="5" xr:uid="{40A3310C-69F5-49C2-BCBD-556AF372A003}"/>
    <cellStyle name="Normal_Sheet1" xfId="9" xr:uid="{C55F11DF-834D-47F3-92C6-3A43160069AF}"/>
    <cellStyle name="Normal_Sheet1_03. Inventory List FG_28-03-11_Stock check data" xfId="2" xr:uid="{BD0EB839-87A3-4973-8CBE-A460D28070F8}"/>
    <cellStyle name="Normal_Sheet1_1" xfId="7" xr:uid="{629559DD-D724-44EE-85B5-95418F3651A1}"/>
    <cellStyle name="Normal_利益計画個数YearPlan(3)" xfId="11" xr:uid="{74816625-04CE-440B-81DC-D8D9F00F9785}"/>
    <cellStyle name="Normal_利益計画個数YearPlan(3)_Production Line &amp; Working Plan Mar 2012 (14Feb12) (New)" xfId="12" xr:uid="{9383A803-E787-4DF7-8638-0C2512DD33C3}"/>
    <cellStyle name="Style 1" xfId="10" xr:uid="{08D736D6-DF68-4F3D-9A4E-60F09D624775}"/>
  </cellStyles>
  <dxfs count="31">
    <dxf>
      <font>
        <color rgb="FF9C0006"/>
      </font>
    </dxf>
    <dxf>
      <font>
        <color theme="0"/>
      </font>
      <fill>
        <patternFill>
          <bgColor rgb="FFFF00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8BD92-8932-4A0D-8E76-387CBFE82A04}">
  <sheetPr>
    <tabColor theme="3" tint="0.249977111117893"/>
  </sheetPr>
  <dimension ref="A1:O66"/>
  <sheetViews>
    <sheetView tabSelected="1" topLeftCell="A30" workbookViewId="0">
      <selection activeCell="Q38" sqref="Q38"/>
    </sheetView>
  </sheetViews>
  <sheetFormatPr defaultRowHeight="14.5"/>
  <cols>
    <col min="1" max="6" width="2.36328125" customWidth="1"/>
    <col min="8" max="8" width="15.54296875" customWidth="1"/>
    <col min="9" max="9" width="38.90625" bestFit="1" customWidth="1"/>
    <col min="10" max="10" width="12.81640625" customWidth="1"/>
    <col min="11" max="11" width="15.36328125" customWidth="1"/>
    <col min="12" max="12" width="14.453125" customWidth="1"/>
    <col min="13" max="14" width="17.54296875" customWidth="1"/>
  </cols>
  <sheetData>
    <row r="1" spans="1:15" ht="21" customHeight="1">
      <c r="A1" s="1" t="s">
        <v>0</v>
      </c>
      <c r="B1" s="1"/>
      <c r="C1" s="1"/>
      <c r="D1" s="1"/>
      <c r="E1" s="1"/>
      <c r="F1" s="1"/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</row>
    <row r="2" spans="1:15">
      <c r="A2" s="3">
        <v>0</v>
      </c>
      <c r="B2" s="4"/>
      <c r="C2" s="4"/>
      <c r="D2" s="4"/>
      <c r="E2" s="7"/>
      <c r="F2" s="5"/>
      <c r="G2" s="1367" t="s">
        <v>6042</v>
      </c>
      <c r="H2" s="1367" t="s">
        <v>6043</v>
      </c>
      <c r="I2" s="6" t="s">
        <v>119</v>
      </c>
      <c r="J2" s="6">
        <v>1</v>
      </c>
      <c r="K2" s="6" t="s">
        <v>120</v>
      </c>
      <c r="L2" s="1367" t="s">
        <v>6030</v>
      </c>
      <c r="M2" s="6"/>
      <c r="N2" s="1367" t="s">
        <v>6746</v>
      </c>
      <c r="O2">
        <f>SUM(A2:F2)</f>
        <v>0</v>
      </c>
    </row>
    <row r="3" spans="1:15">
      <c r="A3" s="3"/>
      <c r="B3" s="1369">
        <v>1</v>
      </c>
      <c r="C3" s="4"/>
      <c r="D3" s="4"/>
      <c r="E3" s="7"/>
      <c r="F3" s="5"/>
      <c r="G3" s="1370" t="s">
        <v>9378</v>
      </c>
      <c r="H3" s="1371" t="s">
        <v>9303</v>
      </c>
      <c r="I3" s="1370" t="s">
        <v>9308</v>
      </c>
      <c r="J3" s="1372" t="s">
        <v>9294</v>
      </c>
      <c r="K3" s="1370"/>
      <c r="L3" s="1370"/>
      <c r="M3" s="1370" t="s">
        <v>9338</v>
      </c>
      <c r="N3" s="1370"/>
      <c r="O3">
        <f t="shared" ref="O3:O66" si="0">SUM(A3:F3)</f>
        <v>1</v>
      </c>
    </row>
    <row r="4" spans="1:15">
      <c r="A4" s="3"/>
      <c r="B4" s="1369">
        <v>1</v>
      </c>
      <c r="C4" s="4"/>
      <c r="D4" s="4"/>
      <c r="E4" s="7"/>
      <c r="F4" s="5"/>
      <c r="G4" s="1370" t="s">
        <v>9378</v>
      </c>
      <c r="H4" s="1371" t="s">
        <v>9303</v>
      </c>
      <c r="I4" s="1370" t="s">
        <v>9308</v>
      </c>
      <c r="J4" s="1372" t="s">
        <v>9294</v>
      </c>
      <c r="K4" s="1370"/>
      <c r="L4" s="1370"/>
      <c r="M4" s="1370" t="s">
        <v>9377</v>
      </c>
      <c r="N4" s="1370"/>
      <c r="O4">
        <f t="shared" si="0"/>
        <v>1</v>
      </c>
    </row>
    <row r="5" spans="1:15">
      <c r="A5" s="3"/>
      <c r="B5" s="4"/>
      <c r="C5" s="4">
        <v>2</v>
      </c>
      <c r="D5" s="4"/>
      <c r="E5" s="7"/>
      <c r="F5" s="5"/>
      <c r="G5" s="1367" t="s">
        <v>4261</v>
      </c>
      <c r="H5" s="1373" t="s">
        <v>4260</v>
      </c>
      <c r="I5" s="1367" t="s">
        <v>8597</v>
      </c>
      <c r="J5" s="1374">
        <v>4.0000000000000002E-4</v>
      </c>
      <c r="K5" s="1367" t="s">
        <v>9335</v>
      </c>
      <c r="L5" s="1367" t="s">
        <v>9336</v>
      </c>
      <c r="M5" s="1367" t="s">
        <v>9330</v>
      </c>
      <c r="N5" s="1367"/>
      <c r="O5">
        <f t="shared" si="0"/>
        <v>2</v>
      </c>
    </row>
    <row r="6" spans="1:15">
      <c r="A6" s="3"/>
      <c r="B6" s="4"/>
      <c r="C6" s="4">
        <v>2</v>
      </c>
      <c r="D6" s="4"/>
      <c r="E6" s="7"/>
      <c r="F6" s="5"/>
      <c r="G6" s="1367" t="s">
        <v>4264</v>
      </c>
      <c r="H6" s="1373" t="s">
        <v>4263</v>
      </c>
      <c r="I6" s="1367" t="s">
        <v>8598</v>
      </c>
      <c r="J6" s="1374">
        <v>1.1999999999999999E-3</v>
      </c>
      <c r="K6" s="1367" t="s">
        <v>9335</v>
      </c>
      <c r="L6" s="1367" t="s">
        <v>9336</v>
      </c>
      <c r="M6" s="1367" t="s">
        <v>9330</v>
      </c>
      <c r="N6" s="1367"/>
      <c r="O6">
        <f t="shared" si="0"/>
        <v>2</v>
      </c>
    </row>
    <row r="7" spans="1:15">
      <c r="A7" s="3"/>
      <c r="B7" s="4"/>
      <c r="C7" s="4">
        <v>2</v>
      </c>
      <c r="D7" s="4"/>
      <c r="E7" s="7"/>
      <c r="F7" s="5"/>
      <c r="G7" s="1367" t="s">
        <v>4266</v>
      </c>
      <c r="H7" s="1373" t="s">
        <v>4265</v>
      </c>
      <c r="I7" s="1367" t="s">
        <v>8599</v>
      </c>
      <c r="J7" s="1374">
        <v>5.0000000000000001E-3</v>
      </c>
      <c r="K7" s="1367" t="s">
        <v>9335</v>
      </c>
      <c r="L7" s="1367" t="s">
        <v>9336</v>
      </c>
      <c r="M7" s="1367" t="s">
        <v>9330</v>
      </c>
      <c r="N7" s="1367"/>
      <c r="O7">
        <f t="shared" si="0"/>
        <v>2</v>
      </c>
    </row>
    <row r="8" spans="1:15">
      <c r="A8" s="3"/>
      <c r="B8" s="4"/>
      <c r="C8" s="4">
        <v>2</v>
      </c>
      <c r="D8" s="4"/>
      <c r="E8" s="7"/>
      <c r="F8" s="5"/>
      <c r="G8" s="1367" t="s">
        <v>4268</v>
      </c>
      <c r="H8" s="1373" t="s">
        <v>4267</v>
      </c>
      <c r="I8" s="1367" t="s">
        <v>8600</v>
      </c>
      <c r="J8" s="1374">
        <v>4.0000000000000002E-4</v>
      </c>
      <c r="K8" s="1367" t="s">
        <v>9335</v>
      </c>
      <c r="L8" s="1367" t="s">
        <v>9336</v>
      </c>
      <c r="M8" s="1367" t="s">
        <v>9330</v>
      </c>
      <c r="N8" s="1367"/>
      <c r="O8">
        <f t="shared" si="0"/>
        <v>2</v>
      </c>
    </row>
    <row r="9" spans="1:15">
      <c r="A9" s="3"/>
      <c r="B9" s="4"/>
      <c r="C9" s="4">
        <v>2</v>
      </c>
      <c r="D9" s="4"/>
      <c r="E9" s="7"/>
      <c r="F9" s="5"/>
      <c r="G9" s="1367" t="s">
        <v>4400</v>
      </c>
      <c r="H9" s="1373" t="s">
        <v>4399</v>
      </c>
      <c r="I9" s="1367" t="s">
        <v>8657</v>
      </c>
      <c r="J9" s="1374">
        <v>1E-3</v>
      </c>
      <c r="K9" s="1367" t="s">
        <v>9335</v>
      </c>
      <c r="L9" s="1367" t="s">
        <v>9336</v>
      </c>
      <c r="M9" s="1367" t="s">
        <v>9331</v>
      </c>
      <c r="N9" s="1367"/>
      <c r="O9">
        <f t="shared" si="0"/>
        <v>2</v>
      </c>
    </row>
    <row r="10" spans="1:15">
      <c r="A10" s="3"/>
      <c r="B10" s="4"/>
      <c r="C10" s="4">
        <v>2</v>
      </c>
      <c r="D10" s="4"/>
      <c r="E10" s="7"/>
      <c r="F10" s="5"/>
      <c r="G10" s="1370" t="s">
        <v>9378</v>
      </c>
      <c r="H10" s="1370" t="s">
        <v>9304</v>
      </c>
      <c r="I10" s="1370" t="s">
        <v>9309</v>
      </c>
      <c r="J10" s="1372" t="s">
        <v>9294</v>
      </c>
      <c r="K10" s="1370"/>
      <c r="L10" s="1370"/>
      <c r="M10" s="1370" t="s">
        <v>9338</v>
      </c>
      <c r="N10" s="1370"/>
      <c r="O10">
        <f t="shared" si="0"/>
        <v>2</v>
      </c>
    </row>
    <row r="11" spans="1:15">
      <c r="A11" s="3"/>
      <c r="B11" s="4"/>
      <c r="C11" s="4"/>
      <c r="D11" s="4">
        <v>3</v>
      </c>
      <c r="E11" s="7"/>
      <c r="F11" s="5"/>
      <c r="G11" s="6" t="s">
        <v>1709</v>
      </c>
      <c r="H11" s="6" t="s">
        <v>1708</v>
      </c>
      <c r="I11" s="6" t="s">
        <v>9310</v>
      </c>
      <c r="J11" s="1366" t="s">
        <v>9294</v>
      </c>
      <c r="K11" s="6" t="s">
        <v>9332</v>
      </c>
      <c r="L11" s="6" t="s">
        <v>9333</v>
      </c>
      <c r="M11" s="6" t="s">
        <v>88</v>
      </c>
      <c r="N11" s="6"/>
      <c r="O11">
        <f t="shared" si="0"/>
        <v>3</v>
      </c>
    </row>
    <row r="12" spans="1:15">
      <c r="A12" s="3"/>
      <c r="B12" s="4"/>
      <c r="C12" s="4"/>
      <c r="D12" s="4"/>
      <c r="E12" s="7">
        <v>4</v>
      </c>
      <c r="F12" s="5"/>
      <c r="G12" s="1375" t="s">
        <v>4638</v>
      </c>
      <c r="H12" s="1375" t="s">
        <v>4637</v>
      </c>
      <c r="I12" s="1375" t="s">
        <v>8775</v>
      </c>
      <c r="J12" s="1376">
        <v>0.7581</v>
      </c>
      <c r="K12" s="1375" t="s">
        <v>8872</v>
      </c>
      <c r="L12" s="1375" t="s">
        <v>9334</v>
      </c>
      <c r="M12" s="1375" t="s">
        <v>9289</v>
      </c>
      <c r="N12" s="1375"/>
      <c r="O12">
        <f t="shared" si="0"/>
        <v>4</v>
      </c>
    </row>
    <row r="13" spans="1:15">
      <c r="A13" s="3"/>
      <c r="B13" s="4"/>
      <c r="C13" s="4"/>
      <c r="D13" s="4"/>
      <c r="E13" s="7">
        <v>4</v>
      </c>
      <c r="F13" s="5"/>
      <c r="G13" s="1375" t="s">
        <v>4718</v>
      </c>
      <c r="H13" s="1375" t="s">
        <v>4717</v>
      </c>
      <c r="I13" s="1375" t="s">
        <v>6552</v>
      </c>
      <c r="J13" s="1376">
        <v>2.5000000000000001E-3</v>
      </c>
      <c r="K13" s="1375" t="s">
        <v>9335</v>
      </c>
      <c r="L13" s="1375" t="s">
        <v>9336</v>
      </c>
      <c r="M13" s="1375" t="s">
        <v>4421</v>
      </c>
      <c r="N13" s="1375"/>
      <c r="O13">
        <f t="shared" si="0"/>
        <v>4</v>
      </c>
    </row>
    <row r="14" spans="1:15">
      <c r="A14" s="3"/>
      <c r="B14" s="4"/>
      <c r="C14" s="4"/>
      <c r="D14" s="4">
        <v>3</v>
      </c>
      <c r="E14" s="7"/>
      <c r="F14" s="5"/>
      <c r="G14" s="6" t="s">
        <v>1764</v>
      </c>
      <c r="H14" s="6" t="s">
        <v>1763</v>
      </c>
      <c r="I14" s="6" t="s">
        <v>9301</v>
      </c>
      <c r="J14" s="1366" t="s">
        <v>9294</v>
      </c>
      <c r="K14" s="6" t="s">
        <v>9335</v>
      </c>
      <c r="L14" s="6" t="s">
        <v>9336</v>
      </c>
      <c r="M14" s="6" t="s">
        <v>89</v>
      </c>
      <c r="N14" s="6"/>
      <c r="O14">
        <f t="shared" si="0"/>
        <v>3</v>
      </c>
    </row>
    <row r="15" spans="1:15">
      <c r="A15" s="3"/>
      <c r="B15" s="4"/>
      <c r="C15" s="4">
        <v>2</v>
      </c>
      <c r="D15" s="4"/>
      <c r="E15" s="7"/>
      <c r="F15" s="5"/>
      <c r="G15" s="1370" t="s">
        <v>9379</v>
      </c>
      <c r="H15" s="1370" t="s">
        <v>9305</v>
      </c>
      <c r="I15" s="1370" t="s">
        <v>9311</v>
      </c>
      <c r="J15" s="1372" t="s">
        <v>9294</v>
      </c>
      <c r="K15" s="1370"/>
      <c r="L15" s="1370"/>
      <c r="M15" s="1370" t="s">
        <v>9338</v>
      </c>
      <c r="N15" s="1370"/>
      <c r="O15">
        <f t="shared" si="0"/>
        <v>2</v>
      </c>
    </row>
    <row r="16" spans="1:15">
      <c r="A16" s="3"/>
      <c r="B16" s="4"/>
      <c r="C16" s="4"/>
      <c r="D16" s="4">
        <v>3</v>
      </c>
      <c r="E16" s="7"/>
      <c r="F16" s="5"/>
      <c r="G16" s="6" t="s">
        <v>568</v>
      </c>
      <c r="H16" s="6" t="s">
        <v>567</v>
      </c>
      <c r="I16" s="6" t="s">
        <v>9312</v>
      </c>
      <c r="J16" s="1366" t="s">
        <v>9294</v>
      </c>
      <c r="K16" s="6" t="s">
        <v>9335</v>
      </c>
      <c r="L16" s="6" t="s">
        <v>9336</v>
      </c>
      <c r="M16" s="6" t="s">
        <v>254</v>
      </c>
      <c r="N16" s="6"/>
      <c r="O16">
        <f t="shared" si="0"/>
        <v>3</v>
      </c>
    </row>
    <row r="17" spans="1:15">
      <c r="A17" s="3"/>
      <c r="B17" s="4"/>
      <c r="C17" s="4"/>
      <c r="D17" s="4">
        <v>3</v>
      </c>
      <c r="E17" s="7"/>
      <c r="F17" s="5"/>
      <c r="G17" s="6" t="s">
        <v>1738</v>
      </c>
      <c r="H17" s="6" t="s">
        <v>1737</v>
      </c>
      <c r="I17" s="6" t="s">
        <v>9313</v>
      </c>
      <c r="J17" s="1366" t="s">
        <v>9294</v>
      </c>
      <c r="K17" s="6" t="s">
        <v>9332</v>
      </c>
      <c r="L17" s="6" t="s">
        <v>9333</v>
      </c>
      <c r="M17" s="6" t="s">
        <v>88</v>
      </c>
      <c r="N17" s="6"/>
      <c r="O17">
        <f t="shared" si="0"/>
        <v>3</v>
      </c>
    </row>
    <row r="18" spans="1:15">
      <c r="A18" s="3"/>
      <c r="B18" s="4"/>
      <c r="C18" s="4"/>
      <c r="D18" s="4"/>
      <c r="E18" s="7">
        <v>4</v>
      </c>
      <c r="F18" s="5"/>
      <c r="G18" s="1375" t="s">
        <v>4624</v>
      </c>
      <c r="H18" s="1375" t="s">
        <v>4623</v>
      </c>
      <c r="I18" s="1375" t="s">
        <v>8768</v>
      </c>
      <c r="J18" s="1376">
        <v>0.6421</v>
      </c>
      <c r="K18" s="1375" t="s">
        <v>8872</v>
      </c>
      <c r="L18" s="1375" t="s">
        <v>9334</v>
      </c>
      <c r="M18" s="1375" t="s">
        <v>9289</v>
      </c>
      <c r="N18" s="1375"/>
      <c r="O18">
        <f t="shared" si="0"/>
        <v>4</v>
      </c>
    </row>
    <row r="19" spans="1:15">
      <c r="A19" s="3"/>
      <c r="B19" s="4"/>
      <c r="C19" s="4"/>
      <c r="D19" s="4"/>
      <c r="E19" s="7">
        <v>4</v>
      </c>
      <c r="F19" s="5"/>
      <c r="G19" s="1375" t="s">
        <v>4718</v>
      </c>
      <c r="H19" s="1375" t="s">
        <v>4717</v>
      </c>
      <c r="I19" s="1375" t="s">
        <v>6552</v>
      </c>
      <c r="J19" s="1376">
        <v>2.5000000000000001E-3</v>
      </c>
      <c r="K19" s="1375" t="s">
        <v>9335</v>
      </c>
      <c r="L19" s="1375" t="s">
        <v>9336</v>
      </c>
      <c r="M19" s="1375" t="s">
        <v>4421</v>
      </c>
      <c r="N19" s="1375"/>
      <c r="O19">
        <f t="shared" si="0"/>
        <v>4</v>
      </c>
    </row>
    <row r="20" spans="1:15">
      <c r="A20" s="3"/>
      <c r="B20" s="4"/>
      <c r="C20" s="4">
        <v>2</v>
      </c>
      <c r="D20" s="4"/>
      <c r="E20" s="7"/>
      <c r="F20" s="5"/>
      <c r="G20" s="6" t="s">
        <v>1398</v>
      </c>
      <c r="H20" s="6" t="s">
        <v>1397</v>
      </c>
      <c r="I20" s="6" t="s">
        <v>9296</v>
      </c>
      <c r="J20" s="1366" t="s">
        <v>9294</v>
      </c>
      <c r="K20" s="6" t="s">
        <v>9332</v>
      </c>
      <c r="L20" s="6" t="s">
        <v>9337</v>
      </c>
      <c r="M20" s="6" t="s">
        <v>88</v>
      </c>
      <c r="N20" s="6"/>
      <c r="O20">
        <f t="shared" si="0"/>
        <v>2</v>
      </c>
    </row>
    <row r="21" spans="1:15">
      <c r="A21" s="3"/>
      <c r="B21" s="4"/>
      <c r="C21" s="4"/>
      <c r="D21" s="4">
        <v>3</v>
      </c>
      <c r="E21" s="7"/>
      <c r="F21" s="5"/>
      <c r="G21" s="1375" t="s">
        <v>4564</v>
      </c>
      <c r="H21" s="1375" t="s">
        <v>4563</v>
      </c>
      <c r="I21" s="1375" t="s">
        <v>8738</v>
      </c>
      <c r="J21" s="1376">
        <v>0.62609999999999999</v>
      </c>
      <c r="K21" s="1375" t="s">
        <v>8872</v>
      </c>
      <c r="L21" s="1375" t="s">
        <v>9334</v>
      </c>
      <c r="M21" s="1375" t="s">
        <v>9289</v>
      </c>
      <c r="N21" s="1375"/>
      <c r="O21">
        <f t="shared" si="0"/>
        <v>3</v>
      </c>
    </row>
    <row r="22" spans="1:15">
      <c r="A22" s="3"/>
      <c r="B22" s="4"/>
      <c r="C22" s="4"/>
      <c r="D22" s="4">
        <v>3</v>
      </c>
      <c r="E22" s="7"/>
      <c r="F22" s="5"/>
      <c r="G22" s="1375" t="s">
        <v>4718</v>
      </c>
      <c r="H22" s="1375" t="s">
        <v>4717</v>
      </c>
      <c r="I22" s="1375" t="s">
        <v>6552</v>
      </c>
      <c r="J22" s="1376">
        <v>2.5000000000000001E-3</v>
      </c>
      <c r="K22" s="1375" t="s">
        <v>9335</v>
      </c>
      <c r="L22" s="1375" t="s">
        <v>9336</v>
      </c>
      <c r="M22" s="1375" t="s">
        <v>4421</v>
      </c>
      <c r="N22" s="1375"/>
      <c r="O22">
        <f t="shared" si="0"/>
        <v>3</v>
      </c>
    </row>
    <row r="23" spans="1:15">
      <c r="A23" s="3"/>
      <c r="B23" s="4"/>
      <c r="C23" s="4">
        <v>2</v>
      </c>
      <c r="D23" s="4"/>
      <c r="E23" s="7"/>
      <c r="F23" s="5"/>
      <c r="G23" s="6" t="s">
        <v>2416</v>
      </c>
      <c r="H23" s="6" t="s">
        <v>2415</v>
      </c>
      <c r="I23" s="6" t="s">
        <v>9314</v>
      </c>
      <c r="J23" s="1366" t="s">
        <v>9299</v>
      </c>
      <c r="K23" s="6" t="s">
        <v>9335</v>
      </c>
      <c r="L23" s="6" t="s">
        <v>9336</v>
      </c>
      <c r="M23" s="6" t="s">
        <v>89</v>
      </c>
      <c r="N23" s="6"/>
      <c r="O23">
        <f t="shared" si="0"/>
        <v>2</v>
      </c>
    </row>
    <row r="24" spans="1:15">
      <c r="A24" s="3"/>
      <c r="B24" s="1369">
        <v>1</v>
      </c>
      <c r="C24" s="4"/>
      <c r="D24" s="4"/>
      <c r="E24" s="7"/>
      <c r="F24" s="5"/>
      <c r="G24" s="6" t="s">
        <v>1158</v>
      </c>
      <c r="H24" s="1368" t="s">
        <v>6535</v>
      </c>
      <c r="I24" s="6" t="s">
        <v>9315</v>
      </c>
      <c r="J24" s="1366" t="s">
        <v>9294</v>
      </c>
      <c r="K24" s="6" t="s">
        <v>6020</v>
      </c>
      <c r="L24" s="6"/>
      <c r="M24" s="6" t="s">
        <v>9338</v>
      </c>
      <c r="N24" s="6"/>
      <c r="O24">
        <f t="shared" si="0"/>
        <v>1</v>
      </c>
    </row>
    <row r="25" spans="1:15">
      <c r="A25" s="3"/>
      <c r="B25" s="4"/>
      <c r="C25" s="4">
        <v>2</v>
      </c>
      <c r="D25" s="4"/>
      <c r="E25" s="7"/>
      <c r="F25" s="5"/>
      <c r="G25" s="1370" t="s">
        <v>9378</v>
      </c>
      <c r="H25" s="1370" t="s">
        <v>9306</v>
      </c>
      <c r="I25" s="1370" t="s">
        <v>9316</v>
      </c>
      <c r="J25" s="1372" t="s">
        <v>9294</v>
      </c>
      <c r="K25" s="1370"/>
      <c r="L25" s="1370"/>
      <c r="M25" s="1370" t="s">
        <v>9338</v>
      </c>
      <c r="N25" s="1370"/>
      <c r="O25">
        <f t="shared" si="0"/>
        <v>2</v>
      </c>
    </row>
    <row r="26" spans="1:15">
      <c r="A26" s="3"/>
      <c r="B26" s="4"/>
      <c r="C26" s="4"/>
      <c r="D26" s="4">
        <v>3</v>
      </c>
      <c r="E26" s="7"/>
      <c r="F26" s="5"/>
      <c r="G26" s="6" t="s">
        <v>1455</v>
      </c>
      <c r="H26" s="6" t="s">
        <v>1454</v>
      </c>
      <c r="I26" s="6" t="s">
        <v>9317</v>
      </c>
      <c r="J26" s="1366" t="s">
        <v>9294</v>
      </c>
      <c r="K26" s="6" t="s">
        <v>9335</v>
      </c>
      <c r="L26" s="6" t="s">
        <v>9336</v>
      </c>
      <c r="M26" s="6" t="s">
        <v>194</v>
      </c>
      <c r="N26" s="6"/>
      <c r="O26">
        <f t="shared" si="0"/>
        <v>3</v>
      </c>
    </row>
    <row r="27" spans="1:15">
      <c r="A27" s="3"/>
      <c r="B27" s="4"/>
      <c r="C27" s="4"/>
      <c r="D27" s="4">
        <v>3</v>
      </c>
      <c r="E27" s="7"/>
      <c r="F27" s="5"/>
      <c r="G27" s="6" t="s">
        <v>2524</v>
      </c>
      <c r="H27" s="6" t="s">
        <v>2523</v>
      </c>
      <c r="I27" s="6" t="s">
        <v>9318</v>
      </c>
      <c r="J27" s="1366" t="s">
        <v>9294</v>
      </c>
      <c r="K27" s="6" t="s">
        <v>9335</v>
      </c>
      <c r="L27" s="6" t="s">
        <v>9336</v>
      </c>
      <c r="M27" s="6" t="s">
        <v>2512</v>
      </c>
      <c r="N27" s="6"/>
      <c r="O27">
        <f t="shared" si="0"/>
        <v>3</v>
      </c>
    </row>
    <row r="28" spans="1:15">
      <c r="A28" s="3"/>
      <c r="B28" s="4"/>
      <c r="C28" s="4">
        <v>2</v>
      </c>
      <c r="D28" s="4"/>
      <c r="E28" s="7"/>
      <c r="F28" s="5"/>
      <c r="G28" s="6" t="s">
        <v>1328</v>
      </c>
      <c r="H28" s="6" t="s">
        <v>1327</v>
      </c>
      <c r="I28" s="6" t="s">
        <v>9300</v>
      </c>
      <c r="J28" s="1366" t="s">
        <v>9294</v>
      </c>
      <c r="K28" s="6" t="s">
        <v>9332</v>
      </c>
      <c r="L28" s="6" t="s">
        <v>9337</v>
      </c>
      <c r="M28" s="6" t="s">
        <v>88</v>
      </c>
      <c r="N28" s="6"/>
      <c r="O28">
        <f t="shared" si="0"/>
        <v>2</v>
      </c>
    </row>
    <row r="29" spans="1:15">
      <c r="A29" s="3"/>
      <c r="B29" s="4"/>
      <c r="C29" s="4"/>
      <c r="D29" s="4">
        <v>3</v>
      </c>
      <c r="E29" s="7"/>
      <c r="F29" s="5"/>
      <c r="G29" s="1375" t="s">
        <v>4556</v>
      </c>
      <c r="H29" s="1375" t="s">
        <v>4555</v>
      </c>
      <c r="I29" s="1375" t="s">
        <v>8734</v>
      </c>
      <c r="J29" s="1376">
        <v>0.56369999999999998</v>
      </c>
      <c r="K29" s="1375" t="s">
        <v>8872</v>
      </c>
      <c r="L29" s="1375" t="s">
        <v>9334</v>
      </c>
      <c r="M29" s="1375" t="s">
        <v>9289</v>
      </c>
      <c r="N29" s="1375"/>
      <c r="O29">
        <f t="shared" si="0"/>
        <v>3</v>
      </c>
    </row>
    <row r="30" spans="1:15">
      <c r="A30" s="3"/>
      <c r="B30" s="4"/>
      <c r="C30" s="4"/>
      <c r="D30" s="4">
        <v>3</v>
      </c>
      <c r="E30" s="7"/>
      <c r="F30" s="5"/>
      <c r="G30" s="1375" t="s">
        <v>4718</v>
      </c>
      <c r="H30" s="1375" t="s">
        <v>4717</v>
      </c>
      <c r="I30" s="1375" t="s">
        <v>6552</v>
      </c>
      <c r="J30" s="1376">
        <v>2.5000000000000001E-3</v>
      </c>
      <c r="K30" s="1375" t="s">
        <v>9335</v>
      </c>
      <c r="L30" s="1375" t="s">
        <v>9336</v>
      </c>
      <c r="M30" s="1375" t="s">
        <v>4421</v>
      </c>
      <c r="N30" s="1375"/>
      <c r="O30">
        <f t="shared" si="0"/>
        <v>3</v>
      </c>
    </row>
    <row r="31" spans="1:15">
      <c r="A31" s="3"/>
      <c r="B31" s="4"/>
      <c r="C31" s="4">
        <v>2</v>
      </c>
      <c r="D31" s="4"/>
      <c r="E31" s="7"/>
      <c r="F31" s="5"/>
      <c r="G31" s="6" t="s">
        <v>2452</v>
      </c>
      <c r="H31" s="6" t="s">
        <v>2451</v>
      </c>
      <c r="I31" s="6" t="s">
        <v>9302</v>
      </c>
      <c r="J31" s="1366" t="s">
        <v>9295</v>
      </c>
      <c r="K31" s="6" t="s">
        <v>9335</v>
      </c>
      <c r="L31" s="6" t="s">
        <v>9336</v>
      </c>
      <c r="M31" s="6" t="s">
        <v>89</v>
      </c>
      <c r="N31" s="6"/>
      <c r="O31">
        <f t="shared" si="0"/>
        <v>2</v>
      </c>
    </row>
    <row r="32" spans="1:15">
      <c r="A32" s="3"/>
      <c r="B32" s="4"/>
      <c r="C32" s="4">
        <v>2</v>
      </c>
      <c r="D32" s="4"/>
      <c r="E32" s="7"/>
      <c r="F32" s="5"/>
      <c r="G32" s="6" t="s">
        <v>2454</v>
      </c>
      <c r="H32" s="6" t="s">
        <v>2453</v>
      </c>
      <c r="I32" s="6" t="s">
        <v>9302</v>
      </c>
      <c r="J32" s="1366" t="s">
        <v>9295</v>
      </c>
      <c r="K32" s="6" t="s">
        <v>9335</v>
      </c>
      <c r="L32" s="6" t="s">
        <v>9336</v>
      </c>
      <c r="M32" s="6" t="s">
        <v>89</v>
      </c>
      <c r="N32" s="6"/>
      <c r="O32">
        <f t="shared" si="0"/>
        <v>2</v>
      </c>
    </row>
    <row r="33" spans="1:15">
      <c r="A33" s="3"/>
      <c r="B33" s="4"/>
      <c r="C33" s="4">
        <v>2</v>
      </c>
      <c r="D33" s="4"/>
      <c r="E33" s="7"/>
      <c r="F33" s="5"/>
      <c r="G33" s="1370" t="s">
        <v>9378</v>
      </c>
      <c r="H33" s="1370" t="s">
        <v>9307</v>
      </c>
      <c r="I33" s="1370" t="s">
        <v>9319</v>
      </c>
      <c r="J33" s="1372" t="s">
        <v>9294</v>
      </c>
      <c r="K33" s="1370"/>
      <c r="L33" s="1370"/>
      <c r="M33" s="1370" t="s">
        <v>9338</v>
      </c>
      <c r="N33" s="1370"/>
      <c r="O33">
        <f t="shared" si="0"/>
        <v>2</v>
      </c>
    </row>
    <row r="34" spans="1:15">
      <c r="A34" s="3"/>
      <c r="B34" s="4"/>
      <c r="C34" s="4"/>
      <c r="D34" s="4">
        <v>3</v>
      </c>
      <c r="E34" s="7"/>
      <c r="F34" s="5"/>
      <c r="G34" s="6" t="s">
        <v>2524</v>
      </c>
      <c r="H34" s="6" t="s">
        <v>2523</v>
      </c>
      <c r="I34" s="6" t="s">
        <v>9318</v>
      </c>
      <c r="J34" s="1366" t="s">
        <v>9294</v>
      </c>
      <c r="K34" s="6" t="s">
        <v>9335</v>
      </c>
      <c r="L34" s="6" t="s">
        <v>9336</v>
      </c>
      <c r="M34" s="6" t="s">
        <v>2512</v>
      </c>
      <c r="N34" s="6"/>
      <c r="O34">
        <f t="shared" si="0"/>
        <v>3</v>
      </c>
    </row>
    <row r="35" spans="1:15">
      <c r="A35" s="3"/>
      <c r="B35" s="4"/>
      <c r="C35" s="4"/>
      <c r="D35" s="4">
        <v>3</v>
      </c>
      <c r="E35" s="7"/>
      <c r="F35" s="5"/>
      <c r="G35" s="6" t="s">
        <v>3372</v>
      </c>
      <c r="H35" s="6" t="s">
        <v>3371</v>
      </c>
      <c r="I35" s="6" t="s">
        <v>9320</v>
      </c>
      <c r="J35" s="1366" t="s">
        <v>9294</v>
      </c>
      <c r="K35" s="6" t="s">
        <v>9335</v>
      </c>
      <c r="L35" s="6" t="s">
        <v>9336</v>
      </c>
      <c r="M35" s="6" t="s">
        <v>93</v>
      </c>
      <c r="N35" s="6"/>
      <c r="O35">
        <f t="shared" si="0"/>
        <v>3</v>
      </c>
    </row>
    <row r="36" spans="1:15">
      <c r="A36" s="3"/>
      <c r="B36" s="4"/>
      <c r="C36" s="4"/>
      <c r="D36" s="4">
        <v>3</v>
      </c>
      <c r="E36" s="7"/>
      <c r="F36" s="5"/>
      <c r="G36" s="6" t="s">
        <v>3805</v>
      </c>
      <c r="H36" s="6" t="s">
        <v>3804</v>
      </c>
      <c r="I36" s="6" t="s">
        <v>9297</v>
      </c>
      <c r="J36" s="1366" t="s">
        <v>9294</v>
      </c>
      <c r="K36" s="6" t="s">
        <v>9335</v>
      </c>
      <c r="L36" s="6" t="s">
        <v>9336</v>
      </c>
      <c r="M36" s="6" t="s">
        <v>89</v>
      </c>
      <c r="N36" s="6"/>
      <c r="O36">
        <f t="shared" si="0"/>
        <v>3</v>
      </c>
    </row>
    <row r="37" spans="1:15">
      <c r="A37" s="3"/>
      <c r="B37" s="1369">
        <v>1</v>
      </c>
      <c r="C37" s="4"/>
      <c r="D37" s="4"/>
      <c r="E37" s="7"/>
      <c r="F37" s="5"/>
      <c r="G37" s="6" t="s">
        <v>1416</v>
      </c>
      <c r="H37" s="1377" t="s">
        <v>1415</v>
      </c>
      <c r="I37" s="6" t="s">
        <v>9321</v>
      </c>
      <c r="J37" s="1366" t="s">
        <v>9294</v>
      </c>
      <c r="K37" s="6" t="s">
        <v>9335</v>
      </c>
      <c r="L37" s="6" t="s">
        <v>9336</v>
      </c>
      <c r="M37" s="6" t="s">
        <v>775</v>
      </c>
      <c r="N37" s="6"/>
      <c r="O37">
        <f t="shared" si="0"/>
        <v>1</v>
      </c>
    </row>
    <row r="38" spans="1:15">
      <c r="A38" s="3"/>
      <c r="B38" s="1369">
        <v>1</v>
      </c>
      <c r="C38" s="4"/>
      <c r="D38" s="4"/>
      <c r="E38" s="7"/>
      <c r="F38" s="5"/>
      <c r="G38" s="6" t="s">
        <v>1418</v>
      </c>
      <c r="H38" s="1377" t="s">
        <v>1417</v>
      </c>
      <c r="I38" s="6" t="s">
        <v>9322</v>
      </c>
      <c r="J38" s="1366" t="s">
        <v>9294</v>
      </c>
      <c r="K38" s="6" t="s">
        <v>9335</v>
      </c>
      <c r="L38" s="6" t="s">
        <v>9336</v>
      </c>
      <c r="M38" s="6" t="s">
        <v>91</v>
      </c>
      <c r="N38" s="6"/>
      <c r="O38">
        <f t="shared" si="0"/>
        <v>1</v>
      </c>
    </row>
    <row r="39" spans="1:15">
      <c r="A39" s="3"/>
      <c r="B39" s="1369">
        <v>1</v>
      </c>
      <c r="C39" s="4"/>
      <c r="D39" s="4"/>
      <c r="E39" s="7"/>
      <c r="F39" s="5"/>
      <c r="G39" s="6" t="s">
        <v>1795</v>
      </c>
      <c r="H39" s="1377" t="s">
        <v>1794</v>
      </c>
      <c r="I39" s="6" t="s">
        <v>9323</v>
      </c>
      <c r="J39" s="1366" t="s">
        <v>9294</v>
      </c>
      <c r="K39" s="6" t="s">
        <v>9332</v>
      </c>
      <c r="L39" s="6" t="s">
        <v>9337</v>
      </c>
      <c r="M39" s="6" t="s">
        <v>88</v>
      </c>
      <c r="N39" s="6"/>
      <c r="O39">
        <f t="shared" si="0"/>
        <v>1</v>
      </c>
    </row>
    <row r="40" spans="1:15">
      <c r="A40" s="3"/>
      <c r="B40" s="4"/>
      <c r="C40" s="4">
        <v>2</v>
      </c>
      <c r="D40" s="4"/>
      <c r="E40" s="7"/>
      <c r="F40" s="5"/>
      <c r="G40" s="1375" t="s">
        <v>4670</v>
      </c>
      <c r="H40" s="1378" t="s">
        <v>4669</v>
      </c>
      <c r="I40" s="1375" t="s">
        <v>8790</v>
      </c>
      <c r="J40" s="1376">
        <v>0.11609999999999999</v>
      </c>
      <c r="K40" s="1375" t="s">
        <v>8872</v>
      </c>
      <c r="L40" s="1375" t="s">
        <v>9334</v>
      </c>
      <c r="M40" s="1375" t="s">
        <v>9289</v>
      </c>
      <c r="N40" s="1375"/>
      <c r="O40">
        <f t="shared" si="0"/>
        <v>2</v>
      </c>
    </row>
    <row r="41" spans="1:15">
      <c r="A41" s="3"/>
      <c r="B41" s="4"/>
      <c r="C41" s="4">
        <v>2</v>
      </c>
      <c r="D41" s="4"/>
      <c r="E41" s="7"/>
      <c r="F41" s="5"/>
      <c r="G41" s="1375" t="s">
        <v>4718</v>
      </c>
      <c r="H41" s="1378" t="s">
        <v>4717</v>
      </c>
      <c r="I41" s="1375" t="s">
        <v>6552</v>
      </c>
      <c r="J41" s="1376">
        <v>1.2999999999999999E-3</v>
      </c>
      <c r="K41" s="1375" t="s">
        <v>9335</v>
      </c>
      <c r="L41" s="1375" t="s">
        <v>9336</v>
      </c>
      <c r="M41" s="1375" t="s">
        <v>4421</v>
      </c>
      <c r="N41" s="1375"/>
      <c r="O41">
        <f t="shared" si="0"/>
        <v>2</v>
      </c>
    </row>
    <row r="42" spans="1:15">
      <c r="A42" s="3"/>
      <c r="B42" s="1369" t="s">
        <v>9380</v>
      </c>
      <c r="C42" s="4"/>
      <c r="D42" s="4"/>
      <c r="E42" s="7"/>
      <c r="F42" s="5"/>
      <c r="G42" s="6" t="s">
        <v>1964</v>
      </c>
      <c r="H42" s="1377" t="s">
        <v>1963</v>
      </c>
      <c r="I42" s="6" t="s">
        <v>9324</v>
      </c>
      <c r="J42" s="1366" t="s">
        <v>9294</v>
      </c>
      <c r="K42" s="6" t="s">
        <v>9335</v>
      </c>
      <c r="L42" s="6" t="s">
        <v>9336</v>
      </c>
      <c r="M42" s="6" t="s">
        <v>91</v>
      </c>
      <c r="N42" s="6"/>
      <c r="O42">
        <f t="shared" si="0"/>
        <v>0</v>
      </c>
    </row>
    <row r="43" spans="1:15">
      <c r="A43" s="3"/>
      <c r="B43" s="1369">
        <v>1</v>
      </c>
      <c r="C43" s="4"/>
      <c r="D43" s="4"/>
      <c r="E43" s="7"/>
      <c r="F43" s="5"/>
      <c r="G43" s="6" t="s">
        <v>53</v>
      </c>
      <c r="H43" s="1377" t="s">
        <v>15</v>
      </c>
      <c r="I43" s="6" t="s">
        <v>9325</v>
      </c>
      <c r="J43" s="1366" t="s">
        <v>9295</v>
      </c>
      <c r="K43" s="6" t="s">
        <v>9335</v>
      </c>
      <c r="L43" s="6" t="s">
        <v>9336</v>
      </c>
      <c r="M43" s="6" t="s">
        <v>91</v>
      </c>
      <c r="N43" s="6"/>
      <c r="O43">
        <f t="shared" si="0"/>
        <v>1</v>
      </c>
    </row>
    <row r="44" spans="1:15">
      <c r="A44" s="3"/>
      <c r="B44" s="1369">
        <v>1</v>
      </c>
      <c r="C44" s="4"/>
      <c r="D44" s="4"/>
      <c r="E44" s="7"/>
      <c r="F44" s="5"/>
      <c r="G44" s="6" t="s">
        <v>54</v>
      </c>
      <c r="H44" s="1377" t="s">
        <v>16</v>
      </c>
      <c r="I44" s="6" t="s">
        <v>9325</v>
      </c>
      <c r="J44" s="1366" t="s">
        <v>9295</v>
      </c>
      <c r="K44" s="6" t="s">
        <v>9335</v>
      </c>
      <c r="L44" s="6" t="s">
        <v>9336</v>
      </c>
      <c r="M44" s="6" t="s">
        <v>91</v>
      </c>
      <c r="N44" s="6"/>
      <c r="O44">
        <f t="shared" si="0"/>
        <v>1</v>
      </c>
    </row>
    <row r="45" spans="1:15">
      <c r="A45" s="3"/>
      <c r="B45" s="1369">
        <v>1</v>
      </c>
      <c r="C45" s="4"/>
      <c r="D45" s="4"/>
      <c r="E45" s="7"/>
      <c r="F45" s="5"/>
      <c r="G45" s="6" t="s">
        <v>55</v>
      </c>
      <c r="H45" s="1377" t="s">
        <v>17</v>
      </c>
      <c r="I45" s="6" t="s">
        <v>9325</v>
      </c>
      <c r="J45" s="1366" t="s">
        <v>9295</v>
      </c>
      <c r="K45" s="6" t="s">
        <v>9335</v>
      </c>
      <c r="L45" s="6" t="s">
        <v>9336</v>
      </c>
      <c r="M45" s="6" t="s">
        <v>91</v>
      </c>
      <c r="N45" s="6"/>
      <c r="O45">
        <f t="shared" si="0"/>
        <v>1</v>
      </c>
    </row>
    <row r="46" spans="1:15">
      <c r="A46" s="3"/>
      <c r="B46" s="1369">
        <v>1</v>
      </c>
      <c r="C46" s="4"/>
      <c r="D46" s="4"/>
      <c r="E46" s="7"/>
      <c r="F46" s="5"/>
      <c r="G46" s="6" t="s">
        <v>2032</v>
      </c>
      <c r="H46" s="1377" t="s">
        <v>2031</v>
      </c>
      <c r="I46" s="6" t="s">
        <v>9326</v>
      </c>
      <c r="J46" s="1366" t="s">
        <v>9295</v>
      </c>
      <c r="K46" s="6" t="s">
        <v>9335</v>
      </c>
      <c r="L46" s="6" t="s">
        <v>9336</v>
      </c>
      <c r="M46" s="6" t="s">
        <v>91</v>
      </c>
      <c r="N46" s="6"/>
      <c r="O46">
        <f t="shared" si="0"/>
        <v>1</v>
      </c>
    </row>
    <row r="47" spans="1:15">
      <c r="A47" s="3"/>
      <c r="B47" s="1369">
        <v>1</v>
      </c>
      <c r="C47" s="4"/>
      <c r="D47" s="4"/>
      <c r="E47" s="7"/>
      <c r="F47" s="5"/>
      <c r="G47" s="6" t="s">
        <v>2247</v>
      </c>
      <c r="H47" s="1377" t="s">
        <v>2246</v>
      </c>
      <c r="I47" s="6" t="s">
        <v>9327</v>
      </c>
      <c r="J47" s="1366" t="s">
        <v>9294</v>
      </c>
      <c r="K47" s="6" t="s">
        <v>9335</v>
      </c>
      <c r="L47" s="6" t="s">
        <v>9336</v>
      </c>
      <c r="M47" s="6" t="s">
        <v>90</v>
      </c>
      <c r="N47" s="6"/>
      <c r="O47">
        <f t="shared" si="0"/>
        <v>1</v>
      </c>
    </row>
    <row r="48" spans="1:15">
      <c r="A48" s="3"/>
      <c r="B48" s="1369">
        <v>1</v>
      </c>
      <c r="C48" s="4"/>
      <c r="D48" s="4"/>
      <c r="E48" s="7"/>
      <c r="F48" s="5"/>
      <c r="G48" s="6" t="s">
        <v>3282</v>
      </c>
      <c r="H48" s="1377" t="s">
        <v>3281</v>
      </c>
      <c r="I48" s="6" t="s">
        <v>9328</v>
      </c>
      <c r="J48" s="1366" t="s">
        <v>9294</v>
      </c>
      <c r="K48" s="6" t="s">
        <v>9335</v>
      </c>
      <c r="L48" s="6" t="s">
        <v>9336</v>
      </c>
      <c r="M48" s="6" t="s">
        <v>259</v>
      </c>
      <c r="N48" s="6"/>
      <c r="O48">
        <f t="shared" si="0"/>
        <v>1</v>
      </c>
    </row>
    <row r="49" spans="1:15">
      <c r="A49" s="3"/>
      <c r="B49" s="1369">
        <v>1</v>
      </c>
      <c r="C49" s="4"/>
      <c r="D49" s="4"/>
      <c r="E49" s="7"/>
      <c r="F49" s="5"/>
      <c r="G49" s="6" t="s">
        <v>57</v>
      </c>
      <c r="H49" s="1377" t="s">
        <v>19</v>
      </c>
      <c r="I49" s="6" t="s">
        <v>9298</v>
      </c>
      <c r="J49" s="1366" t="s">
        <v>9329</v>
      </c>
      <c r="K49" s="6" t="s">
        <v>9335</v>
      </c>
      <c r="L49" s="6" t="s">
        <v>9336</v>
      </c>
      <c r="M49" s="6" t="s">
        <v>92</v>
      </c>
      <c r="N49" s="6"/>
      <c r="O49">
        <f t="shared" si="0"/>
        <v>1</v>
      </c>
    </row>
    <row r="50" spans="1:15">
      <c r="A50" s="3"/>
      <c r="B50" s="1369">
        <v>1</v>
      </c>
      <c r="C50" s="4"/>
      <c r="D50" s="4"/>
      <c r="E50" s="7"/>
      <c r="F50" s="5"/>
      <c r="G50" s="6" t="s">
        <v>58</v>
      </c>
      <c r="H50" s="1377" t="s">
        <v>20</v>
      </c>
      <c r="I50" s="6" t="s">
        <v>9298</v>
      </c>
      <c r="J50" s="1366" t="s">
        <v>9329</v>
      </c>
      <c r="K50" s="6" t="s">
        <v>9335</v>
      </c>
      <c r="L50" s="6" t="s">
        <v>9336</v>
      </c>
      <c r="M50" s="6" t="s">
        <v>92</v>
      </c>
      <c r="N50" s="6"/>
      <c r="O50">
        <f t="shared" si="0"/>
        <v>1</v>
      </c>
    </row>
    <row r="51" spans="1:15">
      <c r="A51" s="3"/>
      <c r="B51" s="1369">
        <v>1</v>
      </c>
      <c r="C51" s="4"/>
      <c r="D51" s="4"/>
      <c r="E51" s="7"/>
      <c r="F51" s="5"/>
      <c r="G51" s="6" t="s">
        <v>59</v>
      </c>
      <c r="H51" s="1377" t="s">
        <v>21</v>
      </c>
      <c r="I51" s="6" t="s">
        <v>9298</v>
      </c>
      <c r="J51" s="1366" t="s">
        <v>9329</v>
      </c>
      <c r="K51" s="6" t="s">
        <v>9335</v>
      </c>
      <c r="L51" s="6" t="s">
        <v>9336</v>
      </c>
      <c r="M51" s="6" t="s">
        <v>92</v>
      </c>
      <c r="N51" s="6"/>
      <c r="O51">
        <f t="shared" si="0"/>
        <v>1</v>
      </c>
    </row>
    <row r="52" spans="1:15">
      <c r="A52" s="3"/>
      <c r="B52" s="1369">
        <v>1</v>
      </c>
      <c r="C52" s="4"/>
      <c r="D52" s="4"/>
      <c r="E52" s="7"/>
      <c r="F52" s="5"/>
      <c r="G52" s="6" t="s">
        <v>60</v>
      </c>
      <c r="H52" s="1377" t="s">
        <v>22</v>
      </c>
      <c r="I52" s="6" t="s">
        <v>9298</v>
      </c>
      <c r="J52" s="1366" t="s">
        <v>9329</v>
      </c>
      <c r="K52" s="6" t="s">
        <v>9335</v>
      </c>
      <c r="L52" s="6" t="s">
        <v>9336</v>
      </c>
      <c r="M52" s="6" t="s">
        <v>92</v>
      </c>
      <c r="N52" s="6"/>
      <c r="O52">
        <f t="shared" si="0"/>
        <v>1</v>
      </c>
    </row>
    <row r="53" spans="1:15">
      <c r="A53" s="3"/>
      <c r="B53" s="1369">
        <v>1</v>
      </c>
      <c r="C53" s="4"/>
      <c r="D53" s="4"/>
      <c r="E53" s="7"/>
      <c r="F53" s="5"/>
      <c r="G53" s="6" t="s">
        <v>61</v>
      </c>
      <c r="H53" s="1377" t="s">
        <v>23</v>
      </c>
      <c r="I53" s="6" t="s">
        <v>9298</v>
      </c>
      <c r="J53" s="1366" t="s">
        <v>9329</v>
      </c>
      <c r="K53" s="6" t="s">
        <v>9335</v>
      </c>
      <c r="L53" s="6" t="s">
        <v>9336</v>
      </c>
      <c r="M53" s="6" t="s">
        <v>92</v>
      </c>
      <c r="N53" s="6"/>
      <c r="O53">
        <f t="shared" si="0"/>
        <v>1</v>
      </c>
    </row>
    <row r="54" spans="1:15">
      <c r="A54" s="3"/>
      <c r="B54" s="1369">
        <v>1</v>
      </c>
      <c r="C54" s="4"/>
      <c r="D54" s="4"/>
      <c r="E54" s="7"/>
      <c r="F54" s="5"/>
      <c r="G54" s="6" t="s">
        <v>62</v>
      </c>
      <c r="H54" s="1377" t="s">
        <v>24</v>
      </c>
      <c r="I54" s="6" t="s">
        <v>9298</v>
      </c>
      <c r="J54" s="1366" t="s">
        <v>9329</v>
      </c>
      <c r="K54" s="6" t="s">
        <v>9335</v>
      </c>
      <c r="L54" s="6" t="s">
        <v>9336</v>
      </c>
      <c r="M54" s="6" t="s">
        <v>92</v>
      </c>
      <c r="N54" s="6"/>
      <c r="O54">
        <f t="shared" si="0"/>
        <v>1</v>
      </c>
    </row>
    <row r="55" spans="1:15">
      <c r="A55" s="3"/>
      <c r="B55" s="1369">
        <v>1</v>
      </c>
      <c r="C55" s="4"/>
      <c r="D55" s="4"/>
      <c r="E55" s="7"/>
      <c r="F55" s="5"/>
      <c r="G55" s="6" t="s">
        <v>63</v>
      </c>
      <c r="H55" s="1377" t="s">
        <v>25</v>
      </c>
      <c r="I55" s="6" t="s">
        <v>9298</v>
      </c>
      <c r="J55" s="1366" t="s">
        <v>9329</v>
      </c>
      <c r="K55" s="6" t="s">
        <v>9335</v>
      </c>
      <c r="L55" s="6" t="s">
        <v>9336</v>
      </c>
      <c r="M55" s="6" t="s">
        <v>92</v>
      </c>
      <c r="N55" s="6"/>
      <c r="O55">
        <f t="shared" si="0"/>
        <v>1</v>
      </c>
    </row>
    <row r="56" spans="1:15">
      <c r="A56" s="3"/>
      <c r="B56" s="1369">
        <v>1</v>
      </c>
      <c r="C56" s="4"/>
      <c r="D56" s="4"/>
      <c r="E56" s="7"/>
      <c r="F56" s="5"/>
      <c r="G56" s="6" t="s">
        <v>64</v>
      </c>
      <c r="H56" s="1377" t="s">
        <v>26</v>
      </c>
      <c r="I56" s="6" t="s">
        <v>9298</v>
      </c>
      <c r="J56" s="1366" t="s">
        <v>9329</v>
      </c>
      <c r="K56" s="6" t="s">
        <v>9335</v>
      </c>
      <c r="L56" s="6" t="s">
        <v>9336</v>
      </c>
      <c r="M56" s="6" t="s">
        <v>92</v>
      </c>
      <c r="N56" s="6"/>
      <c r="O56">
        <f t="shared" si="0"/>
        <v>1</v>
      </c>
    </row>
    <row r="57" spans="1:15">
      <c r="A57" s="3"/>
      <c r="B57" s="1369">
        <v>1</v>
      </c>
      <c r="C57" s="4"/>
      <c r="D57" s="4"/>
      <c r="E57" s="7"/>
      <c r="F57" s="5"/>
      <c r="G57" s="6" t="s">
        <v>65</v>
      </c>
      <c r="H57" s="1377" t="s">
        <v>27</v>
      </c>
      <c r="I57" s="6" t="s">
        <v>9298</v>
      </c>
      <c r="J57" s="1366" t="s">
        <v>9329</v>
      </c>
      <c r="K57" s="6" t="s">
        <v>9335</v>
      </c>
      <c r="L57" s="6" t="s">
        <v>9336</v>
      </c>
      <c r="M57" s="6" t="s">
        <v>92</v>
      </c>
      <c r="N57" s="6"/>
      <c r="O57">
        <f t="shared" si="0"/>
        <v>1</v>
      </c>
    </row>
    <row r="58" spans="1:15">
      <c r="A58" s="3"/>
      <c r="B58" s="1369">
        <v>1</v>
      </c>
      <c r="C58" s="4"/>
      <c r="D58" s="4"/>
      <c r="E58" s="7"/>
      <c r="F58" s="5"/>
      <c r="G58" s="6" t="s">
        <v>66</v>
      </c>
      <c r="H58" s="1377" t="s">
        <v>28</v>
      </c>
      <c r="I58" s="6" t="s">
        <v>9298</v>
      </c>
      <c r="J58" s="1366" t="s">
        <v>9329</v>
      </c>
      <c r="K58" s="6" t="s">
        <v>9335</v>
      </c>
      <c r="L58" s="6" t="s">
        <v>9336</v>
      </c>
      <c r="M58" s="6" t="s">
        <v>92</v>
      </c>
      <c r="N58" s="6"/>
      <c r="O58">
        <f t="shared" si="0"/>
        <v>1</v>
      </c>
    </row>
    <row r="59" spans="1:15">
      <c r="A59" s="3"/>
      <c r="B59" s="1369">
        <v>1</v>
      </c>
      <c r="C59" s="4"/>
      <c r="D59" s="4"/>
      <c r="E59" s="7"/>
      <c r="F59" s="5"/>
      <c r="G59" s="6" t="s">
        <v>67</v>
      </c>
      <c r="H59" s="1377" t="s">
        <v>29</v>
      </c>
      <c r="I59" s="6" t="s">
        <v>9298</v>
      </c>
      <c r="J59" s="1366" t="s">
        <v>9329</v>
      </c>
      <c r="K59" s="6" t="s">
        <v>9335</v>
      </c>
      <c r="L59" s="6" t="s">
        <v>9336</v>
      </c>
      <c r="M59" s="6" t="s">
        <v>92</v>
      </c>
      <c r="N59" s="6"/>
      <c r="O59">
        <f t="shared" si="0"/>
        <v>1</v>
      </c>
    </row>
    <row r="60" spans="1:15">
      <c r="A60" s="3"/>
      <c r="B60" s="1369">
        <v>1</v>
      </c>
      <c r="C60" s="4"/>
      <c r="D60" s="4"/>
      <c r="E60" s="7"/>
      <c r="F60" s="5"/>
      <c r="G60" s="6" t="s">
        <v>68</v>
      </c>
      <c r="H60" s="1377" t="s">
        <v>30</v>
      </c>
      <c r="I60" s="6" t="s">
        <v>9298</v>
      </c>
      <c r="J60" s="1366" t="s">
        <v>9329</v>
      </c>
      <c r="K60" s="6" t="s">
        <v>9335</v>
      </c>
      <c r="L60" s="6" t="s">
        <v>9336</v>
      </c>
      <c r="M60" s="6" t="s">
        <v>92</v>
      </c>
      <c r="N60" s="6"/>
      <c r="O60">
        <f t="shared" si="0"/>
        <v>1</v>
      </c>
    </row>
    <row r="61" spans="1:15">
      <c r="A61" s="3"/>
      <c r="B61" s="1369">
        <v>1</v>
      </c>
      <c r="C61" s="4"/>
      <c r="D61" s="4"/>
      <c r="E61" s="7"/>
      <c r="F61" s="5"/>
      <c r="G61" s="6" t="s">
        <v>69</v>
      </c>
      <c r="H61" s="1377" t="s">
        <v>31</v>
      </c>
      <c r="I61" s="6" t="s">
        <v>9298</v>
      </c>
      <c r="J61" s="1366" t="s">
        <v>9329</v>
      </c>
      <c r="K61" s="6" t="s">
        <v>9335</v>
      </c>
      <c r="L61" s="6" t="s">
        <v>9336</v>
      </c>
      <c r="M61" s="6" t="s">
        <v>92</v>
      </c>
      <c r="N61" s="6"/>
      <c r="O61">
        <f t="shared" si="0"/>
        <v>1</v>
      </c>
    </row>
    <row r="62" spans="1:15">
      <c r="A62" s="3"/>
      <c r="B62" s="1369">
        <v>1</v>
      </c>
      <c r="C62" s="4"/>
      <c r="D62" s="4"/>
      <c r="E62" s="7"/>
      <c r="F62" s="5"/>
      <c r="G62" s="6" t="s">
        <v>70</v>
      </c>
      <c r="H62" s="1377" t="s">
        <v>32</v>
      </c>
      <c r="I62" s="6" t="s">
        <v>9298</v>
      </c>
      <c r="J62" s="1366" t="s">
        <v>9329</v>
      </c>
      <c r="K62" s="6" t="s">
        <v>9335</v>
      </c>
      <c r="L62" s="6" t="s">
        <v>9336</v>
      </c>
      <c r="M62" s="6" t="s">
        <v>92</v>
      </c>
      <c r="N62" s="6"/>
      <c r="O62">
        <f t="shared" si="0"/>
        <v>1</v>
      </c>
    </row>
    <row r="63" spans="1:15">
      <c r="A63" s="3"/>
      <c r="B63" s="1369">
        <v>1</v>
      </c>
      <c r="C63" s="4"/>
      <c r="D63" s="4"/>
      <c r="E63" s="7"/>
      <c r="F63" s="5"/>
      <c r="G63" s="6" t="s">
        <v>71</v>
      </c>
      <c r="H63" s="1377" t="s">
        <v>33</v>
      </c>
      <c r="I63" s="6" t="s">
        <v>9298</v>
      </c>
      <c r="J63" s="1366" t="s">
        <v>9329</v>
      </c>
      <c r="K63" s="6" t="s">
        <v>9335</v>
      </c>
      <c r="L63" s="6" t="s">
        <v>9336</v>
      </c>
      <c r="M63" s="6" t="s">
        <v>92</v>
      </c>
      <c r="N63" s="6"/>
      <c r="O63">
        <f t="shared" si="0"/>
        <v>1</v>
      </c>
    </row>
    <row r="64" spans="1:15">
      <c r="A64" s="3"/>
      <c r="B64" s="1369">
        <v>1</v>
      </c>
      <c r="C64" s="4"/>
      <c r="D64" s="4"/>
      <c r="E64" s="7"/>
      <c r="F64" s="5"/>
      <c r="G64" s="6" t="s">
        <v>72</v>
      </c>
      <c r="H64" s="1377" t="s">
        <v>34</v>
      </c>
      <c r="I64" s="6" t="s">
        <v>9298</v>
      </c>
      <c r="J64" s="1366" t="s">
        <v>9329</v>
      </c>
      <c r="K64" s="6" t="s">
        <v>9335</v>
      </c>
      <c r="L64" s="6" t="s">
        <v>9336</v>
      </c>
      <c r="M64" s="6" t="s">
        <v>92</v>
      </c>
      <c r="N64" s="6"/>
      <c r="O64">
        <f t="shared" si="0"/>
        <v>1</v>
      </c>
    </row>
    <row r="65" spans="1:15">
      <c r="A65" s="3"/>
      <c r="B65" s="1369">
        <v>1</v>
      </c>
      <c r="C65" s="4"/>
      <c r="D65" s="4"/>
      <c r="E65" s="7"/>
      <c r="F65" s="5"/>
      <c r="G65" s="6" t="s">
        <v>73</v>
      </c>
      <c r="H65" s="1377" t="s">
        <v>35</v>
      </c>
      <c r="I65" s="6" t="s">
        <v>9298</v>
      </c>
      <c r="J65" s="1366" t="s">
        <v>9329</v>
      </c>
      <c r="K65" s="6" t="s">
        <v>9335</v>
      </c>
      <c r="L65" s="6" t="s">
        <v>9336</v>
      </c>
      <c r="M65" s="6" t="s">
        <v>92</v>
      </c>
      <c r="N65" s="6"/>
      <c r="O65">
        <f t="shared" si="0"/>
        <v>1</v>
      </c>
    </row>
    <row r="66" spans="1:15">
      <c r="A66" s="3"/>
      <c r="B66" s="4">
        <v>1</v>
      </c>
      <c r="C66" s="4"/>
      <c r="D66" s="4"/>
      <c r="E66" s="7"/>
      <c r="F66" s="5"/>
      <c r="G66" s="1375" t="s">
        <v>4306</v>
      </c>
      <c r="H66" s="1375" t="s">
        <v>4305</v>
      </c>
      <c r="I66" s="1375" t="s">
        <v>8615</v>
      </c>
      <c r="J66" s="1376">
        <v>1.1999999999999999E-3</v>
      </c>
      <c r="K66" s="1375" t="s">
        <v>9335</v>
      </c>
      <c r="L66" s="1375" t="s">
        <v>9336</v>
      </c>
      <c r="M66" s="1375" t="s">
        <v>4301</v>
      </c>
      <c r="N66" s="1375"/>
      <c r="O66">
        <f t="shared" si="0"/>
        <v>1</v>
      </c>
    </row>
  </sheetData>
  <autoFilter ref="A1:N66" xr:uid="{6E58BD92-8932-4A0D-8E76-387CBFE82A0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CBBDD-C6A8-4AA9-B43A-BF1CE9F6F22F}">
  <dimension ref="A1:M76"/>
  <sheetViews>
    <sheetView topLeftCell="A20" workbookViewId="0">
      <selection activeCell="D32" sqref="D32"/>
    </sheetView>
  </sheetViews>
  <sheetFormatPr defaultRowHeight="14.5"/>
  <cols>
    <col min="2" max="2" width="14.1796875" bestFit="1" customWidth="1"/>
    <col min="3" max="3" width="27.453125" bestFit="1" customWidth="1"/>
    <col min="4" max="4" width="14.81640625" bestFit="1" customWidth="1"/>
    <col min="5" max="5" width="39.54296875" bestFit="1" customWidth="1"/>
    <col min="6" max="6" width="7.54296875" bestFit="1" customWidth="1"/>
  </cols>
  <sheetData>
    <row r="1" spans="1:13">
      <c r="A1" t="s">
        <v>9339</v>
      </c>
      <c r="B1" t="s">
        <v>9340</v>
      </c>
      <c r="C1" t="s">
        <v>9341</v>
      </c>
      <c r="D1" t="s">
        <v>9342</v>
      </c>
      <c r="E1" t="s">
        <v>9343</v>
      </c>
      <c r="F1" t="s">
        <v>5</v>
      </c>
      <c r="G1" t="s">
        <v>9344</v>
      </c>
      <c r="H1" t="s">
        <v>9345</v>
      </c>
      <c r="I1" t="s">
        <v>9346</v>
      </c>
      <c r="J1" t="s">
        <v>9347</v>
      </c>
      <c r="K1" t="s">
        <v>9348</v>
      </c>
      <c r="L1" t="s">
        <v>9349</v>
      </c>
      <c r="M1" t="s">
        <v>9350</v>
      </c>
    </row>
    <row r="2" spans="1:13">
      <c r="A2" t="s">
        <v>6746</v>
      </c>
      <c r="D2" t="s">
        <v>6043</v>
      </c>
      <c r="E2" t="s">
        <v>119</v>
      </c>
      <c r="F2" t="s">
        <v>9351</v>
      </c>
      <c r="G2" t="s">
        <v>9352</v>
      </c>
      <c r="H2">
        <v>1</v>
      </c>
      <c r="I2">
        <v>20210323</v>
      </c>
      <c r="K2">
        <v>2</v>
      </c>
      <c r="L2">
        <v>20230826</v>
      </c>
      <c r="M2">
        <v>20231103</v>
      </c>
    </row>
    <row r="3" spans="1:13">
      <c r="A3" t="s">
        <v>6746</v>
      </c>
      <c r="B3" t="s">
        <v>6043</v>
      </c>
      <c r="C3" t="s">
        <v>119</v>
      </c>
      <c r="D3" s="1379" t="s">
        <v>9353</v>
      </c>
      <c r="E3" t="s">
        <v>9354</v>
      </c>
      <c r="F3" t="s">
        <v>6020</v>
      </c>
      <c r="G3" t="s">
        <v>9352</v>
      </c>
      <c r="H3">
        <v>1</v>
      </c>
      <c r="I3">
        <v>20210323</v>
      </c>
      <c r="K3">
        <v>2</v>
      </c>
      <c r="L3">
        <v>20210323</v>
      </c>
      <c r="M3">
        <v>20231103</v>
      </c>
    </row>
    <row r="4" spans="1:13">
      <c r="A4" t="s">
        <v>6746</v>
      </c>
      <c r="B4" t="s">
        <v>6043</v>
      </c>
      <c r="C4" t="s">
        <v>119</v>
      </c>
      <c r="D4" s="1379" t="s">
        <v>567</v>
      </c>
      <c r="E4" t="s">
        <v>6543</v>
      </c>
      <c r="F4" t="s">
        <v>9355</v>
      </c>
      <c r="G4" t="s">
        <v>9336</v>
      </c>
      <c r="H4">
        <v>1</v>
      </c>
      <c r="I4">
        <v>20210323</v>
      </c>
      <c r="K4">
        <v>2</v>
      </c>
      <c r="L4">
        <v>20210323</v>
      </c>
      <c r="M4">
        <v>20231103</v>
      </c>
    </row>
    <row r="5" spans="1:13">
      <c r="A5" t="s">
        <v>6746</v>
      </c>
      <c r="B5" t="s">
        <v>6043</v>
      </c>
      <c r="C5" t="s">
        <v>119</v>
      </c>
      <c r="D5" s="1379" t="s">
        <v>9356</v>
      </c>
      <c r="E5" t="s">
        <v>6567</v>
      </c>
      <c r="F5" t="s">
        <v>6020</v>
      </c>
      <c r="G5" t="s">
        <v>9352</v>
      </c>
      <c r="H5">
        <v>1</v>
      </c>
      <c r="I5">
        <v>20210323</v>
      </c>
      <c r="K5">
        <v>2</v>
      </c>
      <c r="L5">
        <v>20210323</v>
      </c>
      <c r="M5">
        <v>20231103</v>
      </c>
    </row>
    <row r="6" spans="1:13">
      <c r="A6" t="s">
        <v>6746</v>
      </c>
      <c r="B6" t="s">
        <v>6043</v>
      </c>
      <c r="C6" t="s">
        <v>119</v>
      </c>
      <c r="D6" s="1379" t="s">
        <v>9357</v>
      </c>
      <c r="E6" t="s">
        <v>9358</v>
      </c>
      <c r="F6" t="s">
        <v>6020</v>
      </c>
      <c r="G6" t="s">
        <v>9352</v>
      </c>
      <c r="H6">
        <v>1</v>
      </c>
      <c r="I6">
        <v>20210323</v>
      </c>
      <c r="K6">
        <v>2</v>
      </c>
      <c r="L6">
        <v>20210323</v>
      </c>
      <c r="M6">
        <v>20231103</v>
      </c>
    </row>
    <row r="7" spans="1:13">
      <c r="A7" t="s">
        <v>6746</v>
      </c>
      <c r="B7" t="s">
        <v>6043</v>
      </c>
      <c r="C7" t="s">
        <v>119</v>
      </c>
      <c r="D7" s="1379" t="s">
        <v>9359</v>
      </c>
      <c r="E7" t="s">
        <v>5061</v>
      </c>
      <c r="F7" t="s">
        <v>6020</v>
      </c>
      <c r="G7" t="s">
        <v>9352</v>
      </c>
      <c r="H7">
        <v>1</v>
      </c>
      <c r="I7">
        <v>20210323</v>
      </c>
      <c r="K7">
        <v>2</v>
      </c>
      <c r="L7">
        <v>20210323</v>
      </c>
      <c r="M7">
        <v>20231103</v>
      </c>
    </row>
    <row r="8" spans="1:13">
      <c r="A8" t="s">
        <v>6746</v>
      </c>
      <c r="B8" t="s">
        <v>6043</v>
      </c>
      <c r="C8" t="s">
        <v>119</v>
      </c>
      <c r="D8" s="1379" t="s">
        <v>9360</v>
      </c>
      <c r="E8" t="s">
        <v>5061</v>
      </c>
      <c r="F8" t="s">
        <v>9361</v>
      </c>
      <c r="G8" t="s">
        <v>9352</v>
      </c>
      <c r="H8">
        <v>1</v>
      </c>
      <c r="I8">
        <v>20210323</v>
      </c>
      <c r="K8">
        <v>2</v>
      </c>
      <c r="L8">
        <v>20210323</v>
      </c>
      <c r="M8">
        <v>20231103</v>
      </c>
    </row>
    <row r="9" spans="1:13">
      <c r="A9" t="s">
        <v>6746</v>
      </c>
      <c r="B9" t="s">
        <v>6043</v>
      </c>
      <c r="C9" t="s">
        <v>119</v>
      </c>
      <c r="D9" s="1379" t="s">
        <v>1157</v>
      </c>
      <c r="E9" t="s">
        <v>98</v>
      </c>
      <c r="F9" t="s">
        <v>6020</v>
      </c>
      <c r="G9" t="s">
        <v>9352</v>
      </c>
      <c r="H9">
        <v>1</v>
      </c>
      <c r="I9">
        <v>20210323</v>
      </c>
      <c r="K9">
        <v>2</v>
      </c>
      <c r="L9">
        <v>20210323</v>
      </c>
      <c r="M9">
        <v>20231103</v>
      </c>
    </row>
    <row r="10" spans="1:13">
      <c r="A10" t="s">
        <v>6746</v>
      </c>
      <c r="B10" t="s">
        <v>6043</v>
      </c>
      <c r="C10" t="s">
        <v>119</v>
      </c>
      <c r="D10" s="1379" t="s">
        <v>9362</v>
      </c>
      <c r="E10" t="s">
        <v>99</v>
      </c>
      <c r="F10" t="s">
        <v>9337</v>
      </c>
      <c r="G10" t="s">
        <v>9352</v>
      </c>
      <c r="H10">
        <v>1</v>
      </c>
      <c r="I10">
        <v>20210323</v>
      </c>
      <c r="K10">
        <v>2</v>
      </c>
      <c r="L10">
        <v>20210323</v>
      </c>
      <c r="M10">
        <v>20231103</v>
      </c>
    </row>
    <row r="11" spans="1:13">
      <c r="A11" t="s">
        <v>6746</v>
      </c>
      <c r="B11" t="s">
        <v>6043</v>
      </c>
      <c r="C11" t="s">
        <v>119</v>
      </c>
      <c r="D11" s="1379" t="s">
        <v>9363</v>
      </c>
      <c r="E11" t="s">
        <v>101</v>
      </c>
      <c r="F11" t="s">
        <v>9337</v>
      </c>
      <c r="G11" t="s">
        <v>9352</v>
      </c>
      <c r="H11">
        <v>1</v>
      </c>
      <c r="I11">
        <v>20210323</v>
      </c>
      <c r="K11">
        <v>2</v>
      </c>
      <c r="L11">
        <v>20210323</v>
      </c>
      <c r="M11">
        <v>20231103</v>
      </c>
    </row>
    <row r="12" spans="1:13">
      <c r="A12" t="s">
        <v>6746</v>
      </c>
      <c r="B12" t="s">
        <v>6043</v>
      </c>
      <c r="C12" t="s">
        <v>119</v>
      </c>
      <c r="D12" s="1379" t="s">
        <v>1415</v>
      </c>
      <c r="E12" t="s">
        <v>9364</v>
      </c>
      <c r="F12" t="s">
        <v>9355</v>
      </c>
      <c r="G12" t="s">
        <v>9336</v>
      </c>
      <c r="H12">
        <v>1</v>
      </c>
      <c r="I12">
        <v>20210323</v>
      </c>
      <c r="K12">
        <v>2</v>
      </c>
      <c r="L12">
        <v>20210323</v>
      </c>
      <c r="M12">
        <v>20231103</v>
      </c>
    </row>
    <row r="13" spans="1:13">
      <c r="A13" t="s">
        <v>6746</v>
      </c>
      <c r="B13" t="s">
        <v>6043</v>
      </c>
      <c r="C13" t="s">
        <v>119</v>
      </c>
      <c r="D13" s="1379" t="s">
        <v>1417</v>
      </c>
      <c r="E13" t="s">
        <v>6054</v>
      </c>
      <c r="F13" t="s">
        <v>9355</v>
      </c>
      <c r="G13" t="s">
        <v>9336</v>
      </c>
      <c r="H13">
        <v>1</v>
      </c>
      <c r="I13">
        <v>20210323</v>
      </c>
      <c r="K13">
        <v>2</v>
      </c>
      <c r="L13">
        <v>20210323</v>
      </c>
      <c r="M13">
        <v>20231103</v>
      </c>
    </row>
    <row r="14" spans="1:13">
      <c r="A14" t="s">
        <v>6746</v>
      </c>
      <c r="B14" t="s">
        <v>6043</v>
      </c>
      <c r="C14" t="s">
        <v>119</v>
      </c>
      <c r="D14" s="1379" t="s">
        <v>1454</v>
      </c>
      <c r="E14" t="s">
        <v>4993</v>
      </c>
      <c r="F14" t="s">
        <v>9355</v>
      </c>
      <c r="G14" t="s">
        <v>9336</v>
      </c>
      <c r="H14">
        <v>1</v>
      </c>
      <c r="I14">
        <v>20210323</v>
      </c>
      <c r="K14">
        <v>2</v>
      </c>
      <c r="L14">
        <v>20210323</v>
      </c>
      <c r="M14">
        <v>20231103</v>
      </c>
    </row>
    <row r="15" spans="1:13">
      <c r="A15" t="s">
        <v>6746</v>
      </c>
      <c r="B15" t="s">
        <v>6043</v>
      </c>
      <c r="C15" t="s">
        <v>119</v>
      </c>
      <c r="D15" s="1379" t="s">
        <v>9365</v>
      </c>
      <c r="E15" t="s">
        <v>107</v>
      </c>
      <c r="F15" t="s">
        <v>9366</v>
      </c>
      <c r="G15" t="s">
        <v>9352</v>
      </c>
      <c r="H15">
        <v>1</v>
      </c>
      <c r="I15">
        <v>20210323</v>
      </c>
      <c r="K15">
        <v>2</v>
      </c>
      <c r="L15">
        <v>20210323</v>
      </c>
      <c r="M15">
        <v>20231103</v>
      </c>
    </row>
    <row r="16" spans="1:13">
      <c r="A16" t="s">
        <v>6746</v>
      </c>
      <c r="B16" t="s">
        <v>6043</v>
      </c>
      <c r="C16" t="s">
        <v>119</v>
      </c>
      <c r="D16" s="1379" t="s">
        <v>9367</v>
      </c>
      <c r="E16" t="s">
        <v>8078</v>
      </c>
      <c r="F16" t="s">
        <v>9333</v>
      </c>
      <c r="G16" t="s">
        <v>9352</v>
      </c>
      <c r="H16">
        <v>1</v>
      </c>
      <c r="I16">
        <v>20210323</v>
      </c>
      <c r="K16">
        <v>2</v>
      </c>
      <c r="L16">
        <v>20210323</v>
      </c>
      <c r="M16">
        <v>20231103</v>
      </c>
    </row>
    <row r="17" spans="1:13">
      <c r="A17" t="s">
        <v>6746</v>
      </c>
      <c r="B17" t="s">
        <v>6043</v>
      </c>
      <c r="C17" t="s">
        <v>119</v>
      </c>
      <c r="D17" s="1379" t="s">
        <v>1763</v>
      </c>
      <c r="E17" t="s">
        <v>4860</v>
      </c>
      <c r="F17" t="s">
        <v>9355</v>
      </c>
      <c r="G17" t="s">
        <v>9336</v>
      </c>
      <c r="H17">
        <v>1</v>
      </c>
      <c r="I17">
        <v>20210323</v>
      </c>
      <c r="K17">
        <v>2</v>
      </c>
      <c r="L17">
        <v>20210323</v>
      </c>
      <c r="M17">
        <v>20231103</v>
      </c>
    </row>
    <row r="18" spans="1:13">
      <c r="A18" t="s">
        <v>6746</v>
      </c>
      <c r="B18" t="s">
        <v>6043</v>
      </c>
      <c r="C18" t="s">
        <v>119</v>
      </c>
      <c r="D18" s="1379" t="s">
        <v>9368</v>
      </c>
      <c r="E18" t="s">
        <v>6117</v>
      </c>
      <c r="F18" t="s">
        <v>9337</v>
      </c>
      <c r="G18" t="s">
        <v>9352</v>
      </c>
      <c r="H18">
        <v>1</v>
      </c>
      <c r="I18">
        <v>20210323</v>
      </c>
      <c r="K18">
        <v>2</v>
      </c>
      <c r="L18">
        <v>20210323</v>
      </c>
      <c r="M18">
        <v>20231103</v>
      </c>
    </row>
    <row r="19" spans="1:13">
      <c r="A19" t="s">
        <v>6746</v>
      </c>
      <c r="B19" t="s">
        <v>6043</v>
      </c>
      <c r="C19" t="s">
        <v>119</v>
      </c>
      <c r="D19" s="1379" t="s">
        <v>1963</v>
      </c>
      <c r="E19" t="s">
        <v>6053</v>
      </c>
      <c r="F19" t="s">
        <v>9355</v>
      </c>
      <c r="G19" t="s">
        <v>9336</v>
      </c>
      <c r="H19">
        <v>1</v>
      </c>
      <c r="I19">
        <v>20210323</v>
      </c>
      <c r="K19">
        <v>2</v>
      </c>
      <c r="L19">
        <v>20210323</v>
      </c>
      <c r="M19">
        <v>20231103</v>
      </c>
    </row>
    <row r="20" spans="1:13">
      <c r="A20" t="s">
        <v>6746</v>
      </c>
      <c r="B20" t="s">
        <v>6043</v>
      </c>
      <c r="C20" t="s">
        <v>119</v>
      </c>
      <c r="D20" s="1379" t="s">
        <v>15</v>
      </c>
      <c r="E20" t="s">
        <v>102</v>
      </c>
      <c r="F20" t="s">
        <v>9355</v>
      </c>
      <c r="G20" t="s">
        <v>9336</v>
      </c>
      <c r="H20">
        <v>2</v>
      </c>
      <c r="I20">
        <v>20210323</v>
      </c>
      <c r="K20">
        <v>2</v>
      </c>
      <c r="L20">
        <v>20210323</v>
      </c>
      <c r="M20">
        <v>20240326</v>
      </c>
    </row>
    <row r="21" spans="1:13">
      <c r="A21" t="s">
        <v>6746</v>
      </c>
      <c r="B21" t="s">
        <v>6043</v>
      </c>
      <c r="C21" t="s">
        <v>119</v>
      </c>
      <c r="D21" t="s">
        <v>2019</v>
      </c>
      <c r="E21" t="s">
        <v>102</v>
      </c>
      <c r="F21" t="s">
        <v>9369</v>
      </c>
      <c r="G21" t="s">
        <v>9352</v>
      </c>
      <c r="H21">
        <v>2</v>
      </c>
      <c r="I21">
        <v>20210323</v>
      </c>
      <c r="K21">
        <v>2</v>
      </c>
      <c r="L21">
        <v>20210323</v>
      </c>
      <c r="M21">
        <v>20231103</v>
      </c>
    </row>
    <row r="22" spans="1:13">
      <c r="A22" t="s">
        <v>6746</v>
      </c>
      <c r="B22" t="s">
        <v>6043</v>
      </c>
      <c r="C22" t="s">
        <v>119</v>
      </c>
      <c r="D22" s="1379" t="s">
        <v>16</v>
      </c>
      <c r="E22" t="s">
        <v>102</v>
      </c>
      <c r="F22" t="s">
        <v>9355</v>
      </c>
      <c r="G22" t="s">
        <v>9336</v>
      </c>
      <c r="H22">
        <v>2</v>
      </c>
      <c r="I22">
        <v>20210323</v>
      </c>
      <c r="K22">
        <v>2</v>
      </c>
      <c r="L22">
        <v>20210323</v>
      </c>
      <c r="M22">
        <v>20240326</v>
      </c>
    </row>
    <row r="23" spans="1:13">
      <c r="A23" t="s">
        <v>6746</v>
      </c>
      <c r="B23" t="s">
        <v>6043</v>
      </c>
      <c r="C23" t="s">
        <v>119</v>
      </c>
      <c r="D23" t="s">
        <v>2021</v>
      </c>
      <c r="E23" t="s">
        <v>102</v>
      </c>
      <c r="F23" t="s">
        <v>9369</v>
      </c>
      <c r="G23" t="s">
        <v>9352</v>
      </c>
      <c r="H23">
        <v>2</v>
      </c>
      <c r="I23">
        <v>20210323</v>
      </c>
      <c r="K23">
        <v>2</v>
      </c>
      <c r="L23">
        <v>20210323</v>
      </c>
      <c r="M23">
        <v>20231103</v>
      </c>
    </row>
    <row r="24" spans="1:13">
      <c r="A24" t="s">
        <v>6746</v>
      </c>
      <c r="B24" t="s">
        <v>6043</v>
      </c>
      <c r="C24" t="s">
        <v>119</v>
      </c>
      <c r="D24" s="1379" t="s">
        <v>17</v>
      </c>
      <c r="E24" t="s">
        <v>102</v>
      </c>
      <c r="F24" t="s">
        <v>9355</v>
      </c>
      <c r="G24" t="s">
        <v>9336</v>
      </c>
      <c r="H24">
        <v>2</v>
      </c>
      <c r="I24">
        <v>20210323</v>
      </c>
      <c r="K24">
        <v>2</v>
      </c>
      <c r="L24">
        <v>20210323</v>
      </c>
      <c r="M24">
        <v>20240326</v>
      </c>
    </row>
    <row r="25" spans="1:13">
      <c r="A25" t="s">
        <v>6746</v>
      </c>
      <c r="B25" t="s">
        <v>6043</v>
      </c>
      <c r="C25" t="s">
        <v>119</v>
      </c>
      <c r="D25" t="s">
        <v>2023</v>
      </c>
      <c r="E25" t="s">
        <v>102</v>
      </c>
      <c r="F25" t="s">
        <v>9369</v>
      </c>
      <c r="G25" t="s">
        <v>9352</v>
      </c>
      <c r="H25">
        <v>2</v>
      </c>
      <c r="I25">
        <v>20210323</v>
      </c>
      <c r="K25">
        <v>2</v>
      </c>
      <c r="L25">
        <v>20210323</v>
      </c>
      <c r="M25">
        <v>20231103</v>
      </c>
    </row>
    <row r="26" spans="1:13">
      <c r="A26" t="s">
        <v>6746</v>
      </c>
      <c r="B26" t="s">
        <v>6043</v>
      </c>
      <c r="C26" t="s">
        <v>119</v>
      </c>
      <c r="D26" s="1379" t="s">
        <v>2031</v>
      </c>
      <c r="E26" t="s">
        <v>103</v>
      </c>
      <c r="F26" t="s">
        <v>9355</v>
      </c>
      <c r="G26" t="s">
        <v>9336</v>
      </c>
      <c r="H26">
        <v>2</v>
      </c>
      <c r="I26">
        <v>20210323</v>
      </c>
      <c r="K26">
        <v>2</v>
      </c>
      <c r="L26">
        <v>20210323</v>
      </c>
      <c r="M26">
        <v>20231103</v>
      </c>
    </row>
    <row r="27" spans="1:13">
      <c r="A27" t="s">
        <v>6746</v>
      </c>
      <c r="B27" t="s">
        <v>6043</v>
      </c>
      <c r="C27" t="s">
        <v>119</v>
      </c>
      <c r="D27" t="s">
        <v>2033</v>
      </c>
      <c r="E27" t="s">
        <v>103</v>
      </c>
      <c r="F27" t="s">
        <v>9369</v>
      </c>
      <c r="G27" t="s">
        <v>9352</v>
      </c>
      <c r="H27">
        <v>2</v>
      </c>
      <c r="I27">
        <v>20210323</v>
      </c>
      <c r="K27">
        <v>2</v>
      </c>
      <c r="L27">
        <v>20210323</v>
      </c>
      <c r="M27">
        <v>20231103</v>
      </c>
    </row>
    <row r="28" spans="1:13">
      <c r="A28" t="s">
        <v>6746</v>
      </c>
      <c r="B28" t="s">
        <v>6043</v>
      </c>
      <c r="C28" t="s">
        <v>119</v>
      </c>
      <c r="D28" s="1379" t="s">
        <v>2246</v>
      </c>
      <c r="E28" t="s">
        <v>5235</v>
      </c>
      <c r="F28" t="s">
        <v>9355</v>
      </c>
      <c r="G28" t="s">
        <v>9336</v>
      </c>
      <c r="H28">
        <v>1</v>
      </c>
      <c r="I28">
        <v>20210323</v>
      </c>
      <c r="K28">
        <v>2</v>
      </c>
      <c r="L28">
        <v>20210323</v>
      </c>
      <c r="M28">
        <v>20231103</v>
      </c>
    </row>
    <row r="29" spans="1:13">
      <c r="A29" t="s">
        <v>6746</v>
      </c>
      <c r="B29" t="s">
        <v>6043</v>
      </c>
      <c r="C29" t="s">
        <v>119</v>
      </c>
      <c r="D29" s="1379" t="s">
        <v>2415</v>
      </c>
      <c r="E29" t="s">
        <v>6027</v>
      </c>
      <c r="F29" t="s">
        <v>9355</v>
      </c>
      <c r="G29" t="s">
        <v>9336</v>
      </c>
      <c r="H29">
        <v>4</v>
      </c>
      <c r="I29">
        <v>20210323</v>
      </c>
      <c r="K29">
        <v>2</v>
      </c>
      <c r="L29">
        <v>20210323</v>
      </c>
      <c r="M29">
        <v>20231103</v>
      </c>
    </row>
    <row r="30" spans="1:13">
      <c r="A30" t="s">
        <v>6746</v>
      </c>
      <c r="B30" t="s">
        <v>6043</v>
      </c>
      <c r="C30" t="s">
        <v>119</v>
      </c>
      <c r="D30" s="1379" t="s">
        <v>2451</v>
      </c>
      <c r="E30" t="s">
        <v>118</v>
      </c>
      <c r="F30" t="s">
        <v>9355</v>
      </c>
      <c r="G30" t="s">
        <v>9336</v>
      </c>
      <c r="H30">
        <v>2</v>
      </c>
      <c r="I30">
        <v>20210323</v>
      </c>
      <c r="K30">
        <v>2</v>
      </c>
      <c r="L30">
        <v>20210323</v>
      </c>
      <c r="M30">
        <v>20231103</v>
      </c>
    </row>
    <row r="31" spans="1:13">
      <c r="A31" t="s">
        <v>6746</v>
      </c>
      <c r="B31" t="s">
        <v>6043</v>
      </c>
      <c r="C31" t="s">
        <v>119</v>
      </c>
      <c r="D31" s="1379" t="s">
        <v>2453</v>
      </c>
      <c r="E31" t="s">
        <v>118</v>
      </c>
      <c r="F31" t="s">
        <v>9355</v>
      </c>
      <c r="G31" t="s">
        <v>9336</v>
      </c>
      <c r="H31">
        <v>2</v>
      </c>
      <c r="I31">
        <v>20210323</v>
      </c>
      <c r="K31">
        <v>2</v>
      </c>
      <c r="L31">
        <v>20210323</v>
      </c>
      <c r="M31">
        <v>20231103</v>
      </c>
    </row>
    <row r="32" spans="1:13">
      <c r="A32" t="s">
        <v>6746</v>
      </c>
      <c r="B32" t="s">
        <v>6043</v>
      </c>
      <c r="C32" t="s">
        <v>119</v>
      </c>
      <c r="D32" s="1379" t="s">
        <v>2523</v>
      </c>
      <c r="E32" t="s">
        <v>5432</v>
      </c>
      <c r="F32" t="s">
        <v>9355</v>
      </c>
      <c r="G32" t="s">
        <v>9336</v>
      </c>
      <c r="H32">
        <v>1</v>
      </c>
      <c r="I32">
        <v>20210323</v>
      </c>
      <c r="K32">
        <v>2</v>
      </c>
      <c r="L32">
        <v>20210323</v>
      </c>
      <c r="M32">
        <v>20231103</v>
      </c>
    </row>
    <row r="33" spans="1:13">
      <c r="A33" t="s">
        <v>6746</v>
      </c>
      <c r="B33" t="s">
        <v>6043</v>
      </c>
      <c r="C33" t="s">
        <v>119</v>
      </c>
      <c r="D33" s="1379" t="s">
        <v>3281</v>
      </c>
      <c r="E33" t="s">
        <v>6116</v>
      </c>
      <c r="F33" t="s">
        <v>9355</v>
      </c>
      <c r="G33" t="s">
        <v>9336</v>
      </c>
      <c r="H33">
        <v>1</v>
      </c>
      <c r="I33">
        <v>20210323</v>
      </c>
      <c r="K33">
        <v>2</v>
      </c>
      <c r="L33">
        <v>20210323</v>
      </c>
      <c r="M33">
        <v>20231103</v>
      </c>
    </row>
    <row r="34" spans="1:13">
      <c r="A34" t="s">
        <v>6746</v>
      </c>
      <c r="B34" t="s">
        <v>6043</v>
      </c>
      <c r="C34" t="s">
        <v>119</v>
      </c>
      <c r="D34" s="1379" t="s">
        <v>9370</v>
      </c>
      <c r="E34" t="s">
        <v>6240</v>
      </c>
      <c r="F34" t="s">
        <v>6020</v>
      </c>
      <c r="G34" t="s">
        <v>9352</v>
      </c>
      <c r="H34">
        <v>1</v>
      </c>
      <c r="I34">
        <v>20210323</v>
      </c>
      <c r="K34">
        <v>2</v>
      </c>
      <c r="L34">
        <v>20210323</v>
      </c>
      <c r="M34">
        <v>20231103</v>
      </c>
    </row>
    <row r="35" spans="1:13">
      <c r="A35" t="s">
        <v>6746</v>
      </c>
      <c r="B35" t="s">
        <v>6043</v>
      </c>
      <c r="C35" t="s">
        <v>119</v>
      </c>
      <c r="D35" s="1379" t="s">
        <v>3371</v>
      </c>
      <c r="E35" t="s">
        <v>4995</v>
      </c>
      <c r="F35" t="s">
        <v>9355</v>
      </c>
      <c r="G35" t="s">
        <v>9336</v>
      </c>
      <c r="H35">
        <v>1</v>
      </c>
      <c r="I35">
        <v>20210323</v>
      </c>
      <c r="K35">
        <v>2</v>
      </c>
      <c r="L35">
        <v>20210323</v>
      </c>
      <c r="M35">
        <v>20231103</v>
      </c>
    </row>
    <row r="36" spans="1:13">
      <c r="A36" t="s">
        <v>6746</v>
      </c>
      <c r="B36" t="s">
        <v>6043</v>
      </c>
      <c r="C36" t="s">
        <v>119</v>
      </c>
      <c r="D36" s="1379" t="s">
        <v>19</v>
      </c>
      <c r="E36" t="s">
        <v>104</v>
      </c>
      <c r="F36" t="s">
        <v>9355</v>
      </c>
      <c r="G36" t="s">
        <v>9336</v>
      </c>
      <c r="H36">
        <v>8</v>
      </c>
      <c r="I36">
        <v>20210323</v>
      </c>
      <c r="K36">
        <v>2</v>
      </c>
      <c r="L36">
        <v>20210323</v>
      </c>
      <c r="M36">
        <v>20240326</v>
      </c>
    </row>
    <row r="37" spans="1:13">
      <c r="A37" t="s">
        <v>6746</v>
      </c>
      <c r="B37" t="s">
        <v>6043</v>
      </c>
      <c r="C37" t="s">
        <v>119</v>
      </c>
      <c r="D37" s="1379" t="s">
        <v>20</v>
      </c>
      <c r="E37" t="s">
        <v>104</v>
      </c>
      <c r="F37" t="s">
        <v>9355</v>
      </c>
      <c r="G37" t="s">
        <v>9336</v>
      </c>
      <c r="H37">
        <v>8</v>
      </c>
      <c r="I37">
        <v>20210323</v>
      </c>
      <c r="K37">
        <v>2</v>
      </c>
      <c r="L37">
        <v>20210323</v>
      </c>
      <c r="M37">
        <v>20240326</v>
      </c>
    </row>
    <row r="38" spans="1:13">
      <c r="A38" t="s">
        <v>6746</v>
      </c>
      <c r="B38" t="s">
        <v>6043</v>
      </c>
      <c r="C38" t="s">
        <v>119</v>
      </c>
      <c r="D38" s="1379" t="s">
        <v>21</v>
      </c>
      <c r="E38" t="s">
        <v>104</v>
      </c>
      <c r="F38" t="s">
        <v>9355</v>
      </c>
      <c r="G38" t="s">
        <v>9336</v>
      </c>
      <c r="H38">
        <v>8</v>
      </c>
      <c r="I38">
        <v>20210323</v>
      </c>
      <c r="K38">
        <v>2</v>
      </c>
      <c r="L38">
        <v>20210323</v>
      </c>
      <c r="M38">
        <v>20240326</v>
      </c>
    </row>
    <row r="39" spans="1:13">
      <c r="A39" t="s">
        <v>6746</v>
      </c>
      <c r="B39" t="s">
        <v>6043</v>
      </c>
      <c r="C39" t="s">
        <v>119</v>
      </c>
      <c r="D39" s="1379" t="s">
        <v>22</v>
      </c>
      <c r="E39" t="s">
        <v>104</v>
      </c>
      <c r="F39" t="s">
        <v>9355</v>
      </c>
      <c r="G39" t="s">
        <v>9336</v>
      </c>
      <c r="H39">
        <v>8</v>
      </c>
      <c r="I39">
        <v>20210323</v>
      </c>
      <c r="K39">
        <v>2</v>
      </c>
      <c r="L39">
        <v>20210323</v>
      </c>
      <c r="M39">
        <v>20240326</v>
      </c>
    </row>
    <row r="40" spans="1:13">
      <c r="A40" t="s">
        <v>6746</v>
      </c>
      <c r="B40" t="s">
        <v>6043</v>
      </c>
      <c r="C40" t="s">
        <v>119</v>
      </c>
      <c r="D40" s="1379" t="s">
        <v>23</v>
      </c>
      <c r="E40" t="s">
        <v>104</v>
      </c>
      <c r="F40" t="s">
        <v>9355</v>
      </c>
      <c r="G40" t="s">
        <v>9336</v>
      </c>
      <c r="H40">
        <v>8</v>
      </c>
      <c r="I40">
        <v>20210323</v>
      </c>
      <c r="K40">
        <v>2</v>
      </c>
      <c r="L40">
        <v>20210323</v>
      </c>
      <c r="M40">
        <v>20240326</v>
      </c>
    </row>
    <row r="41" spans="1:13">
      <c r="A41" t="s">
        <v>6746</v>
      </c>
      <c r="B41" t="s">
        <v>6043</v>
      </c>
      <c r="C41" t="s">
        <v>119</v>
      </c>
      <c r="D41" s="1379" t="s">
        <v>24</v>
      </c>
      <c r="E41" t="s">
        <v>104</v>
      </c>
      <c r="F41" t="s">
        <v>9355</v>
      </c>
      <c r="G41" t="s">
        <v>9336</v>
      </c>
      <c r="H41">
        <v>8</v>
      </c>
      <c r="I41">
        <v>20210323</v>
      </c>
      <c r="K41">
        <v>2</v>
      </c>
      <c r="L41">
        <v>20210323</v>
      </c>
      <c r="M41">
        <v>20240326</v>
      </c>
    </row>
    <row r="42" spans="1:13">
      <c r="A42" t="s">
        <v>6746</v>
      </c>
      <c r="B42" t="s">
        <v>6043</v>
      </c>
      <c r="C42" t="s">
        <v>119</v>
      </c>
      <c r="D42" s="1379" t="s">
        <v>25</v>
      </c>
      <c r="E42" t="s">
        <v>104</v>
      </c>
      <c r="F42" t="s">
        <v>9355</v>
      </c>
      <c r="G42" t="s">
        <v>9336</v>
      </c>
      <c r="H42">
        <v>8</v>
      </c>
      <c r="I42">
        <v>20210323</v>
      </c>
      <c r="K42">
        <v>2</v>
      </c>
      <c r="L42">
        <v>20210323</v>
      </c>
      <c r="M42">
        <v>20240326</v>
      </c>
    </row>
    <row r="43" spans="1:13">
      <c r="A43" t="s">
        <v>6746</v>
      </c>
      <c r="B43" t="s">
        <v>6043</v>
      </c>
      <c r="C43" t="s">
        <v>119</v>
      </c>
      <c r="D43" s="1379" t="s">
        <v>26</v>
      </c>
      <c r="E43" t="s">
        <v>104</v>
      </c>
      <c r="F43" t="s">
        <v>9355</v>
      </c>
      <c r="G43" t="s">
        <v>9336</v>
      </c>
      <c r="H43">
        <v>8</v>
      </c>
      <c r="I43">
        <v>20210323</v>
      </c>
      <c r="K43">
        <v>2</v>
      </c>
      <c r="L43">
        <v>20210323</v>
      </c>
      <c r="M43">
        <v>20240326</v>
      </c>
    </row>
    <row r="44" spans="1:13">
      <c r="A44" t="s">
        <v>6746</v>
      </c>
      <c r="B44" t="s">
        <v>6043</v>
      </c>
      <c r="C44" t="s">
        <v>119</v>
      </c>
      <c r="D44" s="1379" t="s">
        <v>27</v>
      </c>
      <c r="E44" t="s">
        <v>104</v>
      </c>
      <c r="F44" t="s">
        <v>9355</v>
      </c>
      <c r="G44" t="s">
        <v>9336</v>
      </c>
      <c r="H44">
        <v>8</v>
      </c>
      <c r="I44">
        <v>20210323</v>
      </c>
      <c r="K44">
        <v>2</v>
      </c>
      <c r="L44">
        <v>20210323</v>
      </c>
      <c r="M44">
        <v>20240326</v>
      </c>
    </row>
    <row r="45" spans="1:13">
      <c r="A45" t="s">
        <v>6746</v>
      </c>
      <c r="B45" t="s">
        <v>6043</v>
      </c>
      <c r="C45" t="s">
        <v>119</v>
      </c>
      <c r="D45" s="1379" t="s">
        <v>28</v>
      </c>
      <c r="E45" t="s">
        <v>104</v>
      </c>
      <c r="F45" t="s">
        <v>9355</v>
      </c>
      <c r="G45" t="s">
        <v>9336</v>
      </c>
      <c r="H45">
        <v>8</v>
      </c>
      <c r="I45">
        <v>20210323</v>
      </c>
      <c r="K45">
        <v>2</v>
      </c>
      <c r="L45">
        <v>20210323</v>
      </c>
      <c r="M45">
        <v>20240326</v>
      </c>
    </row>
    <row r="46" spans="1:13" s="1380" customFormat="1">
      <c r="A46" s="1380" t="s">
        <v>6746</v>
      </c>
      <c r="B46" s="1380" t="s">
        <v>6043</v>
      </c>
      <c r="C46" s="1380" t="s">
        <v>119</v>
      </c>
      <c r="D46" s="1380" t="s">
        <v>6217</v>
      </c>
      <c r="E46" s="1380" t="s">
        <v>100</v>
      </c>
      <c r="F46" s="1380" t="s">
        <v>9355</v>
      </c>
      <c r="G46" s="1380" t="s">
        <v>9336</v>
      </c>
      <c r="H46" s="1380">
        <v>1</v>
      </c>
      <c r="I46" s="1380">
        <v>20210323</v>
      </c>
      <c r="J46" s="1380">
        <v>20230111</v>
      </c>
      <c r="K46" s="1380">
        <v>2</v>
      </c>
      <c r="L46" s="1380">
        <v>20230111</v>
      </c>
      <c r="M46" s="1380">
        <v>20231103</v>
      </c>
    </row>
    <row r="47" spans="1:13">
      <c r="A47" t="s">
        <v>6746</v>
      </c>
      <c r="B47" t="s">
        <v>6043</v>
      </c>
      <c r="C47" t="s">
        <v>119</v>
      </c>
      <c r="D47" s="1379" t="s">
        <v>3804</v>
      </c>
      <c r="E47" t="s">
        <v>100</v>
      </c>
      <c r="F47" t="s">
        <v>9355</v>
      </c>
      <c r="G47" t="s">
        <v>9336</v>
      </c>
      <c r="H47">
        <v>1</v>
      </c>
      <c r="I47">
        <v>20230109</v>
      </c>
      <c r="K47">
        <v>2</v>
      </c>
      <c r="L47">
        <v>20230109</v>
      </c>
      <c r="M47">
        <v>20231103</v>
      </c>
    </row>
    <row r="48" spans="1:13">
      <c r="A48" t="s">
        <v>6746</v>
      </c>
      <c r="B48" t="s">
        <v>6043</v>
      </c>
      <c r="C48" t="s">
        <v>119</v>
      </c>
      <c r="D48" s="1379" t="s">
        <v>29</v>
      </c>
      <c r="E48" t="s">
        <v>104</v>
      </c>
      <c r="F48" t="s">
        <v>9355</v>
      </c>
      <c r="G48" t="s">
        <v>9336</v>
      </c>
      <c r="H48">
        <v>8</v>
      </c>
      <c r="I48">
        <v>20210323</v>
      </c>
      <c r="K48">
        <v>2</v>
      </c>
      <c r="L48">
        <v>20210323</v>
      </c>
      <c r="M48">
        <v>20240326</v>
      </c>
    </row>
    <row r="49" spans="1:13">
      <c r="A49" t="s">
        <v>6746</v>
      </c>
      <c r="B49" t="s">
        <v>6043</v>
      </c>
      <c r="C49" t="s">
        <v>119</v>
      </c>
      <c r="D49" s="1379" t="s">
        <v>30</v>
      </c>
      <c r="E49" t="s">
        <v>104</v>
      </c>
      <c r="F49" t="s">
        <v>9355</v>
      </c>
      <c r="G49" t="s">
        <v>9336</v>
      </c>
      <c r="H49">
        <v>8</v>
      </c>
      <c r="I49">
        <v>20210323</v>
      </c>
      <c r="K49">
        <v>2</v>
      </c>
      <c r="L49">
        <v>20210323</v>
      </c>
      <c r="M49">
        <v>20240326</v>
      </c>
    </row>
    <row r="50" spans="1:13">
      <c r="A50" t="s">
        <v>6746</v>
      </c>
      <c r="B50" t="s">
        <v>6043</v>
      </c>
      <c r="C50" t="s">
        <v>119</v>
      </c>
      <c r="D50" s="1379" t="s">
        <v>31</v>
      </c>
      <c r="E50" t="s">
        <v>104</v>
      </c>
      <c r="F50" t="s">
        <v>9355</v>
      </c>
      <c r="G50" t="s">
        <v>9336</v>
      </c>
      <c r="H50">
        <v>8</v>
      </c>
      <c r="I50">
        <v>20210323</v>
      </c>
      <c r="K50">
        <v>2</v>
      </c>
      <c r="L50">
        <v>20210323</v>
      </c>
      <c r="M50">
        <v>20240326</v>
      </c>
    </row>
    <row r="51" spans="1:13">
      <c r="A51" t="s">
        <v>6746</v>
      </c>
      <c r="B51" t="s">
        <v>6043</v>
      </c>
      <c r="C51" t="s">
        <v>119</v>
      </c>
      <c r="D51" s="1379" t="s">
        <v>32</v>
      </c>
      <c r="E51" t="s">
        <v>104</v>
      </c>
      <c r="F51" t="s">
        <v>9355</v>
      </c>
      <c r="G51" t="s">
        <v>9336</v>
      </c>
      <c r="H51">
        <v>8</v>
      </c>
      <c r="I51">
        <v>20210323</v>
      </c>
      <c r="K51">
        <v>2</v>
      </c>
      <c r="L51">
        <v>20210323</v>
      </c>
      <c r="M51">
        <v>20240326</v>
      </c>
    </row>
    <row r="52" spans="1:13">
      <c r="A52" t="s">
        <v>6746</v>
      </c>
      <c r="B52" t="s">
        <v>6043</v>
      </c>
      <c r="C52" t="s">
        <v>119</v>
      </c>
      <c r="D52" s="1379" t="s">
        <v>33</v>
      </c>
      <c r="E52" t="s">
        <v>104</v>
      </c>
      <c r="F52" t="s">
        <v>9355</v>
      </c>
      <c r="G52" t="s">
        <v>9336</v>
      </c>
      <c r="H52">
        <v>8</v>
      </c>
      <c r="I52">
        <v>20210323</v>
      </c>
      <c r="K52">
        <v>2</v>
      </c>
      <c r="L52">
        <v>20210323</v>
      </c>
      <c r="M52">
        <v>20240326</v>
      </c>
    </row>
    <row r="53" spans="1:13">
      <c r="A53" t="s">
        <v>6746</v>
      </c>
      <c r="B53" t="s">
        <v>6043</v>
      </c>
      <c r="C53" t="s">
        <v>119</v>
      </c>
      <c r="D53" s="1379" t="s">
        <v>34</v>
      </c>
      <c r="E53" t="s">
        <v>104</v>
      </c>
      <c r="F53" t="s">
        <v>9355</v>
      </c>
      <c r="G53" t="s">
        <v>9336</v>
      </c>
      <c r="H53">
        <v>8</v>
      </c>
      <c r="I53">
        <v>20210323</v>
      </c>
      <c r="K53">
        <v>2</v>
      </c>
      <c r="L53">
        <v>20210323</v>
      </c>
      <c r="M53">
        <v>20240326</v>
      </c>
    </row>
    <row r="54" spans="1:13">
      <c r="A54" t="s">
        <v>6746</v>
      </c>
      <c r="B54" t="s">
        <v>6043</v>
      </c>
      <c r="C54" t="s">
        <v>119</v>
      </c>
      <c r="D54" s="1379" t="s">
        <v>35</v>
      </c>
      <c r="E54" t="s">
        <v>104</v>
      </c>
      <c r="F54" t="s">
        <v>9355</v>
      </c>
      <c r="G54" t="s">
        <v>9336</v>
      </c>
      <c r="H54">
        <v>8</v>
      </c>
      <c r="I54">
        <v>20210323</v>
      </c>
      <c r="K54">
        <v>2</v>
      </c>
      <c r="L54">
        <v>20210323</v>
      </c>
      <c r="M54">
        <v>20240326</v>
      </c>
    </row>
    <row r="55" spans="1:13">
      <c r="A55" t="s">
        <v>6746</v>
      </c>
      <c r="B55" t="s">
        <v>6043</v>
      </c>
      <c r="C55" t="s">
        <v>119</v>
      </c>
      <c r="D55" t="s">
        <v>4089</v>
      </c>
      <c r="E55" t="s">
        <v>8565</v>
      </c>
      <c r="F55" t="s">
        <v>9355</v>
      </c>
      <c r="G55" t="s">
        <v>9336</v>
      </c>
      <c r="H55">
        <v>1E-3</v>
      </c>
      <c r="I55">
        <v>20230106</v>
      </c>
      <c r="K55">
        <v>2</v>
      </c>
      <c r="L55">
        <v>20231103</v>
      </c>
      <c r="M55">
        <v>20240326</v>
      </c>
    </row>
    <row r="56" spans="1:13">
      <c r="A56" t="s">
        <v>6746</v>
      </c>
      <c r="B56" t="s">
        <v>6043</v>
      </c>
      <c r="C56" t="s">
        <v>119</v>
      </c>
      <c r="D56" t="s">
        <v>4091</v>
      </c>
      <c r="E56" t="s">
        <v>8566</v>
      </c>
      <c r="F56" t="s">
        <v>9355</v>
      </c>
      <c r="G56" t="s">
        <v>9336</v>
      </c>
      <c r="H56">
        <v>1E-3</v>
      </c>
      <c r="I56">
        <v>20230106</v>
      </c>
      <c r="K56">
        <v>2</v>
      </c>
      <c r="L56">
        <v>20231103</v>
      </c>
      <c r="M56">
        <v>20240326</v>
      </c>
    </row>
    <row r="57" spans="1:13">
      <c r="A57" t="s">
        <v>6746</v>
      </c>
      <c r="B57" t="s">
        <v>6043</v>
      </c>
      <c r="C57" t="s">
        <v>119</v>
      </c>
      <c r="D57" t="s">
        <v>4093</v>
      </c>
      <c r="E57" t="s">
        <v>8567</v>
      </c>
      <c r="F57" t="s">
        <v>9355</v>
      </c>
      <c r="G57" t="s">
        <v>9336</v>
      </c>
      <c r="H57">
        <v>1E-3</v>
      </c>
      <c r="I57">
        <v>20230106</v>
      </c>
      <c r="K57">
        <v>2</v>
      </c>
      <c r="L57">
        <v>20231103</v>
      </c>
      <c r="M57">
        <v>20240326</v>
      </c>
    </row>
    <row r="58" spans="1:13">
      <c r="A58" t="s">
        <v>6746</v>
      </c>
      <c r="B58" t="s">
        <v>6043</v>
      </c>
      <c r="C58" t="s">
        <v>119</v>
      </c>
      <c r="D58" s="1379" t="s">
        <v>4260</v>
      </c>
      <c r="E58" t="s">
        <v>8597</v>
      </c>
      <c r="F58" t="s">
        <v>9355</v>
      </c>
      <c r="G58" t="s">
        <v>9336</v>
      </c>
      <c r="H58">
        <v>4.0000000000000002E-4</v>
      </c>
      <c r="I58">
        <v>20210323</v>
      </c>
      <c r="K58">
        <v>2</v>
      </c>
      <c r="L58">
        <v>20210323</v>
      </c>
      <c r="M58">
        <v>20240326</v>
      </c>
    </row>
    <row r="59" spans="1:13">
      <c r="A59" t="s">
        <v>6746</v>
      </c>
      <c r="B59" t="s">
        <v>6043</v>
      </c>
      <c r="C59" t="s">
        <v>119</v>
      </c>
      <c r="D59" s="1379" t="s">
        <v>4263</v>
      </c>
      <c r="E59" t="s">
        <v>8598</v>
      </c>
      <c r="F59" t="s">
        <v>9355</v>
      </c>
      <c r="G59" t="s">
        <v>9336</v>
      </c>
      <c r="H59">
        <v>1.1999999999999999E-3</v>
      </c>
      <c r="I59">
        <v>20210323</v>
      </c>
      <c r="K59">
        <v>2</v>
      </c>
      <c r="L59">
        <v>20210323</v>
      </c>
      <c r="M59">
        <v>20240326</v>
      </c>
    </row>
    <row r="60" spans="1:13">
      <c r="A60" t="s">
        <v>6746</v>
      </c>
      <c r="B60" t="s">
        <v>6043</v>
      </c>
      <c r="C60" t="s">
        <v>119</v>
      </c>
      <c r="D60" s="1379" t="s">
        <v>4265</v>
      </c>
      <c r="E60" t="s">
        <v>8599</v>
      </c>
      <c r="F60" t="s">
        <v>9355</v>
      </c>
      <c r="G60" t="s">
        <v>9336</v>
      </c>
      <c r="H60">
        <v>5.0000000000000001E-3</v>
      </c>
      <c r="I60">
        <v>20210323</v>
      </c>
      <c r="K60">
        <v>2</v>
      </c>
      <c r="L60">
        <v>20210323</v>
      </c>
      <c r="M60">
        <v>20240326</v>
      </c>
    </row>
    <row r="61" spans="1:13">
      <c r="A61" t="s">
        <v>6746</v>
      </c>
      <c r="B61" t="s">
        <v>6043</v>
      </c>
      <c r="C61" t="s">
        <v>119</v>
      </c>
      <c r="D61" s="1379" t="s">
        <v>4267</v>
      </c>
      <c r="E61" t="s">
        <v>8600</v>
      </c>
      <c r="F61" t="s">
        <v>9355</v>
      </c>
      <c r="G61" t="s">
        <v>9336</v>
      </c>
      <c r="H61">
        <v>4.0000000000000002E-4</v>
      </c>
      <c r="I61">
        <v>20210323</v>
      </c>
      <c r="K61">
        <v>2</v>
      </c>
      <c r="L61">
        <v>20210323</v>
      </c>
      <c r="M61">
        <v>20240326</v>
      </c>
    </row>
    <row r="62" spans="1:13">
      <c r="A62" t="s">
        <v>6746</v>
      </c>
      <c r="B62" t="s">
        <v>6043</v>
      </c>
      <c r="C62" t="s">
        <v>119</v>
      </c>
      <c r="D62" t="s">
        <v>4285</v>
      </c>
      <c r="E62" t="s">
        <v>8606</v>
      </c>
      <c r="F62" t="s">
        <v>9355</v>
      </c>
      <c r="G62" t="s">
        <v>9336</v>
      </c>
      <c r="H62">
        <v>1E-3</v>
      </c>
      <c r="I62">
        <v>20230106</v>
      </c>
      <c r="K62">
        <v>2</v>
      </c>
      <c r="L62">
        <v>20231103</v>
      </c>
      <c r="M62">
        <v>20240326</v>
      </c>
    </row>
    <row r="63" spans="1:13" s="1380" customFormat="1">
      <c r="A63" s="1380" t="s">
        <v>6746</v>
      </c>
      <c r="B63" s="1380" t="s">
        <v>6043</v>
      </c>
      <c r="C63" s="1380" t="s">
        <v>119</v>
      </c>
      <c r="D63" s="1380" t="s">
        <v>4305</v>
      </c>
      <c r="E63" s="1380" t="s">
        <v>8615</v>
      </c>
      <c r="F63" s="1380" t="s">
        <v>9355</v>
      </c>
      <c r="G63" s="1380" t="s">
        <v>9336</v>
      </c>
      <c r="H63" s="1380">
        <v>1.1999999999999999E-3</v>
      </c>
      <c r="I63" s="1380">
        <v>20210323</v>
      </c>
      <c r="K63" s="1380">
        <v>2</v>
      </c>
      <c r="L63" s="1380">
        <v>20210323</v>
      </c>
      <c r="M63" s="1380">
        <v>20240326</v>
      </c>
    </row>
    <row r="64" spans="1:13">
      <c r="A64" t="s">
        <v>6746</v>
      </c>
      <c r="B64" t="s">
        <v>6043</v>
      </c>
      <c r="C64" t="s">
        <v>119</v>
      </c>
      <c r="D64" t="s">
        <v>4337</v>
      </c>
      <c r="E64" t="s">
        <v>9371</v>
      </c>
      <c r="F64" t="s">
        <v>9355</v>
      </c>
      <c r="G64" t="s">
        <v>9336</v>
      </c>
      <c r="H64">
        <v>5.4000000000000003E-3</v>
      </c>
      <c r="I64">
        <v>20210323</v>
      </c>
      <c r="K64">
        <v>2</v>
      </c>
      <c r="L64">
        <v>20210323</v>
      </c>
      <c r="M64">
        <v>20240711</v>
      </c>
    </row>
    <row r="65" spans="1:13">
      <c r="A65" t="s">
        <v>6746</v>
      </c>
      <c r="B65" t="s">
        <v>6043</v>
      </c>
      <c r="C65" t="s">
        <v>119</v>
      </c>
      <c r="D65" t="s">
        <v>4361</v>
      </c>
      <c r="E65" t="s">
        <v>9372</v>
      </c>
      <c r="F65" t="s">
        <v>9355</v>
      </c>
      <c r="G65" t="s">
        <v>9336</v>
      </c>
      <c r="H65">
        <v>5.4000000000000003E-3</v>
      </c>
      <c r="I65">
        <v>20211029</v>
      </c>
      <c r="K65">
        <v>2</v>
      </c>
      <c r="L65">
        <v>20211029</v>
      </c>
      <c r="M65">
        <v>20240711</v>
      </c>
    </row>
    <row r="66" spans="1:13">
      <c r="A66" t="s">
        <v>6746</v>
      </c>
      <c r="B66" t="s">
        <v>6043</v>
      </c>
      <c r="C66" t="s">
        <v>119</v>
      </c>
      <c r="D66" t="s">
        <v>4364</v>
      </c>
      <c r="E66" t="s">
        <v>8641</v>
      </c>
      <c r="F66" t="s">
        <v>9355</v>
      </c>
      <c r="G66" t="s">
        <v>9336</v>
      </c>
      <c r="H66">
        <v>1E-3</v>
      </c>
      <c r="I66">
        <v>20230106</v>
      </c>
      <c r="K66">
        <v>2</v>
      </c>
      <c r="L66">
        <v>20231103</v>
      </c>
      <c r="M66">
        <v>20240326</v>
      </c>
    </row>
    <row r="67" spans="1:13" s="1380" customFormat="1">
      <c r="A67" s="1380" t="s">
        <v>6746</v>
      </c>
      <c r="B67" s="1380" t="s">
        <v>6043</v>
      </c>
      <c r="C67" s="1380" t="s">
        <v>119</v>
      </c>
      <c r="D67" s="1380" t="s">
        <v>4401</v>
      </c>
      <c r="E67" s="1380" t="s">
        <v>8658</v>
      </c>
      <c r="F67" s="1380" t="s">
        <v>9355</v>
      </c>
      <c r="G67" s="1380" t="s">
        <v>9336</v>
      </c>
      <c r="H67" s="1380">
        <v>1E-3</v>
      </c>
      <c r="I67" s="1380">
        <v>20210323</v>
      </c>
      <c r="J67" s="1380">
        <v>20230131</v>
      </c>
      <c r="K67" s="1380">
        <v>2</v>
      </c>
      <c r="L67" s="1380">
        <v>20230123</v>
      </c>
      <c r="M67" s="1380">
        <v>20231103</v>
      </c>
    </row>
    <row r="68" spans="1:13">
      <c r="A68" t="s">
        <v>6746</v>
      </c>
      <c r="B68" t="s">
        <v>6043</v>
      </c>
      <c r="C68" t="s">
        <v>119</v>
      </c>
      <c r="D68" t="s">
        <v>4407</v>
      </c>
      <c r="E68" t="s">
        <v>8661</v>
      </c>
      <c r="F68" t="s">
        <v>9355</v>
      </c>
      <c r="G68" t="s">
        <v>9336</v>
      </c>
      <c r="H68">
        <v>1E-3</v>
      </c>
      <c r="I68">
        <v>20230106</v>
      </c>
      <c r="K68">
        <v>2</v>
      </c>
      <c r="L68">
        <v>20231103</v>
      </c>
      <c r="M68">
        <v>20240326</v>
      </c>
    </row>
    <row r="69" spans="1:13">
      <c r="A69" t="s">
        <v>6746</v>
      </c>
      <c r="B69" t="s">
        <v>6043</v>
      </c>
      <c r="C69" t="s">
        <v>119</v>
      </c>
      <c r="D69" t="s">
        <v>4409</v>
      </c>
      <c r="E69" t="s">
        <v>8662</v>
      </c>
      <c r="F69" t="s">
        <v>9355</v>
      </c>
      <c r="G69" t="s">
        <v>9336</v>
      </c>
      <c r="H69">
        <v>1E-3</v>
      </c>
      <c r="I69">
        <v>20230106</v>
      </c>
      <c r="K69">
        <v>2</v>
      </c>
      <c r="L69">
        <v>20231103</v>
      </c>
      <c r="M69">
        <v>20240326</v>
      </c>
    </row>
    <row r="70" spans="1:13">
      <c r="A70" t="s">
        <v>6746</v>
      </c>
      <c r="B70" t="s">
        <v>6043</v>
      </c>
      <c r="C70" t="s">
        <v>119</v>
      </c>
      <c r="D70" t="s">
        <v>4417</v>
      </c>
      <c r="E70" t="s">
        <v>8666</v>
      </c>
      <c r="F70" t="s">
        <v>9355</v>
      </c>
      <c r="G70" t="s">
        <v>9336</v>
      </c>
      <c r="H70">
        <v>1E-3</v>
      </c>
      <c r="I70">
        <v>20230106</v>
      </c>
      <c r="K70">
        <v>2</v>
      </c>
      <c r="L70">
        <v>20231103</v>
      </c>
      <c r="M70">
        <v>20240326</v>
      </c>
    </row>
    <row r="71" spans="1:13">
      <c r="A71" t="s">
        <v>6746</v>
      </c>
      <c r="B71" t="s">
        <v>6043</v>
      </c>
      <c r="C71" t="s">
        <v>119</v>
      </c>
      <c r="D71" s="1379" t="s">
        <v>4555</v>
      </c>
      <c r="E71" t="s">
        <v>8734</v>
      </c>
      <c r="F71" t="s">
        <v>9355</v>
      </c>
      <c r="G71" t="s">
        <v>9334</v>
      </c>
      <c r="H71">
        <v>0.58299999999999996</v>
      </c>
      <c r="I71">
        <v>20210323</v>
      </c>
      <c r="K71">
        <v>2</v>
      </c>
      <c r="L71">
        <v>20210323</v>
      </c>
      <c r="M71">
        <v>20240326</v>
      </c>
    </row>
    <row r="72" spans="1:13">
      <c r="A72" t="s">
        <v>6746</v>
      </c>
      <c r="B72" t="s">
        <v>6043</v>
      </c>
      <c r="C72" t="s">
        <v>119</v>
      </c>
      <c r="D72" s="1379" t="s">
        <v>4563</v>
      </c>
      <c r="E72" t="s">
        <v>9373</v>
      </c>
      <c r="F72" t="s">
        <v>9355</v>
      </c>
      <c r="G72" t="s">
        <v>9334</v>
      </c>
      <c r="H72">
        <v>0.626</v>
      </c>
      <c r="I72">
        <v>20210323</v>
      </c>
      <c r="K72">
        <v>2</v>
      </c>
      <c r="L72">
        <v>20210323</v>
      </c>
      <c r="M72">
        <v>20231103</v>
      </c>
    </row>
    <row r="73" spans="1:13">
      <c r="A73" t="s">
        <v>6746</v>
      </c>
      <c r="B73" t="s">
        <v>6043</v>
      </c>
      <c r="C73" t="s">
        <v>119</v>
      </c>
      <c r="D73" s="1379" t="s">
        <v>4623</v>
      </c>
      <c r="E73" t="s">
        <v>9374</v>
      </c>
      <c r="F73" t="s">
        <v>9355</v>
      </c>
      <c r="G73" t="s">
        <v>9334</v>
      </c>
      <c r="H73">
        <v>0.32100000000000001</v>
      </c>
      <c r="I73">
        <v>20210323</v>
      </c>
      <c r="K73">
        <v>2</v>
      </c>
      <c r="L73">
        <v>20210323</v>
      </c>
      <c r="M73">
        <v>20231103</v>
      </c>
    </row>
    <row r="74" spans="1:13">
      <c r="A74" t="s">
        <v>6746</v>
      </c>
      <c r="B74" t="s">
        <v>6043</v>
      </c>
      <c r="C74" t="s">
        <v>119</v>
      </c>
      <c r="D74" s="1379" t="s">
        <v>4637</v>
      </c>
      <c r="E74" t="s">
        <v>9375</v>
      </c>
      <c r="F74" t="s">
        <v>9355</v>
      </c>
      <c r="G74" t="s">
        <v>9334</v>
      </c>
      <c r="H74">
        <v>0.379</v>
      </c>
      <c r="I74">
        <v>20210323</v>
      </c>
      <c r="K74">
        <v>2</v>
      </c>
      <c r="L74">
        <v>20210323</v>
      </c>
      <c r="M74">
        <v>20231103</v>
      </c>
    </row>
    <row r="75" spans="1:13">
      <c r="A75" t="s">
        <v>6746</v>
      </c>
      <c r="B75" t="s">
        <v>6043</v>
      </c>
      <c r="C75" t="s">
        <v>119</v>
      </c>
      <c r="D75" s="1379" t="s">
        <v>4669</v>
      </c>
      <c r="E75" t="s">
        <v>9376</v>
      </c>
      <c r="F75" t="s">
        <v>9355</v>
      </c>
      <c r="G75" t="s">
        <v>9334</v>
      </c>
      <c r="H75">
        <v>0.23200000000000001</v>
      </c>
      <c r="I75">
        <v>20210323</v>
      </c>
      <c r="K75">
        <v>2</v>
      </c>
      <c r="L75">
        <v>20210323</v>
      </c>
      <c r="M75">
        <v>20231103</v>
      </c>
    </row>
    <row r="76" spans="1:13">
      <c r="A76" t="s">
        <v>6746</v>
      </c>
      <c r="B76" t="s">
        <v>6043</v>
      </c>
      <c r="C76" t="s">
        <v>119</v>
      </c>
      <c r="D76" s="1379" t="s">
        <v>4717</v>
      </c>
      <c r="E76" t="s">
        <v>6552</v>
      </c>
      <c r="F76" t="s">
        <v>9355</v>
      </c>
      <c r="G76" t="s">
        <v>9336</v>
      </c>
      <c r="H76">
        <v>4.1999999999999997E-3</v>
      </c>
      <c r="I76">
        <v>20210323</v>
      </c>
      <c r="K76">
        <v>2</v>
      </c>
      <c r="L76">
        <v>20210323</v>
      </c>
      <c r="M76">
        <v>20240711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A899A-971D-48F4-8CA0-91969FF0D0D4}">
  <dimension ref="A1:K2399"/>
  <sheetViews>
    <sheetView workbookViewId="0">
      <selection activeCell="C2101" sqref="C2101"/>
    </sheetView>
  </sheetViews>
  <sheetFormatPr defaultColWidth="9.08984375" defaultRowHeight="13"/>
  <cols>
    <col min="1" max="1" width="9" style="27" customWidth="1"/>
    <col min="2" max="2" width="11.08984375" style="27" customWidth="1"/>
    <col min="3" max="3" width="13" style="27" customWidth="1"/>
    <col min="4" max="4" width="12.08984375" style="28" customWidth="1"/>
    <col min="5" max="5" width="20.36328125" style="27" customWidth="1"/>
    <col min="6" max="6" width="32.54296875" style="36" customWidth="1"/>
    <col min="7" max="7" width="12.90625" style="27" customWidth="1"/>
    <col min="8" max="8" width="6.08984375" style="37" customWidth="1"/>
    <col min="9" max="9" width="15.08984375" style="26" customWidth="1"/>
    <col min="10" max="10" width="2.453125" style="26" customWidth="1"/>
    <col min="11" max="11" width="13" style="27" customWidth="1"/>
    <col min="12" max="16384" width="9.08984375" style="26"/>
  </cols>
  <sheetData>
    <row r="1" spans="1:11" ht="24" customHeight="1">
      <c r="A1" s="21" t="s">
        <v>4795</v>
      </c>
      <c r="B1" s="21"/>
      <c r="C1" s="21"/>
      <c r="D1" s="22"/>
      <c r="E1" s="21"/>
      <c r="F1" s="23" t="s">
        <v>4796</v>
      </c>
      <c r="G1" s="24" t="s">
        <v>4797</v>
      </c>
      <c r="H1" s="24"/>
      <c r="I1" s="25"/>
      <c r="K1" s="21"/>
    </row>
    <row r="2" spans="1:11" ht="24" customHeight="1">
      <c r="E2" s="29">
        <v>45746</v>
      </c>
      <c r="F2" s="30" t="s">
        <v>4798</v>
      </c>
      <c r="G2" s="31" t="s">
        <v>4799</v>
      </c>
      <c r="H2" s="31" t="s">
        <v>4800</v>
      </c>
      <c r="I2" s="32" t="s">
        <v>4801</v>
      </c>
    </row>
    <row r="3" spans="1:11" ht="25.5" customHeight="1" thickBot="1">
      <c r="F3" s="33" t="s">
        <v>4802</v>
      </c>
      <c r="G3" s="34">
        <v>1</v>
      </c>
      <c r="H3" s="34" t="s">
        <v>4800</v>
      </c>
      <c r="I3" s="35">
        <v>2318</v>
      </c>
    </row>
    <row r="4" spans="1:11" ht="13.5" customHeight="1" thickBot="1"/>
    <row r="5" spans="1:11" s="44" customFormat="1" ht="24" customHeight="1" thickBot="1">
      <c r="A5" s="38" t="s">
        <v>4803</v>
      </c>
      <c r="B5" s="38" t="s">
        <v>4798</v>
      </c>
      <c r="C5" s="39" t="s">
        <v>4804</v>
      </c>
      <c r="D5" s="40" t="s">
        <v>4805</v>
      </c>
      <c r="E5" s="39" t="s">
        <v>4806</v>
      </c>
      <c r="F5" s="41" t="s">
        <v>4807</v>
      </c>
      <c r="G5" s="39" t="s">
        <v>4808</v>
      </c>
      <c r="H5" s="42"/>
      <c r="I5" s="43" t="s">
        <v>4809</v>
      </c>
      <c r="K5" s="39" t="s">
        <v>4804</v>
      </c>
    </row>
    <row r="6" spans="1:11" s="44" customFormat="1">
      <c r="A6" s="45">
        <v>1</v>
      </c>
      <c r="B6" s="45" t="s">
        <v>4799</v>
      </c>
      <c r="C6" s="46" t="s">
        <v>4810</v>
      </c>
      <c r="D6" s="47" t="s">
        <v>2008</v>
      </c>
      <c r="E6" s="47" t="s">
        <v>2007</v>
      </c>
      <c r="F6" s="48" t="s">
        <v>4811</v>
      </c>
      <c r="G6" s="46" t="s">
        <v>4812</v>
      </c>
      <c r="H6" s="49"/>
      <c r="I6" s="50">
        <v>750</v>
      </c>
      <c r="J6" s="26"/>
      <c r="K6" s="46" t="s">
        <v>4810</v>
      </c>
    </row>
    <row r="7" spans="1:11">
      <c r="A7" s="51">
        <v>2</v>
      </c>
      <c r="B7" s="51" t="s">
        <v>4799</v>
      </c>
      <c r="C7" s="51" t="s">
        <v>4810</v>
      </c>
      <c r="D7" s="52" t="s">
        <v>2010</v>
      </c>
      <c r="E7" s="52" t="s">
        <v>2009</v>
      </c>
      <c r="F7" s="53" t="s">
        <v>4813</v>
      </c>
      <c r="G7" s="51" t="s">
        <v>4812</v>
      </c>
      <c r="H7" s="54"/>
      <c r="I7" s="55">
        <v>250</v>
      </c>
      <c r="K7" s="51" t="s">
        <v>4810</v>
      </c>
    </row>
    <row r="8" spans="1:11">
      <c r="A8" s="51">
        <v>3</v>
      </c>
      <c r="B8" s="51" t="s">
        <v>4799</v>
      </c>
      <c r="C8" s="51" t="s">
        <v>4810</v>
      </c>
      <c r="D8" s="52" t="s">
        <v>2108</v>
      </c>
      <c r="E8" s="52" t="s">
        <v>2107</v>
      </c>
      <c r="F8" s="53" t="s">
        <v>4814</v>
      </c>
      <c r="G8" s="51" t="s">
        <v>4812</v>
      </c>
      <c r="H8" s="54"/>
      <c r="I8" s="55">
        <v>719</v>
      </c>
      <c r="K8" s="51" t="s">
        <v>4810</v>
      </c>
    </row>
    <row r="9" spans="1:11">
      <c r="A9" s="51">
        <v>4</v>
      </c>
      <c r="B9" s="51" t="s">
        <v>4799</v>
      </c>
      <c r="C9" s="51" t="s">
        <v>4810</v>
      </c>
      <c r="D9" s="52" t="s">
        <v>3646</v>
      </c>
      <c r="E9" s="52" t="s">
        <v>3645</v>
      </c>
      <c r="F9" s="53" t="s">
        <v>4815</v>
      </c>
      <c r="G9" s="51" t="s">
        <v>4812</v>
      </c>
      <c r="H9" s="54"/>
      <c r="I9" s="55">
        <v>174</v>
      </c>
      <c r="K9" s="51" t="s">
        <v>4810</v>
      </c>
    </row>
    <row r="10" spans="1:11">
      <c r="A10" s="51">
        <v>5</v>
      </c>
      <c r="B10" s="51" t="s">
        <v>4816</v>
      </c>
      <c r="C10" s="51" t="s">
        <v>4817</v>
      </c>
      <c r="D10" s="52" t="s">
        <v>4039</v>
      </c>
      <c r="E10" s="52" t="s">
        <v>4818</v>
      </c>
      <c r="F10" s="53" t="s">
        <v>4819</v>
      </c>
      <c r="G10" s="51" t="s">
        <v>4812</v>
      </c>
      <c r="H10" s="54"/>
      <c r="I10" s="55">
        <v>201</v>
      </c>
      <c r="K10" s="51" t="s">
        <v>4817</v>
      </c>
    </row>
    <row r="11" spans="1:11">
      <c r="A11" s="51">
        <v>6</v>
      </c>
      <c r="B11" s="51" t="s">
        <v>4816</v>
      </c>
      <c r="C11" s="51" t="s">
        <v>4817</v>
      </c>
      <c r="D11" s="52" t="s">
        <v>2759</v>
      </c>
      <c r="E11" s="52" t="s">
        <v>4820</v>
      </c>
      <c r="F11" s="53" t="s">
        <v>4821</v>
      </c>
      <c r="G11" s="51" t="s">
        <v>4812</v>
      </c>
      <c r="H11" s="54"/>
      <c r="I11" s="55">
        <v>14</v>
      </c>
      <c r="K11" s="51" t="s">
        <v>4817</v>
      </c>
    </row>
    <row r="12" spans="1:11">
      <c r="A12" s="51">
        <v>7</v>
      </c>
      <c r="B12" s="51" t="s">
        <v>4816</v>
      </c>
      <c r="C12" s="51" t="s">
        <v>4817</v>
      </c>
      <c r="D12" s="52" t="s">
        <v>2703</v>
      </c>
      <c r="E12" s="52" t="s">
        <v>4822</v>
      </c>
      <c r="F12" s="53" t="s">
        <v>4823</v>
      </c>
      <c r="G12" s="51" t="s">
        <v>4812</v>
      </c>
      <c r="H12" s="54"/>
      <c r="I12" s="55">
        <v>20</v>
      </c>
      <c r="K12" s="51" t="s">
        <v>4817</v>
      </c>
    </row>
    <row r="13" spans="1:11">
      <c r="A13" s="51">
        <v>8</v>
      </c>
      <c r="B13" s="51" t="s">
        <v>4816</v>
      </c>
      <c r="C13" s="51" t="s">
        <v>4817</v>
      </c>
      <c r="D13" s="52" t="s">
        <v>2791</v>
      </c>
      <c r="E13" s="52" t="s">
        <v>2790</v>
      </c>
      <c r="F13" s="53" t="s">
        <v>4824</v>
      </c>
      <c r="G13" s="51" t="s">
        <v>4812</v>
      </c>
      <c r="H13" s="54"/>
      <c r="I13" s="55">
        <v>0</v>
      </c>
      <c r="K13" s="51" t="s">
        <v>4817</v>
      </c>
    </row>
    <row r="14" spans="1:11">
      <c r="A14" s="51">
        <v>9</v>
      </c>
      <c r="B14" s="51" t="s">
        <v>4816</v>
      </c>
      <c r="C14" s="51" t="s">
        <v>4817</v>
      </c>
      <c r="D14" s="52" t="s">
        <v>2741</v>
      </c>
      <c r="E14" s="52" t="s">
        <v>4825</v>
      </c>
      <c r="F14" s="53" t="s">
        <v>4826</v>
      </c>
      <c r="G14" s="51" t="s">
        <v>4812</v>
      </c>
      <c r="H14" s="54"/>
      <c r="I14" s="55">
        <v>0</v>
      </c>
      <c r="K14" s="51" t="s">
        <v>4817</v>
      </c>
    </row>
    <row r="15" spans="1:11">
      <c r="A15" s="51">
        <v>10</v>
      </c>
      <c r="B15" s="51" t="s">
        <v>4816</v>
      </c>
      <c r="C15" s="51" t="s">
        <v>4817</v>
      </c>
      <c r="D15" s="52" t="s">
        <v>4827</v>
      </c>
      <c r="E15" s="52" t="s">
        <v>4828</v>
      </c>
      <c r="F15" s="53" t="s">
        <v>100</v>
      </c>
      <c r="G15" s="51" t="s">
        <v>4812</v>
      </c>
      <c r="H15" s="54"/>
      <c r="I15" s="55">
        <v>134</v>
      </c>
      <c r="K15" s="51" t="s">
        <v>4817</v>
      </c>
    </row>
    <row r="16" spans="1:11">
      <c r="A16" s="51">
        <v>11</v>
      </c>
      <c r="B16" s="51" t="s">
        <v>4816</v>
      </c>
      <c r="C16" s="51" t="s">
        <v>4817</v>
      </c>
      <c r="D16" s="52" t="s">
        <v>3803</v>
      </c>
      <c r="E16" s="52" t="s">
        <v>3802</v>
      </c>
      <c r="F16" s="53" t="s">
        <v>100</v>
      </c>
      <c r="G16" s="51" t="s">
        <v>4812</v>
      </c>
      <c r="H16" s="54"/>
      <c r="I16" s="55">
        <v>0</v>
      </c>
      <c r="K16" s="51" t="s">
        <v>4817</v>
      </c>
    </row>
    <row r="17" spans="1:11">
      <c r="A17" s="51">
        <v>12</v>
      </c>
      <c r="B17" s="51" t="s">
        <v>4816</v>
      </c>
      <c r="C17" s="51" t="s">
        <v>4817</v>
      </c>
      <c r="D17" s="52" t="s">
        <v>3748</v>
      </c>
      <c r="E17" s="52" t="s">
        <v>3747</v>
      </c>
      <c r="F17" s="53" t="s">
        <v>4829</v>
      </c>
      <c r="G17" s="51" t="s">
        <v>4812</v>
      </c>
      <c r="H17" s="54"/>
      <c r="I17" s="55">
        <v>553</v>
      </c>
      <c r="K17" s="51" t="s">
        <v>4817</v>
      </c>
    </row>
    <row r="18" spans="1:11">
      <c r="A18" s="56" t="s">
        <v>4830</v>
      </c>
      <c r="B18" s="51"/>
      <c r="C18" s="51" t="s">
        <v>4817</v>
      </c>
      <c r="D18" s="52" t="s">
        <v>4831</v>
      </c>
      <c r="E18" s="52" t="s">
        <v>4832</v>
      </c>
      <c r="F18" s="53"/>
      <c r="G18" s="51" t="s">
        <v>4812</v>
      </c>
      <c r="H18" s="54"/>
      <c r="I18" s="55">
        <v>12</v>
      </c>
      <c r="K18" s="51" t="s">
        <v>4817</v>
      </c>
    </row>
    <row r="19" spans="1:11">
      <c r="A19" s="57" t="s">
        <v>4833</v>
      </c>
      <c r="B19" s="51"/>
      <c r="C19" s="51" t="s">
        <v>4817</v>
      </c>
      <c r="D19" s="52" t="s">
        <v>4834</v>
      </c>
      <c r="E19" s="52" t="s">
        <v>4835</v>
      </c>
      <c r="F19" s="53"/>
      <c r="G19" s="51" t="s">
        <v>4812</v>
      </c>
      <c r="H19" s="54"/>
      <c r="I19" s="55">
        <v>48</v>
      </c>
      <c r="K19" s="51" t="s">
        <v>4817</v>
      </c>
    </row>
    <row r="20" spans="1:11">
      <c r="A20" s="51">
        <v>13</v>
      </c>
      <c r="B20" s="51" t="s">
        <v>4836</v>
      </c>
      <c r="C20" s="51" t="s">
        <v>4837</v>
      </c>
      <c r="D20" s="52" t="s">
        <v>4073</v>
      </c>
      <c r="E20" s="52" t="s">
        <v>4072</v>
      </c>
      <c r="F20" s="53" t="s">
        <v>4838</v>
      </c>
      <c r="G20" s="51" t="s">
        <v>4812</v>
      </c>
      <c r="H20" s="54"/>
      <c r="I20" s="55">
        <v>919</v>
      </c>
      <c r="K20" s="51" t="s">
        <v>4837</v>
      </c>
    </row>
    <row r="21" spans="1:11">
      <c r="A21" s="51">
        <v>14</v>
      </c>
      <c r="B21" s="51" t="s">
        <v>4836</v>
      </c>
      <c r="C21" s="51" t="s">
        <v>4837</v>
      </c>
      <c r="D21" s="52" t="s">
        <v>2239</v>
      </c>
      <c r="E21" s="52" t="s">
        <v>2238</v>
      </c>
      <c r="F21" s="53" t="s">
        <v>4839</v>
      </c>
      <c r="G21" s="51" t="s">
        <v>4812</v>
      </c>
      <c r="H21" s="54"/>
      <c r="I21" s="55">
        <v>65</v>
      </c>
      <c r="K21" s="51" t="s">
        <v>4837</v>
      </c>
    </row>
    <row r="22" spans="1:11">
      <c r="A22" s="51">
        <v>15</v>
      </c>
      <c r="B22" s="51" t="s">
        <v>4836</v>
      </c>
      <c r="C22" s="51" t="s">
        <v>4837</v>
      </c>
      <c r="D22" s="52" t="s">
        <v>2254</v>
      </c>
      <c r="E22" s="52" t="s">
        <v>2255</v>
      </c>
      <c r="F22" s="53" t="s">
        <v>4840</v>
      </c>
      <c r="G22" s="51" t="s">
        <v>4812</v>
      </c>
      <c r="H22" s="54"/>
      <c r="I22" s="55">
        <v>170</v>
      </c>
      <c r="K22" s="51" t="s">
        <v>4837</v>
      </c>
    </row>
    <row r="23" spans="1:11">
      <c r="A23" s="51">
        <v>16</v>
      </c>
      <c r="B23" s="51" t="s">
        <v>4836</v>
      </c>
      <c r="C23" s="51" t="s">
        <v>4837</v>
      </c>
      <c r="D23" s="52" t="s">
        <v>2243</v>
      </c>
      <c r="E23" s="52" t="s">
        <v>2242</v>
      </c>
      <c r="F23" s="53" t="s">
        <v>4839</v>
      </c>
      <c r="G23" s="51" t="s">
        <v>4812</v>
      </c>
      <c r="H23" s="54"/>
      <c r="I23" s="55">
        <v>47</v>
      </c>
      <c r="K23" s="51" t="s">
        <v>4837</v>
      </c>
    </row>
    <row r="24" spans="1:11">
      <c r="A24" s="51">
        <v>17</v>
      </c>
      <c r="B24" s="51" t="s">
        <v>4836</v>
      </c>
      <c r="C24" s="51" t="s">
        <v>4837</v>
      </c>
      <c r="D24" s="52" t="s">
        <v>2258</v>
      </c>
      <c r="E24" s="52" t="s">
        <v>2257</v>
      </c>
      <c r="F24" s="53" t="s">
        <v>4840</v>
      </c>
      <c r="G24" s="51" t="s">
        <v>4812</v>
      </c>
      <c r="H24" s="54"/>
      <c r="I24" s="55">
        <v>49</v>
      </c>
      <c r="K24" s="51" t="s">
        <v>4837</v>
      </c>
    </row>
    <row r="25" spans="1:11">
      <c r="A25" s="51">
        <v>18</v>
      </c>
      <c r="B25" s="51" t="s">
        <v>4836</v>
      </c>
      <c r="C25" s="51" t="s">
        <v>4837</v>
      </c>
      <c r="D25" s="52" t="s">
        <v>1978</v>
      </c>
      <c r="E25" s="52" t="s">
        <v>1977</v>
      </c>
      <c r="F25" s="53" t="s">
        <v>4841</v>
      </c>
      <c r="G25" s="51" t="s">
        <v>4812</v>
      </c>
      <c r="H25" s="54"/>
      <c r="I25" s="55">
        <v>0</v>
      </c>
      <c r="K25" s="51" t="s">
        <v>4837</v>
      </c>
    </row>
    <row r="26" spans="1:11">
      <c r="A26" s="51">
        <v>19</v>
      </c>
      <c r="B26" s="51" t="s">
        <v>4836</v>
      </c>
      <c r="C26" s="51" t="s">
        <v>4837</v>
      </c>
      <c r="D26" s="52" t="s">
        <v>2450</v>
      </c>
      <c r="E26" s="52" t="s">
        <v>2449</v>
      </c>
      <c r="F26" s="53" t="s">
        <v>4842</v>
      </c>
      <c r="G26" s="51" t="s">
        <v>4812</v>
      </c>
      <c r="H26" s="54"/>
      <c r="I26" s="55">
        <v>0</v>
      </c>
      <c r="K26" s="51" t="s">
        <v>4837</v>
      </c>
    </row>
    <row r="27" spans="1:11">
      <c r="A27" s="51">
        <v>20</v>
      </c>
      <c r="B27" s="51" t="s">
        <v>4836</v>
      </c>
      <c r="C27" s="51" t="s">
        <v>4837</v>
      </c>
      <c r="D27" s="52" t="s">
        <v>1972</v>
      </c>
      <c r="E27" s="52" t="s">
        <v>1971</v>
      </c>
      <c r="F27" s="53" t="s">
        <v>117</v>
      </c>
      <c r="G27" s="51" t="s">
        <v>4812</v>
      </c>
      <c r="H27" s="54"/>
      <c r="I27" s="55">
        <v>0</v>
      </c>
      <c r="K27" s="51" t="s">
        <v>4837</v>
      </c>
    </row>
    <row r="28" spans="1:11">
      <c r="A28" s="51">
        <v>21</v>
      </c>
      <c r="B28" s="51" t="s">
        <v>4836</v>
      </c>
      <c r="C28" s="51" t="s">
        <v>4837</v>
      </c>
      <c r="D28" s="52" t="s">
        <v>1974</v>
      </c>
      <c r="E28" s="52" t="s">
        <v>1973</v>
      </c>
      <c r="F28" s="53" t="s">
        <v>117</v>
      </c>
      <c r="G28" s="51" t="s">
        <v>4812</v>
      </c>
      <c r="H28" s="54"/>
      <c r="I28" s="55">
        <v>117</v>
      </c>
      <c r="K28" s="51" t="s">
        <v>4837</v>
      </c>
    </row>
    <row r="29" spans="1:11">
      <c r="A29" s="51">
        <v>22</v>
      </c>
      <c r="B29" s="51" t="s">
        <v>4836</v>
      </c>
      <c r="C29" s="51" t="s">
        <v>4837</v>
      </c>
      <c r="D29" s="52" t="s">
        <v>540</v>
      </c>
      <c r="E29" s="52" t="s">
        <v>539</v>
      </c>
      <c r="F29" s="53" t="s">
        <v>4843</v>
      </c>
      <c r="G29" s="51" t="s">
        <v>4812</v>
      </c>
      <c r="H29" s="54"/>
      <c r="I29" s="55">
        <v>163</v>
      </c>
      <c r="K29" s="51" t="s">
        <v>4837</v>
      </c>
    </row>
    <row r="30" spans="1:11">
      <c r="A30" s="51">
        <v>23</v>
      </c>
      <c r="B30" s="51" t="s">
        <v>4836</v>
      </c>
      <c r="C30" s="51" t="s">
        <v>4837</v>
      </c>
      <c r="D30" s="52" t="s">
        <v>542</v>
      </c>
      <c r="E30" s="52" t="s">
        <v>541</v>
      </c>
      <c r="F30" s="53" t="s">
        <v>4844</v>
      </c>
      <c r="G30" s="51" t="s">
        <v>4812</v>
      </c>
      <c r="H30" s="54"/>
      <c r="I30" s="55">
        <v>134</v>
      </c>
      <c r="K30" s="51" t="s">
        <v>4837</v>
      </c>
    </row>
    <row r="31" spans="1:11">
      <c r="A31" s="51">
        <v>24</v>
      </c>
      <c r="B31" s="51" t="s">
        <v>4836</v>
      </c>
      <c r="C31" s="51" t="s">
        <v>4837</v>
      </c>
      <c r="D31" s="52" t="s">
        <v>1928</v>
      </c>
      <c r="E31" s="52" t="s">
        <v>1927</v>
      </c>
      <c r="F31" s="53" t="s">
        <v>4845</v>
      </c>
      <c r="G31" s="51" t="s">
        <v>4812</v>
      </c>
      <c r="H31" s="54"/>
      <c r="I31" s="55">
        <v>1236</v>
      </c>
      <c r="K31" s="51" t="s">
        <v>4837</v>
      </c>
    </row>
    <row r="32" spans="1:11">
      <c r="A32" s="51">
        <v>25</v>
      </c>
      <c r="B32" s="51" t="s">
        <v>4846</v>
      </c>
      <c r="C32" s="51" t="s">
        <v>4847</v>
      </c>
      <c r="D32" s="52" t="s">
        <v>1726</v>
      </c>
      <c r="E32" s="52" t="s">
        <v>1724</v>
      </c>
      <c r="F32" s="53" t="s">
        <v>4848</v>
      </c>
      <c r="G32" s="51" t="s">
        <v>4812</v>
      </c>
      <c r="H32" s="54"/>
      <c r="I32" s="55">
        <v>8</v>
      </c>
      <c r="K32" s="51" t="s">
        <v>4847</v>
      </c>
    </row>
    <row r="33" spans="1:11">
      <c r="A33" s="51">
        <v>26</v>
      </c>
      <c r="B33" s="51" t="s">
        <v>4846</v>
      </c>
      <c r="C33" s="51" t="s">
        <v>4847</v>
      </c>
      <c r="D33" s="52" t="s">
        <v>1408</v>
      </c>
      <c r="E33" s="52" t="s">
        <v>4849</v>
      </c>
      <c r="F33" s="53" t="s">
        <v>4850</v>
      </c>
      <c r="G33" s="51" t="s">
        <v>4812</v>
      </c>
      <c r="H33" s="54"/>
      <c r="I33" s="55">
        <v>11</v>
      </c>
      <c r="K33" s="51" t="s">
        <v>4847</v>
      </c>
    </row>
    <row r="34" spans="1:11">
      <c r="A34" s="51">
        <v>27</v>
      </c>
      <c r="B34" s="51" t="s">
        <v>4846</v>
      </c>
      <c r="C34" s="51" t="s">
        <v>4847</v>
      </c>
      <c r="D34" s="52" t="s">
        <v>1665</v>
      </c>
      <c r="E34" s="52" t="s">
        <v>4851</v>
      </c>
      <c r="F34" s="53" t="s">
        <v>4852</v>
      </c>
      <c r="G34" s="51" t="s">
        <v>4812</v>
      </c>
      <c r="H34" s="54"/>
      <c r="I34" s="55">
        <v>119</v>
      </c>
      <c r="K34" s="51" t="s">
        <v>4847</v>
      </c>
    </row>
    <row r="35" spans="1:11">
      <c r="A35" s="51">
        <v>28</v>
      </c>
      <c r="B35" s="51" t="s">
        <v>4846</v>
      </c>
      <c r="C35" s="51" t="s">
        <v>4847</v>
      </c>
      <c r="D35" s="52" t="s">
        <v>1699</v>
      </c>
      <c r="E35" s="52" t="s">
        <v>4853</v>
      </c>
      <c r="F35" s="53" t="s">
        <v>107</v>
      </c>
      <c r="G35" s="51" t="s">
        <v>4812</v>
      </c>
      <c r="H35" s="54"/>
      <c r="I35" s="55">
        <v>81</v>
      </c>
      <c r="K35" s="51" t="s">
        <v>4847</v>
      </c>
    </row>
    <row r="36" spans="1:11">
      <c r="A36" s="51">
        <v>29</v>
      </c>
      <c r="B36" s="51" t="s">
        <v>4846</v>
      </c>
      <c r="C36" s="51" t="s">
        <v>4847</v>
      </c>
      <c r="D36" s="52" t="s">
        <v>1559</v>
      </c>
      <c r="E36" s="52" t="s">
        <v>4854</v>
      </c>
      <c r="F36" s="53" t="s">
        <v>4855</v>
      </c>
      <c r="G36" s="51" t="s">
        <v>4812</v>
      </c>
      <c r="H36" s="54"/>
      <c r="I36" s="55">
        <v>0</v>
      </c>
      <c r="K36" s="51" t="s">
        <v>4847</v>
      </c>
    </row>
    <row r="37" spans="1:11">
      <c r="A37" s="51">
        <v>30</v>
      </c>
      <c r="B37" s="51" t="s">
        <v>4846</v>
      </c>
      <c r="C37" s="51" t="s">
        <v>4847</v>
      </c>
      <c r="D37" s="52" t="s">
        <v>1593</v>
      </c>
      <c r="E37" s="52" t="s">
        <v>4856</v>
      </c>
      <c r="F37" s="53" t="s">
        <v>4857</v>
      </c>
      <c r="G37" s="51" t="s">
        <v>4812</v>
      </c>
      <c r="H37" s="54"/>
      <c r="I37" s="55">
        <v>122</v>
      </c>
      <c r="K37" s="51" t="s">
        <v>4847</v>
      </c>
    </row>
    <row r="38" spans="1:11">
      <c r="A38" s="51">
        <v>31</v>
      </c>
      <c r="B38" s="51" t="s">
        <v>4846</v>
      </c>
      <c r="C38" s="51" t="s">
        <v>4847</v>
      </c>
      <c r="D38" s="52" t="s">
        <v>1027</v>
      </c>
      <c r="E38" s="52" t="s">
        <v>4858</v>
      </c>
      <c r="F38" s="53" t="s">
        <v>4859</v>
      </c>
      <c r="G38" s="51" t="s">
        <v>4812</v>
      </c>
      <c r="H38" s="54"/>
      <c r="I38" s="55">
        <v>252</v>
      </c>
      <c r="K38" s="51" t="s">
        <v>4847</v>
      </c>
    </row>
    <row r="39" spans="1:11">
      <c r="A39" s="51">
        <v>32</v>
      </c>
      <c r="B39" s="51" t="s">
        <v>4846</v>
      </c>
      <c r="C39" s="51" t="s">
        <v>4847</v>
      </c>
      <c r="D39" s="52" t="s">
        <v>1772</v>
      </c>
      <c r="E39" s="52" t="s">
        <v>1771</v>
      </c>
      <c r="F39" s="53" t="s">
        <v>4860</v>
      </c>
      <c r="G39" s="51" t="s">
        <v>4812</v>
      </c>
      <c r="H39" s="54"/>
      <c r="I39" s="55">
        <v>435</v>
      </c>
      <c r="K39" s="51" t="s">
        <v>4847</v>
      </c>
    </row>
    <row r="40" spans="1:11">
      <c r="A40" s="51">
        <v>33</v>
      </c>
      <c r="B40" s="51" t="s">
        <v>4846</v>
      </c>
      <c r="C40" s="51" t="s">
        <v>4847</v>
      </c>
      <c r="D40" s="52" t="s">
        <v>1774</v>
      </c>
      <c r="E40" s="52" t="s">
        <v>1773</v>
      </c>
      <c r="F40" s="53" t="s">
        <v>4860</v>
      </c>
      <c r="G40" s="51" t="s">
        <v>4812</v>
      </c>
      <c r="H40" s="54"/>
      <c r="I40" s="55">
        <v>573</v>
      </c>
      <c r="K40" s="51" t="s">
        <v>4847</v>
      </c>
    </row>
    <row r="41" spans="1:11">
      <c r="A41" s="57" t="s">
        <v>4861</v>
      </c>
      <c r="B41" s="51"/>
      <c r="C41" s="51" t="s">
        <v>4847</v>
      </c>
      <c r="D41" s="52" t="s">
        <v>193</v>
      </c>
      <c r="E41" s="52" t="s">
        <v>192</v>
      </c>
      <c r="F41" s="53"/>
      <c r="G41" s="51" t="s">
        <v>4812</v>
      </c>
      <c r="H41" s="54"/>
      <c r="I41" s="55">
        <v>206</v>
      </c>
      <c r="K41" s="51" t="s">
        <v>4847</v>
      </c>
    </row>
    <row r="42" spans="1:11">
      <c r="A42" s="51">
        <v>34</v>
      </c>
      <c r="B42" s="51" t="s">
        <v>4862</v>
      </c>
      <c r="C42" s="51" t="s">
        <v>4863</v>
      </c>
      <c r="D42" s="52" t="s">
        <v>1360</v>
      </c>
      <c r="E42" s="52" t="s">
        <v>1359</v>
      </c>
      <c r="F42" s="53" t="s">
        <v>4864</v>
      </c>
      <c r="G42" s="51" t="s">
        <v>4812</v>
      </c>
      <c r="H42" s="54"/>
      <c r="I42" s="55">
        <v>0</v>
      </c>
      <c r="K42" s="51" t="s">
        <v>4863</v>
      </c>
    </row>
    <row r="43" spans="1:11">
      <c r="A43" s="51">
        <v>35</v>
      </c>
      <c r="B43" s="51" t="s">
        <v>4862</v>
      </c>
      <c r="C43" s="51" t="s">
        <v>4863</v>
      </c>
      <c r="D43" s="52" t="s">
        <v>1611</v>
      </c>
      <c r="E43" s="52" t="s">
        <v>1610</v>
      </c>
      <c r="F43" s="53" t="s">
        <v>106</v>
      </c>
      <c r="G43" s="51" t="s">
        <v>4812</v>
      </c>
      <c r="H43" s="54"/>
      <c r="I43" s="55">
        <v>0</v>
      </c>
      <c r="K43" s="51" t="s">
        <v>4863</v>
      </c>
    </row>
    <row r="44" spans="1:11">
      <c r="A44" s="51">
        <v>36</v>
      </c>
      <c r="B44" s="51" t="s">
        <v>4862</v>
      </c>
      <c r="C44" s="51" t="s">
        <v>4863</v>
      </c>
      <c r="D44" s="52" t="s">
        <v>1647</v>
      </c>
      <c r="E44" s="52" t="s">
        <v>1646</v>
      </c>
      <c r="F44" s="53" t="s">
        <v>4865</v>
      </c>
      <c r="G44" s="51" t="s">
        <v>4812</v>
      </c>
      <c r="H44" s="54"/>
      <c r="I44" s="55">
        <v>0</v>
      </c>
      <c r="K44" s="51" t="s">
        <v>4863</v>
      </c>
    </row>
    <row r="45" spans="1:11">
      <c r="A45" s="51">
        <v>37</v>
      </c>
      <c r="B45" s="51" t="s">
        <v>4862</v>
      </c>
      <c r="C45" s="51" t="s">
        <v>4863</v>
      </c>
      <c r="D45" s="52" t="s">
        <v>823</v>
      </c>
      <c r="E45" s="52" t="s">
        <v>4866</v>
      </c>
      <c r="F45" s="53" t="s">
        <v>4867</v>
      </c>
      <c r="G45" s="51" t="s">
        <v>4812</v>
      </c>
      <c r="H45" s="54"/>
      <c r="I45" s="55">
        <v>0</v>
      </c>
      <c r="K45" s="51" t="s">
        <v>4863</v>
      </c>
    </row>
    <row r="46" spans="1:11">
      <c r="A46" s="51">
        <v>38</v>
      </c>
      <c r="B46" s="51" t="s">
        <v>4862</v>
      </c>
      <c r="C46" s="51" t="s">
        <v>4863</v>
      </c>
      <c r="D46" s="52" t="s">
        <v>885</v>
      </c>
      <c r="E46" s="52" t="s">
        <v>4868</v>
      </c>
      <c r="F46" s="53" t="s">
        <v>4869</v>
      </c>
      <c r="G46" s="51" t="s">
        <v>4812</v>
      </c>
      <c r="H46" s="54"/>
      <c r="I46" s="55">
        <v>0</v>
      </c>
      <c r="K46" s="51" t="s">
        <v>4863</v>
      </c>
    </row>
    <row r="47" spans="1:11">
      <c r="A47" s="51">
        <v>39</v>
      </c>
      <c r="B47" s="51" t="s">
        <v>4862</v>
      </c>
      <c r="C47" s="51" t="s">
        <v>4863</v>
      </c>
      <c r="D47" s="52" t="s">
        <v>827</v>
      </c>
      <c r="E47" s="52" t="s">
        <v>4870</v>
      </c>
      <c r="F47" s="53" t="s">
        <v>4871</v>
      </c>
      <c r="G47" s="51" t="s">
        <v>4812</v>
      </c>
      <c r="H47" s="54"/>
      <c r="I47" s="55">
        <v>0</v>
      </c>
      <c r="K47" s="51" t="s">
        <v>4863</v>
      </c>
    </row>
    <row r="48" spans="1:11">
      <c r="A48" s="51">
        <v>40</v>
      </c>
      <c r="B48" s="51" t="s">
        <v>4862</v>
      </c>
      <c r="C48" s="51" t="s">
        <v>4863</v>
      </c>
      <c r="D48" s="52" t="s">
        <v>889</v>
      </c>
      <c r="E48" s="52" t="s">
        <v>4872</v>
      </c>
      <c r="F48" s="53" t="s">
        <v>4873</v>
      </c>
      <c r="G48" s="51" t="s">
        <v>4812</v>
      </c>
      <c r="H48" s="54"/>
      <c r="I48" s="55">
        <v>0</v>
      </c>
      <c r="K48" s="51" t="s">
        <v>4863</v>
      </c>
    </row>
    <row r="49" spans="1:11">
      <c r="A49" s="51">
        <v>41</v>
      </c>
      <c r="B49" s="51" t="s">
        <v>4862</v>
      </c>
      <c r="C49" s="51" t="s">
        <v>4863</v>
      </c>
      <c r="D49" s="52" t="s">
        <v>1027</v>
      </c>
      <c r="E49" s="52" t="s">
        <v>4858</v>
      </c>
      <c r="F49" s="53" t="s">
        <v>4859</v>
      </c>
      <c r="G49" s="51" t="s">
        <v>4812</v>
      </c>
      <c r="H49" s="54"/>
      <c r="I49" s="55">
        <v>0</v>
      </c>
      <c r="K49" s="51" t="s">
        <v>4863</v>
      </c>
    </row>
    <row r="50" spans="1:11">
      <c r="A50" s="51">
        <v>42</v>
      </c>
      <c r="B50" s="51" t="s">
        <v>4862</v>
      </c>
      <c r="C50" s="51" t="s">
        <v>4863</v>
      </c>
      <c r="D50" s="52" t="s">
        <v>4272</v>
      </c>
      <c r="E50" s="52" t="s">
        <v>4271</v>
      </c>
      <c r="F50" s="53" t="s">
        <v>4874</v>
      </c>
      <c r="G50" s="51" t="s">
        <v>4812</v>
      </c>
      <c r="H50" s="54"/>
      <c r="I50" s="55">
        <v>100</v>
      </c>
      <c r="K50" s="51" t="s">
        <v>4863</v>
      </c>
    </row>
    <row r="51" spans="1:11">
      <c r="A51" s="51">
        <v>43</v>
      </c>
      <c r="B51" s="51" t="s">
        <v>4862</v>
      </c>
      <c r="C51" s="51" t="s">
        <v>4863</v>
      </c>
      <c r="D51" s="52" t="s">
        <v>4274</v>
      </c>
      <c r="E51" s="52" t="s">
        <v>4273</v>
      </c>
      <c r="F51" s="53" t="s">
        <v>4875</v>
      </c>
      <c r="G51" s="51" t="s">
        <v>4812</v>
      </c>
      <c r="H51" s="54"/>
      <c r="I51" s="55">
        <v>100</v>
      </c>
      <c r="K51" s="51" t="s">
        <v>4863</v>
      </c>
    </row>
    <row r="52" spans="1:11">
      <c r="A52" s="51">
        <v>44</v>
      </c>
      <c r="B52" s="51" t="s">
        <v>4862</v>
      </c>
      <c r="C52" s="51" t="s">
        <v>4863</v>
      </c>
      <c r="D52" s="52" t="s">
        <v>4275</v>
      </c>
      <c r="E52" s="52" t="s">
        <v>4275</v>
      </c>
      <c r="F52" s="53" t="s">
        <v>4876</v>
      </c>
      <c r="G52" s="51" t="s">
        <v>4812</v>
      </c>
      <c r="H52" s="54"/>
      <c r="I52" s="55">
        <v>80</v>
      </c>
      <c r="K52" s="51" t="s">
        <v>4863</v>
      </c>
    </row>
    <row r="53" spans="1:11">
      <c r="A53" s="51">
        <v>45</v>
      </c>
      <c r="B53" s="51" t="s">
        <v>4862</v>
      </c>
      <c r="C53" s="51" t="s">
        <v>4863</v>
      </c>
      <c r="D53" s="52" t="s">
        <v>4277</v>
      </c>
      <c r="E53" s="52" t="s">
        <v>4277</v>
      </c>
      <c r="F53" s="53" t="s">
        <v>4877</v>
      </c>
      <c r="G53" s="51" t="s">
        <v>4812</v>
      </c>
      <c r="H53" s="54"/>
      <c r="I53" s="55">
        <v>80</v>
      </c>
      <c r="K53" s="51" t="s">
        <v>4863</v>
      </c>
    </row>
    <row r="54" spans="1:11">
      <c r="A54" s="51">
        <v>46</v>
      </c>
      <c r="B54" s="51" t="s">
        <v>4862</v>
      </c>
      <c r="C54" s="51" t="s">
        <v>4863</v>
      </c>
      <c r="D54" s="52" t="s">
        <v>84</v>
      </c>
      <c r="E54" s="52" t="s">
        <v>46</v>
      </c>
      <c r="F54" s="53" t="s">
        <v>118</v>
      </c>
      <c r="G54" s="51" t="s">
        <v>4812</v>
      </c>
      <c r="H54" s="54"/>
      <c r="I54" s="55">
        <v>1095</v>
      </c>
      <c r="K54" s="51" t="s">
        <v>4863</v>
      </c>
    </row>
    <row r="55" spans="1:11">
      <c r="A55" s="51">
        <v>47</v>
      </c>
      <c r="B55" s="51" t="s">
        <v>4862</v>
      </c>
      <c r="C55" s="51" t="s">
        <v>4863</v>
      </c>
      <c r="D55" s="52" t="s">
        <v>85</v>
      </c>
      <c r="E55" s="52" t="s">
        <v>47</v>
      </c>
      <c r="F55" s="53" t="s">
        <v>118</v>
      </c>
      <c r="G55" s="51" t="s">
        <v>4812</v>
      </c>
      <c r="H55" s="54"/>
      <c r="I55" s="55">
        <v>2283</v>
      </c>
      <c r="K55" s="51" t="s">
        <v>4863</v>
      </c>
    </row>
    <row r="56" spans="1:11">
      <c r="A56" s="51">
        <v>48</v>
      </c>
      <c r="B56" s="51" t="s">
        <v>4862</v>
      </c>
      <c r="C56" s="51" t="s">
        <v>4863</v>
      </c>
      <c r="D56" s="52" t="s">
        <v>811</v>
      </c>
      <c r="E56" s="52" t="s">
        <v>4878</v>
      </c>
      <c r="F56" s="53" t="s">
        <v>4879</v>
      </c>
      <c r="G56" s="51" t="s">
        <v>4812</v>
      </c>
      <c r="H56" s="54"/>
      <c r="I56" s="55">
        <v>0</v>
      </c>
      <c r="K56" s="51" t="s">
        <v>4863</v>
      </c>
    </row>
    <row r="57" spans="1:11">
      <c r="A57" s="51">
        <v>49</v>
      </c>
      <c r="B57" s="51" t="s">
        <v>4862</v>
      </c>
      <c r="C57" s="51" t="s">
        <v>4863</v>
      </c>
      <c r="D57" s="52" t="s">
        <v>815</v>
      </c>
      <c r="E57" s="52" t="s">
        <v>4880</v>
      </c>
      <c r="F57" s="53" t="s">
        <v>4881</v>
      </c>
      <c r="G57" s="51" t="s">
        <v>4812</v>
      </c>
      <c r="H57" s="54"/>
      <c r="I57" s="55">
        <v>0</v>
      </c>
      <c r="K57" s="51" t="s">
        <v>4863</v>
      </c>
    </row>
    <row r="58" spans="1:11">
      <c r="A58" s="51">
        <v>50</v>
      </c>
      <c r="B58" s="51" t="s">
        <v>4862</v>
      </c>
      <c r="C58" s="51" t="s">
        <v>4863</v>
      </c>
      <c r="D58" s="52" t="s">
        <v>873</v>
      </c>
      <c r="E58" s="52" t="s">
        <v>4882</v>
      </c>
      <c r="F58" s="53" t="s">
        <v>4883</v>
      </c>
      <c r="G58" s="51" t="s">
        <v>4812</v>
      </c>
      <c r="H58" s="54"/>
      <c r="I58" s="55">
        <v>0</v>
      </c>
      <c r="K58" s="51" t="s">
        <v>4863</v>
      </c>
    </row>
    <row r="59" spans="1:11">
      <c r="A59" s="51">
        <v>51</v>
      </c>
      <c r="B59" s="51" t="s">
        <v>4862</v>
      </c>
      <c r="C59" s="51" t="s">
        <v>4863</v>
      </c>
      <c r="D59" s="52" t="s">
        <v>877</v>
      </c>
      <c r="E59" s="52" t="s">
        <v>4884</v>
      </c>
      <c r="F59" s="53" t="s">
        <v>4885</v>
      </c>
      <c r="G59" s="51" t="s">
        <v>4812</v>
      </c>
      <c r="H59" s="54"/>
      <c r="I59" s="55">
        <v>0</v>
      </c>
      <c r="K59" s="51" t="s">
        <v>4863</v>
      </c>
    </row>
    <row r="60" spans="1:11">
      <c r="A60" s="51">
        <v>52</v>
      </c>
      <c r="B60" s="51" t="s">
        <v>4862</v>
      </c>
      <c r="C60" s="51" t="s">
        <v>4863</v>
      </c>
      <c r="D60" s="52" t="s">
        <v>1719</v>
      </c>
      <c r="E60" s="52" t="s">
        <v>1718</v>
      </c>
      <c r="F60" s="53" t="s">
        <v>4886</v>
      </c>
      <c r="G60" s="51" t="s">
        <v>4812</v>
      </c>
      <c r="H60" s="54"/>
      <c r="I60" s="55">
        <v>0</v>
      </c>
      <c r="K60" s="51" t="s">
        <v>4863</v>
      </c>
    </row>
    <row r="61" spans="1:11">
      <c r="A61" s="51">
        <v>53</v>
      </c>
      <c r="B61" s="51" t="s">
        <v>4862</v>
      </c>
      <c r="C61" s="51" t="s">
        <v>4863</v>
      </c>
      <c r="D61" s="52" t="s">
        <v>1754</v>
      </c>
      <c r="E61" s="52" t="s">
        <v>1753</v>
      </c>
      <c r="F61" s="53" t="s">
        <v>4887</v>
      </c>
      <c r="G61" s="51" t="s">
        <v>4812</v>
      </c>
      <c r="H61" s="54"/>
      <c r="I61" s="55">
        <v>0</v>
      </c>
      <c r="K61" s="51" t="s">
        <v>4863</v>
      </c>
    </row>
    <row r="62" spans="1:11">
      <c r="A62" s="51">
        <v>54</v>
      </c>
      <c r="B62" s="51" t="s">
        <v>4862</v>
      </c>
      <c r="C62" s="51" t="s">
        <v>4863</v>
      </c>
      <c r="D62" s="52" t="s">
        <v>620</v>
      </c>
      <c r="E62" s="52" t="s">
        <v>619</v>
      </c>
      <c r="F62" s="53" t="s">
        <v>4888</v>
      </c>
      <c r="G62" s="51" t="s">
        <v>4812</v>
      </c>
      <c r="H62" s="54"/>
      <c r="I62" s="55">
        <v>0</v>
      </c>
      <c r="K62" s="51" t="s">
        <v>4863</v>
      </c>
    </row>
    <row r="63" spans="1:11">
      <c r="A63" s="51">
        <v>55</v>
      </c>
      <c r="B63" s="51" t="s">
        <v>4889</v>
      </c>
      <c r="C63" s="51" t="s">
        <v>4890</v>
      </c>
      <c r="D63" s="52" t="s">
        <v>3198</v>
      </c>
      <c r="E63" s="52" t="s">
        <v>3197</v>
      </c>
      <c r="F63" s="53" t="s">
        <v>4891</v>
      </c>
      <c r="G63" s="51" t="s">
        <v>4812</v>
      </c>
      <c r="H63" s="54"/>
      <c r="I63" s="55">
        <v>679</v>
      </c>
      <c r="K63" s="51" t="s">
        <v>4890</v>
      </c>
    </row>
    <row r="64" spans="1:11">
      <c r="A64" s="51">
        <v>56</v>
      </c>
      <c r="B64" s="51" t="s">
        <v>4889</v>
      </c>
      <c r="C64" s="51" t="s">
        <v>4890</v>
      </c>
      <c r="D64" s="52" t="s">
        <v>4073</v>
      </c>
      <c r="E64" s="52" t="s">
        <v>4892</v>
      </c>
      <c r="F64" s="53" t="s">
        <v>4838</v>
      </c>
      <c r="G64" s="51" t="s">
        <v>4812</v>
      </c>
      <c r="H64" s="54"/>
      <c r="I64" s="55">
        <v>1000</v>
      </c>
      <c r="K64" s="51" t="s">
        <v>4890</v>
      </c>
    </row>
    <row r="65" spans="1:11">
      <c r="A65" s="51">
        <v>57</v>
      </c>
      <c r="B65" s="51" t="s">
        <v>4889</v>
      </c>
      <c r="C65" s="51" t="s">
        <v>4890</v>
      </c>
      <c r="D65" s="52" t="s">
        <v>2008</v>
      </c>
      <c r="E65" s="52" t="s">
        <v>2007</v>
      </c>
      <c r="F65" s="53" t="s">
        <v>4893</v>
      </c>
      <c r="G65" s="51" t="s">
        <v>4812</v>
      </c>
      <c r="H65" s="54"/>
      <c r="I65" s="55">
        <v>0</v>
      </c>
      <c r="K65" s="51" t="s">
        <v>4890</v>
      </c>
    </row>
    <row r="66" spans="1:11">
      <c r="A66" s="51">
        <v>58</v>
      </c>
      <c r="B66" s="51" t="s">
        <v>4889</v>
      </c>
      <c r="C66" s="51" t="s">
        <v>4890</v>
      </c>
      <c r="D66" s="52" t="s">
        <v>4894</v>
      </c>
      <c r="E66" s="52"/>
      <c r="F66" s="53"/>
      <c r="G66" s="51" t="s">
        <v>4812</v>
      </c>
      <c r="H66" s="54"/>
      <c r="I66" s="55">
        <v>0</v>
      </c>
      <c r="K66" s="51" t="s">
        <v>4890</v>
      </c>
    </row>
    <row r="67" spans="1:11">
      <c r="A67" s="51">
        <v>59</v>
      </c>
      <c r="B67" s="51" t="s">
        <v>4889</v>
      </c>
      <c r="C67" s="51" t="s">
        <v>4890</v>
      </c>
      <c r="D67" s="52" t="s">
        <v>4895</v>
      </c>
      <c r="E67" s="52"/>
      <c r="F67" s="53"/>
      <c r="G67" s="51" t="s">
        <v>4812</v>
      </c>
      <c r="H67" s="54"/>
      <c r="I67" s="55">
        <v>0</v>
      </c>
      <c r="K67" s="51" t="s">
        <v>4890</v>
      </c>
    </row>
    <row r="68" spans="1:11">
      <c r="A68" s="51">
        <v>60</v>
      </c>
      <c r="B68" s="51" t="s">
        <v>4889</v>
      </c>
      <c r="C68" s="51" t="s">
        <v>4890</v>
      </c>
      <c r="D68" s="52" t="s">
        <v>1978</v>
      </c>
      <c r="E68" s="52" t="s">
        <v>4896</v>
      </c>
      <c r="F68" s="53" t="s">
        <v>4841</v>
      </c>
      <c r="G68" s="51" t="s">
        <v>4812</v>
      </c>
      <c r="H68" s="54"/>
      <c r="I68" s="55">
        <v>0</v>
      </c>
      <c r="K68" s="51" t="s">
        <v>4890</v>
      </c>
    </row>
    <row r="69" spans="1:11">
      <c r="A69" s="51">
        <v>61</v>
      </c>
      <c r="B69" s="51" t="s">
        <v>4889</v>
      </c>
      <c r="C69" s="51" t="s">
        <v>4890</v>
      </c>
      <c r="D69" s="52" t="s">
        <v>959</v>
      </c>
      <c r="E69" s="52" t="s">
        <v>958</v>
      </c>
      <c r="F69" s="53" t="s">
        <v>4897</v>
      </c>
      <c r="G69" s="51" t="s">
        <v>4812</v>
      </c>
      <c r="H69" s="54"/>
      <c r="I69" s="55">
        <v>0</v>
      </c>
      <c r="K69" s="51" t="s">
        <v>4890</v>
      </c>
    </row>
    <row r="70" spans="1:11">
      <c r="A70" s="51">
        <v>62</v>
      </c>
      <c r="B70" s="51" t="s">
        <v>4889</v>
      </c>
      <c r="C70" s="51" t="s">
        <v>4890</v>
      </c>
      <c r="D70" s="52" t="s">
        <v>1988</v>
      </c>
      <c r="E70" s="52" t="s">
        <v>1987</v>
      </c>
      <c r="F70" s="53" t="s">
        <v>4898</v>
      </c>
      <c r="G70" s="51" t="s">
        <v>4812</v>
      </c>
      <c r="H70" s="54"/>
      <c r="I70" s="55">
        <v>204</v>
      </c>
      <c r="K70" s="51" t="s">
        <v>4890</v>
      </c>
    </row>
    <row r="71" spans="1:11">
      <c r="A71" s="51">
        <v>63</v>
      </c>
      <c r="B71" s="51" t="s">
        <v>4889</v>
      </c>
      <c r="C71" s="51" t="s">
        <v>4890</v>
      </c>
      <c r="D71" s="52" t="s">
        <v>1218</v>
      </c>
      <c r="E71" s="52" t="s">
        <v>1217</v>
      </c>
      <c r="F71" s="53" t="s">
        <v>4899</v>
      </c>
      <c r="G71" s="51" t="s">
        <v>4812</v>
      </c>
      <c r="H71" s="54"/>
      <c r="I71" s="55">
        <v>0</v>
      </c>
      <c r="K71" s="51" t="s">
        <v>4890</v>
      </c>
    </row>
    <row r="72" spans="1:11">
      <c r="A72" s="51">
        <v>64</v>
      </c>
      <c r="B72" s="51" t="s">
        <v>4900</v>
      </c>
      <c r="C72" s="51" t="s">
        <v>4901</v>
      </c>
      <c r="D72" s="52" t="s">
        <v>1768</v>
      </c>
      <c r="E72" s="52" t="s">
        <v>1767</v>
      </c>
      <c r="F72" s="53" t="s">
        <v>4902</v>
      </c>
      <c r="G72" s="51" t="s">
        <v>4812</v>
      </c>
      <c r="H72" s="54"/>
      <c r="I72" s="55">
        <v>138</v>
      </c>
      <c r="K72" s="51" t="s">
        <v>4901</v>
      </c>
    </row>
    <row r="73" spans="1:11">
      <c r="A73" s="51">
        <v>65</v>
      </c>
      <c r="B73" s="51" t="s">
        <v>4900</v>
      </c>
      <c r="C73" s="51" t="s">
        <v>4901</v>
      </c>
      <c r="D73" s="52" t="s">
        <v>1661</v>
      </c>
      <c r="E73" s="52" t="s">
        <v>1660</v>
      </c>
      <c r="F73" s="53" t="s">
        <v>4852</v>
      </c>
      <c r="G73" s="51" t="s">
        <v>4812</v>
      </c>
      <c r="H73" s="54"/>
      <c r="I73" s="55">
        <v>7</v>
      </c>
      <c r="K73" s="51" t="s">
        <v>4901</v>
      </c>
    </row>
    <row r="74" spans="1:11">
      <c r="A74" s="51">
        <v>66</v>
      </c>
      <c r="B74" s="51" t="s">
        <v>4900</v>
      </c>
      <c r="C74" s="51" t="s">
        <v>4901</v>
      </c>
      <c r="D74" s="52" t="s">
        <v>1695</v>
      </c>
      <c r="E74" s="52" t="s">
        <v>1694</v>
      </c>
      <c r="F74" s="53" t="s">
        <v>107</v>
      </c>
      <c r="G74" s="51" t="s">
        <v>4812</v>
      </c>
      <c r="H74" s="54"/>
      <c r="I74" s="55">
        <v>10</v>
      </c>
      <c r="K74" s="51" t="s">
        <v>4901</v>
      </c>
    </row>
    <row r="75" spans="1:11">
      <c r="A75" s="51">
        <v>67</v>
      </c>
      <c r="B75" s="51" t="s">
        <v>4900</v>
      </c>
      <c r="C75" s="51" t="s">
        <v>4901</v>
      </c>
      <c r="D75" s="52" t="s">
        <v>1555</v>
      </c>
      <c r="E75" s="52" t="s">
        <v>1554</v>
      </c>
      <c r="F75" s="53" t="s">
        <v>4855</v>
      </c>
      <c r="G75" s="51" t="s">
        <v>4812</v>
      </c>
      <c r="H75" s="54"/>
      <c r="I75" s="55">
        <v>46</v>
      </c>
      <c r="K75" s="51" t="s">
        <v>4901</v>
      </c>
    </row>
    <row r="76" spans="1:11">
      <c r="A76" s="51">
        <v>68</v>
      </c>
      <c r="B76" s="51" t="s">
        <v>4900</v>
      </c>
      <c r="C76" s="51" t="s">
        <v>4901</v>
      </c>
      <c r="D76" s="52" t="s">
        <v>1589</v>
      </c>
      <c r="E76" s="52" t="s">
        <v>1588</v>
      </c>
      <c r="F76" s="53" t="s">
        <v>4857</v>
      </c>
      <c r="G76" s="51" t="s">
        <v>4812</v>
      </c>
      <c r="H76" s="54"/>
      <c r="I76" s="55">
        <v>0</v>
      </c>
      <c r="K76" s="51" t="s">
        <v>4901</v>
      </c>
    </row>
    <row r="77" spans="1:11">
      <c r="A77" s="51">
        <v>69</v>
      </c>
      <c r="B77" s="51" t="s">
        <v>4903</v>
      </c>
      <c r="C77" s="51" t="s">
        <v>4904</v>
      </c>
      <c r="D77" s="52" t="s">
        <v>1344</v>
      </c>
      <c r="E77" s="52" t="s">
        <v>4905</v>
      </c>
      <c r="F77" s="53" t="s">
        <v>4906</v>
      </c>
      <c r="G77" s="51" t="s">
        <v>4812</v>
      </c>
      <c r="H77" s="54"/>
      <c r="I77" s="55">
        <v>37</v>
      </c>
      <c r="K77" s="51" t="s">
        <v>4904</v>
      </c>
    </row>
    <row r="78" spans="1:11">
      <c r="A78" s="51">
        <v>70</v>
      </c>
      <c r="B78" s="51" t="s">
        <v>4903</v>
      </c>
      <c r="C78" s="51" t="s">
        <v>4904</v>
      </c>
      <c r="D78" s="52" t="s">
        <v>1352</v>
      </c>
      <c r="E78" s="52" t="s">
        <v>4907</v>
      </c>
      <c r="F78" s="53" t="s">
        <v>4908</v>
      </c>
      <c r="G78" s="51" t="s">
        <v>4812</v>
      </c>
      <c r="H78" s="54"/>
      <c r="I78" s="55">
        <v>27</v>
      </c>
      <c r="K78" s="51" t="s">
        <v>4904</v>
      </c>
    </row>
    <row r="79" spans="1:11">
      <c r="A79" s="51">
        <v>71</v>
      </c>
      <c r="B79" s="51" t="s">
        <v>4903</v>
      </c>
      <c r="C79" s="51" t="s">
        <v>4904</v>
      </c>
      <c r="D79" s="52" t="s">
        <v>51</v>
      </c>
      <c r="E79" s="52" t="s">
        <v>13</v>
      </c>
      <c r="F79" s="53" t="s">
        <v>100</v>
      </c>
      <c r="G79" s="51" t="s">
        <v>4812</v>
      </c>
      <c r="H79" s="54"/>
      <c r="I79" s="55">
        <v>0</v>
      </c>
      <c r="K79" s="51" t="s">
        <v>4904</v>
      </c>
    </row>
    <row r="80" spans="1:11">
      <c r="A80" s="51">
        <v>72</v>
      </c>
      <c r="B80" s="51" t="s">
        <v>4903</v>
      </c>
      <c r="C80" s="51" t="s">
        <v>4904</v>
      </c>
      <c r="D80" s="52" t="s">
        <v>1851</v>
      </c>
      <c r="E80" s="52" t="s">
        <v>1850</v>
      </c>
      <c r="F80" s="53" t="s">
        <v>4909</v>
      </c>
      <c r="G80" s="51" t="s">
        <v>4812</v>
      </c>
      <c r="H80" s="54"/>
      <c r="I80" s="55">
        <v>33</v>
      </c>
      <c r="K80" s="51" t="s">
        <v>4904</v>
      </c>
    </row>
    <row r="81" spans="1:11">
      <c r="A81" s="51">
        <v>73</v>
      </c>
      <c r="B81" s="51" t="s">
        <v>4903</v>
      </c>
      <c r="C81" s="51" t="s">
        <v>4904</v>
      </c>
      <c r="D81" s="52" t="s">
        <v>1857</v>
      </c>
      <c r="E81" s="52" t="s">
        <v>1856</v>
      </c>
      <c r="F81" s="53" t="s">
        <v>4910</v>
      </c>
      <c r="G81" s="51" t="s">
        <v>4812</v>
      </c>
      <c r="H81" s="54"/>
      <c r="I81" s="55">
        <v>28</v>
      </c>
      <c r="K81" s="51" t="s">
        <v>4904</v>
      </c>
    </row>
    <row r="82" spans="1:11">
      <c r="A82" s="51">
        <v>74</v>
      </c>
      <c r="B82" s="51" t="s">
        <v>4903</v>
      </c>
      <c r="C82" s="51" t="s">
        <v>4904</v>
      </c>
      <c r="D82" s="52" t="s">
        <v>4911</v>
      </c>
      <c r="E82" s="52"/>
      <c r="F82" s="53"/>
      <c r="G82" s="51" t="s">
        <v>4812</v>
      </c>
      <c r="H82" s="54"/>
      <c r="I82" s="55">
        <v>0</v>
      </c>
      <c r="K82" s="51" t="s">
        <v>4904</v>
      </c>
    </row>
    <row r="83" spans="1:11">
      <c r="A83" s="51">
        <v>75</v>
      </c>
      <c r="B83" s="51" t="s">
        <v>4903</v>
      </c>
      <c r="C83" s="51" t="s">
        <v>4904</v>
      </c>
      <c r="D83" s="52" t="s">
        <v>4912</v>
      </c>
      <c r="E83" s="52"/>
      <c r="F83" s="53"/>
      <c r="G83" s="51" t="s">
        <v>4812</v>
      </c>
      <c r="H83" s="54"/>
      <c r="I83" s="55">
        <v>0</v>
      </c>
      <c r="K83" s="51" t="s">
        <v>4904</v>
      </c>
    </row>
    <row r="84" spans="1:11">
      <c r="A84" s="51">
        <v>76</v>
      </c>
      <c r="B84" s="51" t="s">
        <v>4903</v>
      </c>
      <c r="C84" s="51" t="s">
        <v>4904</v>
      </c>
      <c r="D84" s="52" t="s">
        <v>3785</v>
      </c>
      <c r="E84" s="52" t="s">
        <v>3784</v>
      </c>
      <c r="F84" s="53" t="s">
        <v>100</v>
      </c>
      <c r="G84" s="51" t="s">
        <v>4812</v>
      </c>
      <c r="H84" s="54"/>
      <c r="I84" s="55">
        <v>359</v>
      </c>
      <c r="K84" s="51" t="s">
        <v>4904</v>
      </c>
    </row>
    <row r="85" spans="1:11">
      <c r="A85" s="51">
        <v>77</v>
      </c>
      <c r="B85" s="51" t="s">
        <v>4903</v>
      </c>
      <c r="C85" s="51" t="s">
        <v>4904</v>
      </c>
      <c r="D85" s="52" t="s">
        <v>3789</v>
      </c>
      <c r="E85" s="52" t="s">
        <v>3788</v>
      </c>
      <c r="F85" s="53" t="s">
        <v>100</v>
      </c>
      <c r="G85" s="51" t="s">
        <v>4812</v>
      </c>
      <c r="H85" s="54"/>
      <c r="I85" s="55">
        <v>1174</v>
      </c>
      <c r="K85" s="51" t="s">
        <v>4904</v>
      </c>
    </row>
    <row r="86" spans="1:11">
      <c r="A86" s="51">
        <v>78</v>
      </c>
      <c r="B86" s="51" t="s">
        <v>4903</v>
      </c>
      <c r="C86" s="51" t="s">
        <v>4904</v>
      </c>
      <c r="D86" s="52" t="s">
        <v>4913</v>
      </c>
      <c r="E86" s="52"/>
      <c r="F86" s="53"/>
      <c r="G86" s="51" t="s">
        <v>4812</v>
      </c>
      <c r="H86" s="54"/>
      <c r="I86" s="55">
        <v>0</v>
      </c>
      <c r="K86" s="51" t="s">
        <v>4904</v>
      </c>
    </row>
    <row r="87" spans="1:11">
      <c r="A87" s="51">
        <v>79</v>
      </c>
      <c r="B87" s="51" t="s">
        <v>4903</v>
      </c>
      <c r="C87" s="51" t="s">
        <v>4904</v>
      </c>
      <c r="D87" s="52" t="s">
        <v>4914</v>
      </c>
      <c r="E87" s="52"/>
      <c r="F87" s="53"/>
      <c r="G87" s="51" t="s">
        <v>4812</v>
      </c>
      <c r="H87" s="54"/>
      <c r="I87" s="55">
        <v>0</v>
      </c>
      <c r="K87" s="51" t="s">
        <v>4904</v>
      </c>
    </row>
    <row r="88" spans="1:11">
      <c r="A88" s="51">
        <v>80</v>
      </c>
      <c r="B88" s="51" t="s">
        <v>4903</v>
      </c>
      <c r="C88" s="51" t="s">
        <v>4904</v>
      </c>
      <c r="D88" s="52" t="s">
        <v>4915</v>
      </c>
      <c r="E88" s="52"/>
      <c r="F88" s="53"/>
      <c r="G88" s="51" t="s">
        <v>4812</v>
      </c>
      <c r="H88" s="54"/>
      <c r="I88" s="55">
        <v>0</v>
      </c>
      <c r="K88" s="51" t="s">
        <v>4904</v>
      </c>
    </row>
    <row r="89" spans="1:11">
      <c r="A89" s="51">
        <v>81</v>
      </c>
      <c r="B89" s="51" t="s">
        <v>4903</v>
      </c>
      <c r="C89" s="51" t="s">
        <v>4904</v>
      </c>
      <c r="D89" s="52" t="s">
        <v>4916</v>
      </c>
      <c r="E89" s="52"/>
      <c r="F89" s="53"/>
      <c r="G89" s="51" t="s">
        <v>4812</v>
      </c>
      <c r="H89" s="54"/>
      <c r="I89" s="55">
        <v>0</v>
      </c>
      <c r="K89" s="51" t="s">
        <v>4904</v>
      </c>
    </row>
    <row r="90" spans="1:11">
      <c r="A90" s="57" t="s">
        <v>4917</v>
      </c>
      <c r="B90" s="51"/>
      <c r="C90" s="51" t="s">
        <v>4904</v>
      </c>
      <c r="D90" s="52" t="s">
        <v>959</v>
      </c>
      <c r="E90" s="52"/>
      <c r="F90" s="53"/>
      <c r="G90" s="51" t="s">
        <v>4812</v>
      </c>
      <c r="H90" s="54"/>
      <c r="I90" s="55">
        <v>14</v>
      </c>
      <c r="K90" s="51" t="s">
        <v>4904</v>
      </c>
    </row>
    <row r="91" spans="1:11">
      <c r="A91" s="57" t="s">
        <v>4918</v>
      </c>
      <c r="B91" s="51"/>
      <c r="C91" s="51" t="s">
        <v>4904</v>
      </c>
      <c r="D91" s="52" t="s">
        <v>1055</v>
      </c>
      <c r="E91" s="52"/>
      <c r="F91" s="53"/>
      <c r="G91" s="51" t="s">
        <v>4812</v>
      </c>
      <c r="H91" s="54"/>
      <c r="I91" s="55">
        <v>3</v>
      </c>
      <c r="K91" s="51" t="s">
        <v>4904</v>
      </c>
    </row>
    <row r="92" spans="1:11">
      <c r="A92" s="57" t="s">
        <v>4919</v>
      </c>
      <c r="B92" s="51"/>
      <c r="C92" s="51" t="s">
        <v>4904</v>
      </c>
      <c r="D92" s="52" t="s">
        <v>560</v>
      </c>
      <c r="E92" s="52"/>
      <c r="F92" s="53"/>
      <c r="G92" s="51" t="s">
        <v>4812</v>
      </c>
      <c r="H92" s="54"/>
      <c r="I92" s="55">
        <v>70</v>
      </c>
      <c r="K92" s="51" t="s">
        <v>4904</v>
      </c>
    </row>
    <row r="93" spans="1:11">
      <c r="A93" s="57" t="s">
        <v>4920</v>
      </c>
      <c r="B93" s="51"/>
      <c r="C93" s="51" t="s">
        <v>4904</v>
      </c>
      <c r="D93" s="52" t="s">
        <v>3801</v>
      </c>
      <c r="E93" s="52"/>
      <c r="F93" s="53"/>
      <c r="G93" s="51" t="s">
        <v>4812</v>
      </c>
      <c r="H93" s="54"/>
      <c r="I93" s="55">
        <v>40</v>
      </c>
      <c r="K93" s="51" t="s">
        <v>4904</v>
      </c>
    </row>
    <row r="94" spans="1:11">
      <c r="A94" s="57" t="s">
        <v>4921</v>
      </c>
      <c r="B94" s="51"/>
      <c r="C94" s="51" t="s">
        <v>4904</v>
      </c>
      <c r="D94" s="52" t="s">
        <v>3799</v>
      </c>
      <c r="E94" s="52"/>
      <c r="F94" s="53"/>
      <c r="G94" s="51" t="s">
        <v>4812</v>
      </c>
      <c r="H94" s="54"/>
      <c r="I94" s="55">
        <v>287</v>
      </c>
      <c r="K94" s="51" t="s">
        <v>4904</v>
      </c>
    </row>
    <row r="95" spans="1:11">
      <c r="A95" s="51">
        <v>82</v>
      </c>
      <c r="B95" s="51" t="s">
        <v>4922</v>
      </c>
      <c r="C95" s="51" t="s">
        <v>4923</v>
      </c>
      <c r="D95" s="52" t="s">
        <v>2239</v>
      </c>
      <c r="E95" s="52" t="s">
        <v>2238</v>
      </c>
      <c r="F95" s="53" t="s">
        <v>4839</v>
      </c>
      <c r="G95" s="51" t="s">
        <v>4812</v>
      </c>
      <c r="H95" s="54"/>
      <c r="I95" s="55">
        <v>31</v>
      </c>
      <c r="K95" s="51" t="s">
        <v>4923</v>
      </c>
    </row>
    <row r="96" spans="1:11">
      <c r="A96" s="51">
        <v>83</v>
      </c>
      <c r="B96" s="51" t="s">
        <v>4922</v>
      </c>
      <c r="C96" s="51" t="s">
        <v>4923</v>
      </c>
      <c r="D96" s="52" t="s">
        <v>2254</v>
      </c>
      <c r="E96" s="52" t="s">
        <v>2253</v>
      </c>
      <c r="F96" s="53" t="s">
        <v>4840</v>
      </c>
      <c r="G96" s="51" t="s">
        <v>4812</v>
      </c>
      <c r="H96" s="54"/>
      <c r="I96" s="55">
        <v>51</v>
      </c>
      <c r="K96" s="51" t="s">
        <v>4923</v>
      </c>
    </row>
    <row r="97" spans="1:11">
      <c r="A97" s="51">
        <v>84</v>
      </c>
      <c r="B97" s="51" t="s">
        <v>4922</v>
      </c>
      <c r="C97" s="51" t="s">
        <v>4923</v>
      </c>
      <c r="D97" s="52" t="s">
        <v>2243</v>
      </c>
      <c r="E97" s="52" t="s">
        <v>2242</v>
      </c>
      <c r="F97" s="53" t="s">
        <v>4839</v>
      </c>
      <c r="G97" s="51" t="s">
        <v>4812</v>
      </c>
      <c r="H97" s="54"/>
      <c r="I97" s="55">
        <v>47</v>
      </c>
      <c r="K97" s="51" t="s">
        <v>4923</v>
      </c>
    </row>
    <row r="98" spans="1:11">
      <c r="A98" s="51">
        <v>85</v>
      </c>
      <c r="B98" s="51" t="s">
        <v>4922</v>
      </c>
      <c r="C98" s="51" t="s">
        <v>4923</v>
      </c>
      <c r="D98" s="52" t="s">
        <v>2258</v>
      </c>
      <c r="E98" s="52" t="s">
        <v>2257</v>
      </c>
      <c r="F98" s="53" t="s">
        <v>4840</v>
      </c>
      <c r="G98" s="51" t="s">
        <v>4812</v>
      </c>
      <c r="H98" s="54"/>
      <c r="I98" s="55">
        <v>61</v>
      </c>
      <c r="K98" s="51" t="s">
        <v>4923</v>
      </c>
    </row>
    <row r="99" spans="1:11">
      <c r="A99" s="51">
        <v>86</v>
      </c>
      <c r="B99" s="51" t="s">
        <v>4922</v>
      </c>
      <c r="C99" s="51" t="s">
        <v>4923</v>
      </c>
      <c r="D99" s="52" t="s">
        <v>1428</v>
      </c>
      <c r="E99" s="52" t="s">
        <v>1427</v>
      </c>
      <c r="F99" s="53" t="s">
        <v>4924</v>
      </c>
      <c r="G99" s="51" t="s">
        <v>4812</v>
      </c>
      <c r="H99" s="54"/>
      <c r="I99" s="55">
        <v>14</v>
      </c>
      <c r="K99" s="51" t="s">
        <v>4923</v>
      </c>
    </row>
    <row r="100" spans="1:11">
      <c r="A100" s="51">
        <v>87</v>
      </c>
      <c r="B100" s="51" t="s">
        <v>4922</v>
      </c>
      <c r="C100" s="51" t="s">
        <v>4923</v>
      </c>
      <c r="D100" s="52" t="s">
        <v>1978</v>
      </c>
      <c r="E100" s="52" t="s">
        <v>1977</v>
      </c>
      <c r="F100" s="53" t="s">
        <v>4925</v>
      </c>
      <c r="G100" s="51" t="s">
        <v>4812</v>
      </c>
      <c r="H100" s="54"/>
      <c r="I100" s="55">
        <v>149</v>
      </c>
      <c r="K100" s="51" t="s">
        <v>4923</v>
      </c>
    </row>
    <row r="101" spans="1:11">
      <c r="A101" s="51">
        <v>88</v>
      </c>
      <c r="B101" s="51" t="s">
        <v>4922</v>
      </c>
      <c r="C101" s="51" t="s">
        <v>4923</v>
      </c>
      <c r="D101" s="52" t="s">
        <v>1615</v>
      </c>
      <c r="E101" s="52" t="s">
        <v>1614</v>
      </c>
      <c r="F101" s="53" t="s">
        <v>4926</v>
      </c>
      <c r="G101" s="51" t="s">
        <v>4812</v>
      </c>
      <c r="H101" s="54"/>
      <c r="I101" s="55">
        <v>0</v>
      </c>
      <c r="K101" s="51" t="s">
        <v>4923</v>
      </c>
    </row>
    <row r="102" spans="1:11">
      <c r="A102" s="51">
        <v>89</v>
      </c>
      <c r="B102" s="51" t="s">
        <v>4922</v>
      </c>
      <c r="C102" s="51" t="s">
        <v>4923</v>
      </c>
      <c r="D102" s="52" t="s">
        <v>2450</v>
      </c>
      <c r="E102" s="52" t="s">
        <v>2449</v>
      </c>
      <c r="F102" s="53" t="s">
        <v>4842</v>
      </c>
      <c r="G102" s="51" t="s">
        <v>4812</v>
      </c>
      <c r="H102" s="54"/>
      <c r="I102" s="55">
        <v>1354</v>
      </c>
      <c r="K102" s="51" t="s">
        <v>4923</v>
      </c>
    </row>
    <row r="103" spans="1:11">
      <c r="A103" s="51">
        <v>90</v>
      </c>
      <c r="B103" s="51" t="s">
        <v>4922</v>
      </c>
      <c r="C103" s="51" t="s">
        <v>4923</v>
      </c>
      <c r="D103" s="52" t="s">
        <v>955</v>
      </c>
      <c r="E103" s="52" t="s">
        <v>4927</v>
      </c>
      <c r="F103" s="53" t="s">
        <v>4928</v>
      </c>
      <c r="G103" s="51" t="s">
        <v>4812</v>
      </c>
      <c r="H103" s="54"/>
      <c r="I103" s="55">
        <v>0</v>
      </c>
      <c r="K103" s="51" t="s">
        <v>4923</v>
      </c>
    </row>
    <row r="104" spans="1:11">
      <c r="A104" s="51">
        <v>91</v>
      </c>
      <c r="B104" s="51" t="s">
        <v>4922</v>
      </c>
      <c r="C104" s="51" t="s">
        <v>4923</v>
      </c>
      <c r="D104" s="52" t="s">
        <v>1047</v>
      </c>
      <c r="E104" s="52" t="s">
        <v>4929</v>
      </c>
      <c r="F104" s="53" t="s">
        <v>4930</v>
      </c>
      <c r="G104" s="51" t="s">
        <v>4812</v>
      </c>
      <c r="H104" s="54"/>
      <c r="I104" s="55">
        <v>0</v>
      </c>
      <c r="K104" s="51" t="s">
        <v>4923</v>
      </c>
    </row>
    <row r="105" spans="1:11">
      <c r="A105" s="51">
        <v>92</v>
      </c>
      <c r="B105" s="51" t="s">
        <v>4922</v>
      </c>
      <c r="C105" s="51" t="s">
        <v>4923</v>
      </c>
      <c r="D105" s="52" t="s">
        <v>1051</v>
      </c>
      <c r="E105" s="52" t="s">
        <v>4931</v>
      </c>
      <c r="F105" s="53" t="s">
        <v>4932</v>
      </c>
      <c r="G105" s="51" t="s">
        <v>4812</v>
      </c>
      <c r="H105" s="54"/>
      <c r="I105" s="55">
        <v>0</v>
      </c>
      <c r="K105" s="51" t="s">
        <v>4923</v>
      </c>
    </row>
    <row r="106" spans="1:11">
      <c r="A106" s="51">
        <v>93</v>
      </c>
      <c r="B106" s="51" t="s">
        <v>4922</v>
      </c>
      <c r="C106" s="51" t="s">
        <v>4923</v>
      </c>
      <c r="D106" s="52" t="s">
        <v>1972</v>
      </c>
      <c r="E106" s="52" t="s">
        <v>1971</v>
      </c>
      <c r="F106" s="53" t="s">
        <v>117</v>
      </c>
      <c r="G106" s="51" t="s">
        <v>4812</v>
      </c>
      <c r="H106" s="54"/>
      <c r="I106" s="55">
        <v>391</v>
      </c>
      <c r="K106" s="51" t="s">
        <v>4923</v>
      </c>
    </row>
    <row r="107" spans="1:11">
      <c r="A107" s="51">
        <v>94</v>
      </c>
      <c r="B107" s="51" t="s">
        <v>4922</v>
      </c>
      <c r="C107" s="51" t="s">
        <v>4923</v>
      </c>
      <c r="D107" s="52" t="s">
        <v>1926</v>
      </c>
      <c r="E107" s="52" t="s">
        <v>1925</v>
      </c>
      <c r="F107" s="53" t="s">
        <v>4933</v>
      </c>
      <c r="G107" s="51" t="s">
        <v>4812</v>
      </c>
      <c r="H107" s="54"/>
      <c r="I107" s="55">
        <v>164</v>
      </c>
      <c r="K107" s="51" t="s">
        <v>4923</v>
      </c>
    </row>
    <row r="108" spans="1:11">
      <c r="A108" s="51">
        <v>95</v>
      </c>
      <c r="B108" s="51" t="s">
        <v>4922</v>
      </c>
      <c r="C108" s="51" t="s">
        <v>4923</v>
      </c>
      <c r="D108" s="52" t="s">
        <v>4071</v>
      </c>
      <c r="E108" s="52" t="s">
        <v>4070</v>
      </c>
      <c r="F108" s="53" t="s">
        <v>4934</v>
      </c>
      <c r="G108" s="51" t="s">
        <v>4812</v>
      </c>
      <c r="H108" s="54"/>
      <c r="I108" s="55">
        <v>990</v>
      </c>
      <c r="K108" s="51" t="s">
        <v>4923</v>
      </c>
    </row>
    <row r="109" spans="1:11">
      <c r="A109" s="51">
        <v>96</v>
      </c>
      <c r="B109" s="51" t="s">
        <v>4922</v>
      </c>
      <c r="C109" s="51" t="s">
        <v>4923</v>
      </c>
      <c r="D109" s="52" t="s">
        <v>4913</v>
      </c>
      <c r="E109" s="52" t="s">
        <v>4935</v>
      </c>
      <c r="F109" s="53" t="s">
        <v>4930</v>
      </c>
      <c r="G109" s="51" t="s">
        <v>4812</v>
      </c>
      <c r="H109" s="54"/>
      <c r="I109" s="55">
        <v>72</v>
      </c>
      <c r="K109" s="51" t="s">
        <v>4923</v>
      </c>
    </row>
    <row r="110" spans="1:11">
      <c r="A110" s="51">
        <v>97</v>
      </c>
      <c r="B110" s="51" t="s">
        <v>4922</v>
      </c>
      <c r="C110" s="51" t="s">
        <v>4923</v>
      </c>
      <c r="D110" s="52" t="s">
        <v>1135</v>
      </c>
      <c r="E110" s="52" t="s">
        <v>1134</v>
      </c>
      <c r="F110" s="53" t="s">
        <v>4936</v>
      </c>
      <c r="G110" s="51" t="s">
        <v>4812</v>
      </c>
      <c r="H110" s="54"/>
      <c r="I110" s="55">
        <v>19</v>
      </c>
      <c r="K110" s="51" t="s">
        <v>4923</v>
      </c>
    </row>
    <row r="111" spans="1:11">
      <c r="A111" s="51">
        <v>98</v>
      </c>
      <c r="B111" s="51" t="s">
        <v>4922</v>
      </c>
      <c r="C111" s="51" t="s">
        <v>4923</v>
      </c>
      <c r="D111" s="52" t="s">
        <v>4915</v>
      </c>
      <c r="E111" s="52" t="s">
        <v>4937</v>
      </c>
      <c r="F111" s="53" t="s">
        <v>4932</v>
      </c>
      <c r="G111" s="51" t="s">
        <v>4812</v>
      </c>
      <c r="H111" s="54"/>
      <c r="I111" s="55">
        <v>0</v>
      </c>
      <c r="K111" s="51" t="s">
        <v>4923</v>
      </c>
    </row>
    <row r="112" spans="1:11">
      <c r="A112" s="51">
        <v>99</v>
      </c>
      <c r="B112" s="51" t="s">
        <v>4922</v>
      </c>
      <c r="C112" s="51" t="s">
        <v>4923</v>
      </c>
      <c r="D112" s="52" t="s">
        <v>1200</v>
      </c>
      <c r="E112" s="52" t="s">
        <v>1199</v>
      </c>
      <c r="F112" s="53" t="s">
        <v>4938</v>
      </c>
      <c r="G112" s="51" t="s">
        <v>4812</v>
      </c>
      <c r="H112" s="54"/>
      <c r="I112" s="55">
        <v>80</v>
      </c>
      <c r="K112" s="51" t="s">
        <v>4923</v>
      </c>
    </row>
    <row r="113" spans="1:11">
      <c r="A113" s="51">
        <v>100</v>
      </c>
      <c r="B113" s="51" t="s">
        <v>4939</v>
      </c>
      <c r="C113" s="51" t="s">
        <v>4940</v>
      </c>
      <c r="D113" s="52" t="s">
        <v>4768</v>
      </c>
      <c r="E113" s="52" t="s">
        <v>4767</v>
      </c>
      <c r="F113" s="53" t="s">
        <v>4941</v>
      </c>
      <c r="G113" s="51" t="s">
        <v>4812</v>
      </c>
      <c r="H113" s="54"/>
      <c r="I113" s="55">
        <v>75</v>
      </c>
      <c r="K113" s="51" t="s">
        <v>4940</v>
      </c>
    </row>
    <row r="114" spans="1:11">
      <c r="A114" s="51">
        <v>101</v>
      </c>
      <c r="B114" s="51" t="s">
        <v>4939</v>
      </c>
      <c r="C114" s="51" t="s">
        <v>4940</v>
      </c>
      <c r="D114" s="52" t="s">
        <v>4734</v>
      </c>
      <c r="E114" s="52" t="s">
        <v>4733</v>
      </c>
      <c r="F114" s="53" t="s">
        <v>4942</v>
      </c>
      <c r="G114" s="51" t="s">
        <v>4812</v>
      </c>
      <c r="H114" s="54"/>
      <c r="I114" s="55">
        <v>269</v>
      </c>
      <c r="K114" s="51" t="s">
        <v>4940</v>
      </c>
    </row>
    <row r="115" spans="1:11">
      <c r="A115" s="51">
        <v>102</v>
      </c>
      <c r="B115" s="51" t="s">
        <v>4939</v>
      </c>
      <c r="C115" s="51" t="s">
        <v>4940</v>
      </c>
      <c r="D115" s="52" t="s">
        <v>4736</v>
      </c>
      <c r="E115" s="52" t="s">
        <v>4735</v>
      </c>
      <c r="F115" s="53" t="s">
        <v>4943</v>
      </c>
      <c r="G115" s="51" t="s">
        <v>4812</v>
      </c>
      <c r="H115" s="54"/>
      <c r="I115" s="55">
        <v>313</v>
      </c>
      <c r="K115" s="51" t="s">
        <v>4940</v>
      </c>
    </row>
    <row r="116" spans="1:11">
      <c r="A116" s="51">
        <v>103</v>
      </c>
      <c r="B116" s="51" t="s">
        <v>4939</v>
      </c>
      <c r="C116" s="51" t="s">
        <v>4940</v>
      </c>
      <c r="D116" s="52" t="s">
        <v>4732</v>
      </c>
      <c r="E116" s="52" t="s">
        <v>4731</v>
      </c>
      <c r="F116" s="53" t="s">
        <v>4944</v>
      </c>
      <c r="G116" s="51" t="s">
        <v>4812</v>
      </c>
      <c r="H116" s="54"/>
      <c r="I116" s="55">
        <v>795</v>
      </c>
      <c r="K116" s="51" t="s">
        <v>4940</v>
      </c>
    </row>
    <row r="117" spans="1:11">
      <c r="A117" s="51">
        <v>104</v>
      </c>
      <c r="B117" s="51" t="s">
        <v>4939</v>
      </c>
      <c r="C117" s="51" t="s">
        <v>4940</v>
      </c>
      <c r="D117" s="52" t="s">
        <v>4730</v>
      </c>
      <c r="E117" s="52" t="s">
        <v>4729</v>
      </c>
      <c r="F117" s="53" t="s">
        <v>4945</v>
      </c>
      <c r="G117" s="51" t="s">
        <v>4812</v>
      </c>
      <c r="H117" s="54"/>
      <c r="I117" s="55">
        <v>127</v>
      </c>
      <c r="K117" s="51" t="s">
        <v>4940</v>
      </c>
    </row>
    <row r="118" spans="1:11">
      <c r="A118" s="51">
        <v>105</v>
      </c>
      <c r="B118" s="51" t="s">
        <v>4939</v>
      </c>
      <c r="C118" s="51" t="s">
        <v>4940</v>
      </c>
      <c r="D118" s="52" t="s">
        <v>4750</v>
      </c>
      <c r="E118" s="52" t="s">
        <v>4749</v>
      </c>
      <c r="F118" s="53" t="s">
        <v>4946</v>
      </c>
      <c r="G118" s="51" t="s">
        <v>4812</v>
      </c>
      <c r="H118" s="54"/>
      <c r="I118" s="55">
        <v>496</v>
      </c>
      <c r="K118" s="51" t="s">
        <v>4940</v>
      </c>
    </row>
    <row r="119" spans="1:11">
      <c r="A119" s="51">
        <v>106</v>
      </c>
      <c r="B119" s="51" t="s">
        <v>4939</v>
      </c>
      <c r="C119" s="51" t="s">
        <v>4940</v>
      </c>
      <c r="D119" s="52" t="s">
        <v>4754</v>
      </c>
      <c r="E119" s="52" t="s">
        <v>4753</v>
      </c>
      <c r="F119" s="53" t="s">
        <v>4947</v>
      </c>
      <c r="G119" s="51" t="s">
        <v>4812</v>
      </c>
      <c r="H119" s="54"/>
      <c r="I119" s="55">
        <v>4</v>
      </c>
      <c r="K119" s="51" t="s">
        <v>4940</v>
      </c>
    </row>
    <row r="120" spans="1:11">
      <c r="A120" s="51">
        <v>107</v>
      </c>
      <c r="B120" s="51" t="s">
        <v>4939</v>
      </c>
      <c r="C120" s="51" t="s">
        <v>4940</v>
      </c>
      <c r="D120" s="52" t="s">
        <v>4752</v>
      </c>
      <c r="E120" s="52" t="s">
        <v>4751</v>
      </c>
      <c r="F120" s="53" t="s">
        <v>4948</v>
      </c>
      <c r="G120" s="51" t="s">
        <v>4812</v>
      </c>
      <c r="H120" s="54"/>
      <c r="I120" s="55">
        <v>43</v>
      </c>
      <c r="K120" s="51" t="s">
        <v>4940</v>
      </c>
    </row>
    <row r="121" spans="1:11">
      <c r="A121" s="51">
        <v>108</v>
      </c>
      <c r="B121" s="51" t="s">
        <v>4939</v>
      </c>
      <c r="C121" s="51" t="s">
        <v>4940</v>
      </c>
      <c r="D121" s="52" t="s">
        <v>4756</v>
      </c>
      <c r="E121" s="52" t="s">
        <v>4755</v>
      </c>
      <c r="F121" s="53" t="s">
        <v>4949</v>
      </c>
      <c r="G121" s="51" t="s">
        <v>4812</v>
      </c>
      <c r="H121" s="54"/>
      <c r="I121" s="55">
        <v>97</v>
      </c>
      <c r="K121" s="51" t="s">
        <v>4940</v>
      </c>
    </row>
    <row r="122" spans="1:11">
      <c r="A122" s="51">
        <v>109</v>
      </c>
      <c r="B122" s="51" t="s">
        <v>4939</v>
      </c>
      <c r="C122" s="51" t="s">
        <v>4940</v>
      </c>
      <c r="D122" s="52" t="s">
        <v>4758</v>
      </c>
      <c r="E122" s="52" t="s">
        <v>4757</v>
      </c>
      <c r="F122" s="53" t="s">
        <v>4950</v>
      </c>
      <c r="G122" s="51" t="s">
        <v>4812</v>
      </c>
      <c r="H122" s="54"/>
      <c r="I122" s="55">
        <v>151</v>
      </c>
      <c r="K122" s="51" t="s">
        <v>4940</v>
      </c>
    </row>
    <row r="123" spans="1:11">
      <c r="A123" s="51">
        <v>110</v>
      </c>
      <c r="B123" s="51" t="s">
        <v>4939</v>
      </c>
      <c r="C123" s="51" t="s">
        <v>4940</v>
      </c>
      <c r="D123" s="52" t="s">
        <v>4748</v>
      </c>
      <c r="E123" s="52" t="s">
        <v>4747</v>
      </c>
      <c r="F123" s="53" t="s">
        <v>4951</v>
      </c>
      <c r="G123" s="51" t="s">
        <v>4812</v>
      </c>
      <c r="H123" s="54"/>
      <c r="I123" s="55">
        <v>66</v>
      </c>
      <c r="K123" s="51" t="s">
        <v>4940</v>
      </c>
    </row>
    <row r="124" spans="1:11">
      <c r="A124" s="51">
        <v>111</v>
      </c>
      <c r="B124" s="51" t="s">
        <v>4939</v>
      </c>
      <c r="C124" s="51" t="s">
        <v>4940</v>
      </c>
      <c r="D124" s="52" t="s">
        <v>4760</v>
      </c>
      <c r="E124" s="52" t="s">
        <v>4759</v>
      </c>
      <c r="F124" s="53" t="s">
        <v>4952</v>
      </c>
      <c r="G124" s="51" t="s">
        <v>4812</v>
      </c>
      <c r="H124" s="54"/>
      <c r="I124" s="55">
        <v>46</v>
      </c>
      <c r="K124" s="51" t="s">
        <v>4940</v>
      </c>
    </row>
    <row r="125" spans="1:11">
      <c r="A125" s="51">
        <v>112</v>
      </c>
      <c r="B125" s="51" t="s">
        <v>4939</v>
      </c>
      <c r="C125" s="51" t="s">
        <v>4940</v>
      </c>
      <c r="D125" s="52" t="s">
        <v>4762</v>
      </c>
      <c r="E125" s="52" t="s">
        <v>4761</v>
      </c>
      <c r="F125" s="53" t="s">
        <v>4953</v>
      </c>
      <c r="G125" s="51" t="s">
        <v>4812</v>
      </c>
      <c r="H125" s="54"/>
      <c r="I125" s="55">
        <v>276</v>
      </c>
      <c r="K125" s="51" t="s">
        <v>4940</v>
      </c>
    </row>
    <row r="126" spans="1:11">
      <c r="A126" s="51">
        <v>113</v>
      </c>
      <c r="B126" s="51" t="s">
        <v>4939</v>
      </c>
      <c r="C126" s="51" t="s">
        <v>4940</v>
      </c>
      <c r="D126" s="52" t="s">
        <v>4764</v>
      </c>
      <c r="E126" s="52" t="s">
        <v>4763</v>
      </c>
      <c r="F126" s="53" t="s">
        <v>111</v>
      </c>
      <c r="G126" s="51" t="s">
        <v>4812</v>
      </c>
      <c r="H126" s="54"/>
      <c r="I126" s="55">
        <v>119</v>
      </c>
      <c r="K126" s="51" t="s">
        <v>4940</v>
      </c>
    </row>
    <row r="127" spans="1:11">
      <c r="A127" s="51">
        <v>114</v>
      </c>
      <c r="B127" s="51" t="s">
        <v>4939</v>
      </c>
      <c r="C127" s="51" t="s">
        <v>4940</v>
      </c>
      <c r="D127" s="52" t="s">
        <v>4766</v>
      </c>
      <c r="E127" s="52" t="s">
        <v>4765</v>
      </c>
      <c r="F127" s="53" t="s">
        <v>4954</v>
      </c>
      <c r="G127" s="51" t="s">
        <v>4812</v>
      </c>
      <c r="H127" s="54"/>
      <c r="I127" s="55">
        <v>337</v>
      </c>
      <c r="K127" s="51" t="s">
        <v>4940</v>
      </c>
    </row>
    <row r="128" spans="1:11">
      <c r="A128" s="51">
        <v>115</v>
      </c>
      <c r="B128" s="51" t="s">
        <v>4939</v>
      </c>
      <c r="C128" s="51" t="s">
        <v>4940</v>
      </c>
      <c r="D128" s="52" t="s">
        <v>4746</v>
      </c>
      <c r="E128" s="52" t="s">
        <v>4745</v>
      </c>
      <c r="F128" s="53" t="s">
        <v>4955</v>
      </c>
      <c r="G128" s="51" t="s">
        <v>4812</v>
      </c>
      <c r="H128" s="54"/>
      <c r="I128" s="55">
        <v>205</v>
      </c>
      <c r="K128" s="51" t="s">
        <v>4940</v>
      </c>
    </row>
    <row r="129" spans="1:11">
      <c r="A129" s="51">
        <v>116</v>
      </c>
      <c r="B129" s="51" t="s">
        <v>4939</v>
      </c>
      <c r="C129" s="51" t="s">
        <v>4940</v>
      </c>
      <c r="D129" s="52" t="s">
        <v>4740</v>
      </c>
      <c r="E129" s="52" t="s">
        <v>4739</v>
      </c>
      <c r="F129" s="53" t="s">
        <v>4949</v>
      </c>
      <c r="G129" s="51" t="s">
        <v>4812</v>
      </c>
      <c r="H129" s="54"/>
      <c r="I129" s="55">
        <v>53</v>
      </c>
      <c r="K129" s="51" t="s">
        <v>4940</v>
      </c>
    </row>
    <row r="130" spans="1:11">
      <c r="A130" s="51">
        <v>117</v>
      </c>
      <c r="B130" s="51" t="s">
        <v>4939</v>
      </c>
      <c r="C130" s="51" t="s">
        <v>4940</v>
      </c>
      <c r="D130" s="52" t="s">
        <v>4742</v>
      </c>
      <c r="E130" s="52" t="s">
        <v>4741</v>
      </c>
      <c r="F130" s="53" t="s">
        <v>4956</v>
      </c>
      <c r="G130" s="51" t="s">
        <v>4812</v>
      </c>
      <c r="H130" s="54"/>
      <c r="I130" s="55">
        <v>44</v>
      </c>
      <c r="K130" s="51" t="s">
        <v>4940</v>
      </c>
    </row>
    <row r="131" spans="1:11">
      <c r="A131" s="51">
        <v>118</v>
      </c>
      <c r="B131" s="51" t="s">
        <v>4939</v>
      </c>
      <c r="C131" s="51" t="s">
        <v>4940</v>
      </c>
      <c r="D131" s="52" t="s">
        <v>4744</v>
      </c>
      <c r="E131" s="52" t="s">
        <v>4743</v>
      </c>
      <c r="F131" s="53" t="s">
        <v>4957</v>
      </c>
      <c r="G131" s="51" t="s">
        <v>4812</v>
      </c>
      <c r="H131" s="54"/>
      <c r="I131" s="55">
        <v>73</v>
      </c>
      <c r="K131" s="51" t="s">
        <v>4940</v>
      </c>
    </row>
    <row r="132" spans="1:11">
      <c r="A132" s="51">
        <v>119</v>
      </c>
      <c r="B132" s="51" t="s">
        <v>4939</v>
      </c>
      <c r="C132" s="51" t="s">
        <v>4940</v>
      </c>
      <c r="D132" s="52" t="s">
        <v>4738</v>
      </c>
      <c r="E132" s="52" t="s">
        <v>4737</v>
      </c>
      <c r="F132" s="53" t="s">
        <v>4953</v>
      </c>
      <c r="G132" s="51" t="s">
        <v>4812</v>
      </c>
      <c r="H132" s="54"/>
      <c r="I132" s="55">
        <v>279</v>
      </c>
      <c r="K132" s="51" t="s">
        <v>4940</v>
      </c>
    </row>
    <row r="133" spans="1:11">
      <c r="A133" s="51">
        <v>120</v>
      </c>
      <c r="B133" s="51" t="s">
        <v>4939</v>
      </c>
      <c r="C133" s="51" t="s">
        <v>4940</v>
      </c>
      <c r="D133" s="52" t="s">
        <v>4708</v>
      </c>
      <c r="E133" s="52" t="s">
        <v>4707</v>
      </c>
      <c r="F133" s="53"/>
      <c r="G133" s="51" t="s">
        <v>4812</v>
      </c>
      <c r="H133" s="54"/>
      <c r="I133" s="55">
        <v>115</v>
      </c>
      <c r="K133" s="51" t="s">
        <v>4940</v>
      </c>
    </row>
    <row r="134" spans="1:11">
      <c r="A134" s="51">
        <v>121</v>
      </c>
      <c r="B134" s="51" t="s">
        <v>4939</v>
      </c>
      <c r="C134" s="51" t="s">
        <v>4940</v>
      </c>
      <c r="D134" s="52" t="s">
        <v>4958</v>
      </c>
      <c r="E134" s="52" t="s">
        <v>4959</v>
      </c>
      <c r="F134" s="53" t="s">
        <v>4960</v>
      </c>
      <c r="G134" s="51" t="s">
        <v>4812</v>
      </c>
      <c r="H134" s="54"/>
      <c r="I134" s="55">
        <v>0</v>
      </c>
      <c r="K134" s="51" t="s">
        <v>4940</v>
      </c>
    </row>
    <row r="135" spans="1:11">
      <c r="A135" s="51">
        <v>122</v>
      </c>
      <c r="B135" s="51" t="s">
        <v>4939</v>
      </c>
      <c r="C135" s="51" t="s">
        <v>4940</v>
      </c>
      <c r="D135" s="52" t="s">
        <v>4961</v>
      </c>
      <c r="E135" s="52" t="s">
        <v>4962</v>
      </c>
      <c r="F135" s="53" t="s">
        <v>4963</v>
      </c>
      <c r="G135" s="51" t="s">
        <v>4812</v>
      </c>
      <c r="H135" s="54"/>
      <c r="I135" s="55">
        <v>0</v>
      </c>
      <c r="K135" s="51" t="s">
        <v>4940</v>
      </c>
    </row>
    <row r="136" spans="1:11">
      <c r="A136" s="51">
        <v>123</v>
      </c>
      <c r="B136" s="51" t="s">
        <v>4939</v>
      </c>
      <c r="C136" s="51" t="s">
        <v>4940</v>
      </c>
      <c r="D136" s="52" t="s">
        <v>4964</v>
      </c>
      <c r="E136" s="52" t="s">
        <v>4965</v>
      </c>
      <c r="F136" s="53" t="s">
        <v>4966</v>
      </c>
      <c r="G136" s="51" t="s">
        <v>4812</v>
      </c>
      <c r="H136" s="54"/>
      <c r="I136" s="55">
        <v>0</v>
      </c>
      <c r="K136" s="51" t="s">
        <v>4940</v>
      </c>
    </row>
    <row r="137" spans="1:11">
      <c r="A137" s="51">
        <v>124</v>
      </c>
      <c r="B137" s="51" t="s">
        <v>4967</v>
      </c>
      <c r="C137" s="51" t="s">
        <v>4968</v>
      </c>
      <c r="D137" s="52" t="s">
        <v>4073</v>
      </c>
      <c r="E137" s="52" t="s">
        <v>4072</v>
      </c>
      <c r="F137" s="53" t="s">
        <v>4838</v>
      </c>
      <c r="G137" s="51" t="s">
        <v>4812</v>
      </c>
      <c r="H137" s="54"/>
      <c r="I137" s="55">
        <v>0</v>
      </c>
      <c r="K137" s="51" t="s">
        <v>4968</v>
      </c>
    </row>
    <row r="138" spans="1:11">
      <c r="A138" s="51">
        <v>125</v>
      </c>
      <c r="B138" s="51" t="s">
        <v>4967</v>
      </c>
      <c r="C138" s="51" t="s">
        <v>4968</v>
      </c>
      <c r="D138" s="52" t="s">
        <v>4969</v>
      </c>
      <c r="E138" s="52"/>
      <c r="F138" s="53"/>
      <c r="G138" s="51" t="s">
        <v>4812</v>
      </c>
      <c r="H138" s="54"/>
      <c r="I138" s="55">
        <v>0</v>
      </c>
      <c r="K138" s="51" t="s">
        <v>4968</v>
      </c>
    </row>
    <row r="139" spans="1:11">
      <c r="A139" s="51">
        <v>126</v>
      </c>
      <c r="B139" s="51" t="s">
        <v>4967</v>
      </c>
      <c r="C139" s="51" t="s">
        <v>4968</v>
      </c>
      <c r="D139" s="52" t="s">
        <v>3775</v>
      </c>
      <c r="E139" s="52" t="s">
        <v>3774</v>
      </c>
      <c r="F139" s="53" t="s">
        <v>4970</v>
      </c>
      <c r="G139" s="51" t="s">
        <v>4812</v>
      </c>
      <c r="H139" s="54"/>
      <c r="I139" s="55">
        <v>6</v>
      </c>
      <c r="K139" s="51" t="s">
        <v>4968</v>
      </c>
    </row>
    <row r="140" spans="1:11">
      <c r="A140" s="51">
        <v>127</v>
      </c>
      <c r="B140" s="51" t="s">
        <v>4967</v>
      </c>
      <c r="C140" s="51" t="s">
        <v>4968</v>
      </c>
      <c r="D140" s="52" t="s">
        <v>3777</v>
      </c>
      <c r="E140" s="52" t="s">
        <v>3776</v>
      </c>
      <c r="F140" s="53" t="s">
        <v>4971</v>
      </c>
      <c r="G140" s="51" t="s">
        <v>4812</v>
      </c>
      <c r="H140" s="54"/>
      <c r="I140" s="55">
        <v>11</v>
      </c>
      <c r="K140" s="51" t="s">
        <v>4968</v>
      </c>
    </row>
    <row r="141" spans="1:11">
      <c r="A141" s="51">
        <v>128</v>
      </c>
      <c r="B141" s="51" t="s">
        <v>4967</v>
      </c>
      <c r="C141" s="51" t="s">
        <v>4968</v>
      </c>
      <c r="D141" s="52" t="s">
        <v>4041</v>
      </c>
      <c r="E141" s="52" t="s">
        <v>4040</v>
      </c>
      <c r="F141" s="53" t="s">
        <v>4972</v>
      </c>
      <c r="G141" s="51" t="s">
        <v>4812</v>
      </c>
      <c r="H141" s="54"/>
      <c r="I141" s="55">
        <v>203</v>
      </c>
      <c r="K141" s="51" t="s">
        <v>4968</v>
      </c>
    </row>
    <row r="142" spans="1:11">
      <c r="A142" s="51">
        <v>129</v>
      </c>
      <c r="B142" s="51" t="s">
        <v>4973</v>
      </c>
      <c r="C142" s="51" t="s">
        <v>4974</v>
      </c>
      <c r="D142" s="52" t="s">
        <v>2225</v>
      </c>
      <c r="E142" s="52" t="s">
        <v>4975</v>
      </c>
      <c r="F142" s="53" t="s">
        <v>4976</v>
      </c>
      <c r="G142" s="51" t="s">
        <v>4812</v>
      </c>
      <c r="H142" s="54"/>
      <c r="I142" s="55">
        <v>477900</v>
      </c>
      <c r="K142" s="51" t="s">
        <v>4974</v>
      </c>
    </row>
    <row r="143" spans="1:11">
      <c r="A143" s="51">
        <v>130</v>
      </c>
      <c r="B143" s="51" t="s">
        <v>4973</v>
      </c>
      <c r="C143" s="51" t="s">
        <v>4974</v>
      </c>
      <c r="D143" s="52" t="s">
        <v>2229</v>
      </c>
      <c r="E143" s="52" t="s">
        <v>4977</v>
      </c>
      <c r="F143" s="53" t="s">
        <v>4976</v>
      </c>
      <c r="G143" s="51" t="s">
        <v>4812</v>
      </c>
      <c r="H143" s="54"/>
      <c r="I143" s="55">
        <v>181520</v>
      </c>
      <c r="K143" s="51" t="s">
        <v>4974</v>
      </c>
    </row>
    <row r="144" spans="1:11">
      <c r="A144" s="51">
        <v>131</v>
      </c>
      <c r="B144" s="51" t="s">
        <v>4973</v>
      </c>
      <c r="C144" s="51" t="s">
        <v>4974</v>
      </c>
      <c r="D144" s="52" t="s">
        <v>4011</v>
      </c>
      <c r="E144" s="52" t="s">
        <v>4978</v>
      </c>
      <c r="F144" s="53" t="s">
        <v>4979</v>
      </c>
      <c r="G144" s="51" t="s">
        <v>4812</v>
      </c>
      <c r="H144" s="54"/>
      <c r="I144" s="55">
        <v>5735</v>
      </c>
      <c r="K144" s="51" t="s">
        <v>4974</v>
      </c>
    </row>
    <row r="145" spans="1:11">
      <c r="A145" s="51">
        <v>132</v>
      </c>
      <c r="B145" s="51" t="s">
        <v>4973</v>
      </c>
      <c r="C145" s="51" t="s">
        <v>4974</v>
      </c>
      <c r="D145" s="52" t="s">
        <v>1784</v>
      </c>
      <c r="E145" s="52" t="s">
        <v>4980</v>
      </c>
      <c r="F145" s="53" t="s">
        <v>4981</v>
      </c>
      <c r="G145" s="51" t="s">
        <v>4812</v>
      </c>
      <c r="H145" s="54"/>
      <c r="I145" s="55">
        <v>1060</v>
      </c>
      <c r="K145" s="51" t="s">
        <v>4974</v>
      </c>
    </row>
    <row r="146" spans="1:11">
      <c r="A146" s="51">
        <v>133</v>
      </c>
      <c r="B146" s="51" t="s">
        <v>4973</v>
      </c>
      <c r="C146" s="51" t="s">
        <v>4974</v>
      </c>
      <c r="D146" s="52" t="s">
        <v>1801</v>
      </c>
      <c r="E146" s="52" t="s">
        <v>4982</v>
      </c>
      <c r="F146" s="53" t="s">
        <v>4983</v>
      </c>
      <c r="G146" s="51" t="s">
        <v>4812</v>
      </c>
      <c r="H146" s="54"/>
      <c r="I146" s="55">
        <v>1326</v>
      </c>
      <c r="K146" s="51" t="s">
        <v>4974</v>
      </c>
    </row>
    <row r="147" spans="1:11">
      <c r="A147" s="51">
        <v>134</v>
      </c>
      <c r="B147" s="51" t="s">
        <v>4973</v>
      </c>
      <c r="C147" s="51" t="s">
        <v>4974</v>
      </c>
      <c r="D147" s="52" t="s">
        <v>68</v>
      </c>
      <c r="E147" s="52" t="s">
        <v>30</v>
      </c>
      <c r="F147" s="53" t="s">
        <v>104</v>
      </c>
      <c r="G147" s="51" t="s">
        <v>4812</v>
      </c>
      <c r="H147" s="54"/>
      <c r="I147" s="55">
        <v>100000</v>
      </c>
      <c r="K147" s="51" t="s">
        <v>4974</v>
      </c>
    </row>
    <row r="148" spans="1:11">
      <c r="A148" s="51">
        <v>135</v>
      </c>
      <c r="B148" s="51" t="s">
        <v>4973</v>
      </c>
      <c r="C148" s="51" t="s">
        <v>4974</v>
      </c>
      <c r="D148" s="52" t="s">
        <v>69</v>
      </c>
      <c r="E148" s="52" t="s">
        <v>31</v>
      </c>
      <c r="F148" s="53" t="s">
        <v>104</v>
      </c>
      <c r="G148" s="51" t="s">
        <v>4812</v>
      </c>
      <c r="H148" s="54"/>
      <c r="I148" s="55">
        <v>452800</v>
      </c>
      <c r="K148" s="51" t="s">
        <v>4974</v>
      </c>
    </row>
    <row r="149" spans="1:11">
      <c r="A149" s="51">
        <v>136</v>
      </c>
      <c r="B149" s="51" t="s">
        <v>4973</v>
      </c>
      <c r="C149" s="51" t="s">
        <v>4974</v>
      </c>
      <c r="D149" s="52" t="s">
        <v>70</v>
      </c>
      <c r="E149" s="52" t="s">
        <v>4984</v>
      </c>
      <c r="F149" s="53" t="s">
        <v>104</v>
      </c>
      <c r="G149" s="51" t="s">
        <v>4812</v>
      </c>
      <c r="H149" s="54"/>
      <c r="I149" s="55">
        <v>149000</v>
      </c>
      <c r="K149" s="51" t="s">
        <v>4974</v>
      </c>
    </row>
    <row r="150" spans="1:11">
      <c r="A150" s="51">
        <v>137</v>
      </c>
      <c r="B150" s="51" t="s">
        <v>4973</v>
      </c>
      <c r="C150" s="51" t="s">
        <v>4974</v>
      </c>
      <c r="D150" s="52" t="s">
        <v>71</v>
      </c>
      <c r="E150" s="52" t="s">
        <v>4985</v>
      </c>
      <c r="F150" s="53" t="s">
        <v>104</v>
      </c>
      <c r="G150" s="51" t="s">
        <v>4812</v>
      </c>
      <c r="H150" s="54"/>
      <c r="I150" s="55">
        <v>175900</v>
      </c>
      <c r="K150" s="51" t="s">
        <v>4974</v>
      </c>
    </row>
    <row r="151" spans="1:11">
      <c r="A151" s="51">
        <v>138</v>
      </c>
      <c r="B151" s="51" t="s">
        <v>4973</v>
      </c>
      <c r="C151" s="51" t="s">
        <v>4974</v>
      </c>
      <c r="D151" s="52" t="s">
        <v>72</v>
      </c>
      <c r="E151" s="52" t="s">
        <v>4986</v>
      </c>
      <c r="F151" s="53" t="s">
        <v>104</v>
      </c>
      <c r="G151" s="51" t="s">
        <v>4812</v>
      </c>
      <c r="H151" s="54"/>
      <c r="I151" s="55">
        <v>164100</v>
      </c>
      <c r="K151" s="51" t="s">
        <v>4974</v>
      </c>
    </row>
    <row r="152" spans="1:11">
      <c r="A152" s="51">
        <v>139</v>
      </c>
      <c r="B152" s="51" t="s">
        <v>4973</v>
      </c>
      <c r="C152" s="51" t="s">
        <v>4974</v>
      </c>
      <c r="D152" s="52" t="s">
        <v>73</v>
      </c>
      <c r="E152" s="52" t="s">
        <v>4987</v>
      </c>
      <c r="F152" s="53" t="s">
        <v>104</v>
      </c>
      <c r="G152" s="51" t="s">
        <v>4812</v>
      </c>
      <c r="H152" s="54"/>
      <c r="I152" s="55">
        <v>185000</v>
      </c>
      <c r="K152" s="51" t="s">
        <v>4974</v>
      </c>
    </row>
    <row r="153" spans="1:11">
      <c r="A153" s="51">
        <v>140</v>
      </c>
      <c r="B153" s="51" t="s">
        <v>4973</v>
      </c>
      <c r="C153" s="51" t="s">
        <v>4974</v>
      </c>
      <c r="D153" s="52" t="s">
        <v>3901</v>
      </c>
      <c r="E153" s="52" t="s">
        <v>4988</v>
      </c>
      <c r="F153" s="53" t="s">
        <v>104</v>
      </c>
      <c r="G153" s="51" t="s">
        <v>4812</v>
      </c>
      <c r="H153" s="54"/>
      <c r="I153" s="55">
        <v>76500</v>
      </c>
      <c r="K153" s="51" t="s">
        <v>4974</v>
      </c>
    </row>
    <row r="154" spans="1:11">
      <c r="A154" s="51">
        <v>141</v>
      </c>
      <c r="B154" s="51" t="s">
        <v>4973</v>
      </c>
      <c r="C154" s="51" t="s">
        <v>4974</v>
      </c>
      <c r="D154" s="52" t="s">
        <v>3903</v>
      </c>
      <c r="E154" s="52" t="s">
        <v>3902</v>
      </c>
      <c r="F154" s="53" t="s">
        <v>104</v>
      </c>
      <c r="G154" s="51" t="s">
        <v>4812</v>
      </c>
      <c r="H154" s="54"/>
      <c r="I154" s="55">
        <v>47400</v>
      </c>
      <c r="K154" s="51" t="s">
        <v>4974</v>
      </c>
    </row>
    <row r="155" spans="1:11">
      <c r="A155" s="51">
        <v>142</v>
      </c>
      <c r="B155" s="51" t="s">
        <v>4989</v>
      </c>
      <c r="C155" s="51" t="s">
        <v>4990</v>
      </c>
      <c r="D155" s="52" t="s">
        <v>4075</v>
      </c>
      <c r="E155" s="52" t="s">
        <v>4074</v>
      </c>
      <c r="F155" s="53" t="s">
        <v>4991</v>
      </c>
      <c r="G155" s="51" t="s">
        <v>4812</v>
      </c>
      <c r="H155" s="54"/>
      <c r="I155" s="55">
        <v>389</v>
      </c>
      <c r="K155" s="51" t="s">
        <v>4990</v>
      </c>
    </row>
    <row r="156" spans="1:11">
      <c r="A156" s="51">
        <v>143</v>
      </c>
      <c r="B156" s="51" t="s">
        <v>4989</v>
      </c>
      <c r="C156" s="51" t="s">
        <v>4990</v>
      </c>
      <c r="D156" s="52" t="s">
        <v>4077</v>
      </c>
      <c r="E156" s="52" t="s">
        <v>4076</v>
      </c>
      <c r="F156" s="53" t="s">
        <v>4991</v>
      </c>
      <c r="G156" s="51" t="s">
        <v>4812</v>
      </c>
      <c r="H156" s="54"/>
      <c r="I156" s="55">
        <v>120</v>
      </c>
      <c r="K156" s="51" t="s">
        <v>4990</v>
      </c>
    </row>
    <row r="157" spans="1:11">
      <c r="A157" s="51">
        <v>144</v>
      </c>
      <c r="B157" s="51" t="s">
        <v>4989</v>
      </c>
      <c r="C157" s="51" t="s">
        <v>4990</v>
      </c>
      <c r="D157" s="52" t="s">
        <v>1469</v>
      </c>
      <c r="E157" s="52" t="s">
        <v>1468</v>
      </c>
      <c r="F157" s="53" t="s">
        <v>4992</v>
      </c>
      <c r="G157" s="51" t="s">
        <v>4812</v>
      </c>
      <c r="H157" s="54"/>
      <c r="I157" s="55">
        <v>58</v>
      </c>
      <c r="K157" s="51" t="s">
        <v>4990</v>
      </c>
    </row>
    <row r="158" spans="1:11">
      <c r="A158" s="51">
        <v>145</v>
      </c>
      <c r="B158" s="51" t="s">
        <v>4989</v>
      </c>
      <c r="C158" s="51" t="s">
        <v>4990</v>
      </c>
      <c r="D158" s="52" t="s">
        <v>1435</v>
      </c>
      <c r="E158" s="52" t="s">
        <v>1434</v>
      </c>
      <c r="F158" s="53" t="s">
        <v>4993</v>
      </c>
      <c r="G158" s="51" t="s">
        <v>4812</v>
      </c>
      <c r="H158" s="54"/>
      <c r="I158" s="55">
        <v>38</v>
      </c>
      <c r="K158" s="51" t="s">
        <v>4990</v>
      </c>
    </row>
    <row r="159" spans="1:11">
      <c r="A159" s="51">
        <v>146</v>
      </c>
      <c r="B159" s="51" t="s">
        <v>4989</v>
      </c>
      <c r="C159" s="51" t="s">
        <v>4990</v>
      </c>
      <c r="D159" s="52" t="s">
        <v>1467</v>
      </c>
      <c r="E159" s="52" t="s">
        <v>1466</v>
      </c>
      <c r="F159" s="53" t="s">
        <v>4992</v>
      </c>
      <c r="G159" s="51" t="s">
        <v>4812</v>
      </c>
      <c r="H159" s="54"/>
      <c r="I159" s="55">
        <v>32</v>
      </c>
      <c r="K159" s="51" t="s">
        <v>4990</v>
      </c>
    </row>
    <row r="160" spans="1:11">
      <c r="A160" s="51">
        <v>147</v>
      </c>
      <c r="B160" s="51" t="s">
        <v>4989</v>
      </c>
      <c r="C160" s="51" t="s">
        <v>4990</v>
      </c>
      <c r="D160" s="52" t="s">
        <v>1437</v>
      </c>
      <c r="E160" s="52" t="s">
        <v>1436</v>
      </c>
      <c r="F160" s="53" t="s">
        <v>4993</v>
      </c>
      <c r="G160" s="51" t="s">
        <v>4812</v>
      </c>
      <c r="H160" s="54"/>
      <c r="I160" s="55">
        <v>77</v>
      </c>
      <c r="K160" s="51" t="s">
        <v>4990</v>
      </c>
    </row>
    <row r="161" spans="1:11">
      <c r="A161" s="51">
        <v>148</v>
      </c>
      <c r="B161" s="51" t="s">
        <v>4989</v>
      </c>
      <c r="C161" s="51" t="s">
        <v>4990</v>
      </c>
      <c r="D161" s="52" t="s">
        <v>3382</v>
      </c>
      <c r="E161" s="52" t="s">
        <v>3381</v>
      </c>
      <c r="F161" s="53" t="s">
        <v>4994</v>
      </c>
      <c r="G161" s="51" t="s">
        <v>4812</v>
      </c>
      <c r="H161" s="54"/>
      <c r="I161" s="55">
        <v>0</v>
      </c>
      <c r="K161" s="51" t="s">
        <v>4990</v>
      </c>
    </row>
    <row r="162" spans="1:11">
      <c r="A162" s="51">
        <v>149</v>
      </c>
      <c r="B162" s="51" t="s">
        <v>4989</v>
      </c>
      <c r="C162" s="51" t="s">
        <v>4990</v>
      </c>
      <c r="D162" s="52" t="s">
        <v>3352</v>
      </c>
      <c r="E162" s="52" t="s">
        <v>3351</v>
      </c>
      <c r="F162" s="53" t="s">
        <v>4995</v>
      </c>
      <c r="G162" s="51" t="s">
        <v>4812</v>
      </c>
      <c r="H162" s="54"/>
      <c r="I162" s="55">
        <v>0</v>
      </c>
      <c r="K162" s="51" t="s">
        <v>4990</v>
      </c>
    </row>
    <row r="163" spans="1:11">
      <c r="A163" s="51">
        <v>150</v>
      </c>
      <c r="B163" s="51" t="s">
        <v>4989</v>
      </c>
      <c r="C163" s="51" t="s">
        <v>4990</v>
      </c>
      <c r="D163" s="52" t="s">
        <v>3805</v>
      </c>
      <c r="E163" s="52" t="s">
        <v>3804</v>
      </c>
      <c r="F163" s="53" t="s">
        <v>100</v>
      </c>
      <c r="G163" s="51" t="s">
        <v>4812</v>
      </c>
      <c r="H163" s="54"/>
      <c r="I163" s="55">
        <v>385</v>
      </c>
      <c r="K163" s="51" t="s">
        <v>4990</v>
      </c>
    </row>
    <row r="164" spans="1:11">
      <c r="A164" s="51">
        <v>151</v>
      </c>
      <c r="B164" s="51" t="s">
        <v>4989</v>
      </c>
      <c r="C164" s="51" t="s">
        <v>4990</v>
      </c>
      <c r="D164" s="52" t="s">
        <v>4996</v>
      </c>
      <c r="E164" s="52" t="s">
        <v>4997</v>
      </c>
      <c r="F164" s="53" t="s">
        <v>4998</v>
      </c>
      <c r="G164" s="51" t="s">
        <v>4812</v>
      </c>
      <c r="H164" s="54"/>
      <c r="I164" s="55">
        <v>420</v>
      </c>
      <c r="K164" s="51" t="s">
        <v>4990</v>
      </c>
    </row>
    <row r="165" spans="1:11">
      <c r="A165" s="51">
        <v>152</v>
      </c>
      <c r="B165" s="51" t="s">
        <v>4989</v>
      </c>
      <c r="C165" s="51" t="s">
        <v>4990</v>
      </c>
      <c r="D165" s="52" t="s">
        <v>4999</v>
      </c>
      <c r="E165" s="52" t="s">
        <v>5000</v>
      </c>
      <c r="F165" s="53" t="s">
        <v>5001</v>
      </c>
      <c r="G165" s="51" t="s">
        <v>4812</v>
      </c>
      <c r="H165" s="54"/>
      <c r="I165" s="55">
        <v>322</v>
      </c>
      <c r="K165" s="51" t="s">
        <v>4990</v>
      </c>
    </row>
    <row r="166" spans="1:11">
      <c r="A166" s="51">
        <v>153</v>
      </c>
      <c r="B166" s="51" t="s">
        <v>4989</v>
      </c>
      <c r="C166" s="51" t="s">
        <v>4990</v>
      </c>
      <c r="D166" s="52" t="s">
        <v>5002</v>
      </c>
      <c r="E166" s="52" t="s">
        <v>5003</v>
      </c>
      <c r="F166" s="53" t="s">
        <v>5004</v>
      </c>
      <c r="G166" s="51" t="s">
        <v>4812</v>
      </c>
      <c r="H166" s="54"/>
      <c r="I166" s="55">
        <v>167</v>
      </c>
      <c r="K166" s="51" t="s">
        <v>4990</v>
      </c>
    </row>
    <row r="167" spans="1:11">
      <c r="A167" s="51">
        <v>154</v>
      </c>
      <c r="B167" s="51" t="s">
        <v>4989</v>
      </c>
      <c r="C167" s="51" t="s">
        <v>4990</v>
      </c>
      <c r="D167" s="52" t="s">
        <v>5005</v>
      </c>
      <c r="E167" s="52" t="s">
        <v>5006</v>
      </c>
      <c r="F167" s="53" t="s">
        <v>5007</v>
      </c>
      <c r="G167" s="51" t="s">
        <v>4812</v>
      </c>
      <c r="H167" s="54"/>
      <c r="I167" s="55">
        <v>173</v>
      </c>
      <c r="K167" s="51" t="s">
        <v>4990</v>
      </c>
    </row>
    <row r="168" spans="1:11">
      <c r="A168" s="51">
        <v>155</v>
      </c>
      <c r="B168" s="51" t="s">
        <v>4989</v>
      </c>
      <c r="C168" s="51" t="s">
        <v>4990</v>
      </c>
      <c r="D168" s="52" t="s">
        <v>5008</v>
      </c>
      <c r="E168" s="52" t="s">
        <v>5009</v>
      </c>
      <c r="F168" s="53" t="s">
        <v>5010</v>
      </c>
      <c r="G168" s="51" t="s">
        <v>4812</v>
      </c>
      <c r="H168" s="54"/>
      <c r="I168" s="55">
        <v>238</v>
      </c>
      <c r="K168" s="51" t="s">
        <v>4990</v>
      </c>
    </row>
    <row r="169" spans="1:11">
      <c r="A169" s="51">
        <v>156</v>
      </c>
      <c r="B169" s="51" t="s">
        <v>4989</v>
      </c>
      <c r="C169" s="51" t="s">
        <v>4990</v>
      </c>
      <c r="D169" s="52" t="s">
        <v>5011</v>
      </c>
      <c r="E169" s="52" t="s">
        <v>5012</v>
      </c>
      <c r="F169" s="53" t="s">
        <v>5013</v>
      </c>
      <c r="G169" s="51" t="s">
        <v>4812</v>
      </c>
      <c r="H169" s="54"/>
      <c r="I169" s="55">
        <v>401</v>
      </c>
      <c r="K169" s="51" t="s">
        <v>4990</v>
      </c>
    </row>
    <row r="170" spans="1:11">
      <c r="A170" s="51">
        <v>157</v>
      </c>
      <c r="B170" s="51" t="s">
        <v>5014</v>
      </c>
      <c r="C170" s="51" t="s">
        <v>5015</v>
      </c>
      <c r="D170" s="52" t="s">
        <v>267</v>
      </c>
      <c r="E170" s="52" t="s">
        <v>266</v>
      </c>
      <c r="F170" s="53" t="s">
        <v>5016</v>
      </c>
      <c r="G170" s="51" t="s">
        <v>4812</v>
      </c>
      <c r="H170" s="54"/>
      <c r="I170" s="55">
        <v>96</v>
      </c>
      <c r="K170" s="51" t="s">
        <v>5015</v>
      </c>
    </row>
    <row r="171" spans="1:11">
      <c r="A171" s="51">
        <v>158</v>
      </c>
      <c r="B171" s="51" t="s">
        <v>5014</v>
      </c>
      <c r="C171" s="51" t="s">
        <v>5015</v>
      </c>
      <c r="D171" s="52" t="s">
        <v>267</v>
      </c>
      <c r="E171" s="52" t="s">
        <v>266</v>
      </c>
      <c r="F171" s="53" t="s">
        <v>5016</v>
      </c>
      <c r="G171" s="51" t="s">
        <v>4812</v>
      </c>
      <c r="H171" s="54"/>
      <c r="I171" s="55">
        <v>0</v>
      </c>
      <c r="K171" s="51" t="s">
        <v>5015</v>
      </c>
    </row>
    <row r="172" spans="1:11">
      <c r="A172" s="51">
        <v>159</v>
      </c>
      <c r="B172" s="51" t="s">
        <v>5014</v>
      </c>
      <c r="C172" s="51" t="s">
        <v>5015</v>
      </c>
      <c r="D172" s="52" t="s">
        <v>267</v>
      </c>
      <c r="E172" s="52" t="s">
        <v>266</v>
      </c>
      <c r="F172" s="53" t="s">
        <v>5016</v>
      </c>
      <c r="G172" s="51" t="s">
        <v>4812</v>
      </c>
      <c r="H172" s="54"/>
      <c r="I172" s="55">
        <v>0</v>
      </c>
      <c r="K172" s="51" t="s">
        <v>5015</v>
      </c>
    </row>
    <row r="173" spans="1:11">
      <c r="A173" s="51">
        <v>160</v>
      </c>
      <c r="B173" s="51" t="s">
        <v>5014</v>
      </c>
      <c r="C173" s="51" t="s">
        <v>5015</v>
      </c>
      <c r="D173" s="52" t="s">
        <v>267</v>
      </c>
      <c r="E173" s="52" t="s">
        <v>266</v>
      </c>
      <c r="F173" s="53" t="s">
        <v>5016</v>
      </c>
      <c r="G173" s="51" t="s">
        <v>4812</v>
      </c>
      <c r="H173" s="54"/>
      <c r="I173" s="55">
        <v>0</v>
      </c>
      <c r="K173" s="51" t="s">
        <v>5015</v>
      </c>
    </row>
    <row r="174" spans="1:11">
      <c r="A174" s="51">
        <v>161</v>
      </c>
      <c r="B174" s="51" t="s">
        <v>5014</v>
      </c>
      <c r="C174" s="51" t="s">
        <v>5015</v>
      </c>
      <c r="D174" s="52" t="s">
        <v>267</v>
      </c>
      <c r="E174" s="52" t="s">
        <v>266</v>
      </c>
      <c r="F174" s="53" t="s">
        <v>5016</v>
      </c>
      <c r="G174" s="51" t="s">
        <v>4812</v>
      </c>
      <c r="H174" s="54"/>
      <c r="I174" s="55">
        <v>0</v>
      </c>
      <c r="K174" s="51" t="s">
        <v>5015</v>
      </c>
    </row>
    <row r="175" spans="1:11">
      <c r="A175" s="51">
        <v>162</v>
      </c>
      <c r="B175" s="51" t="s">
        <v>5014</v>
      </c>
      <c r="C175" s="51" t="s">
        <v>5015</v>
      </c>
      <c r="D175" s="52" t="s">
        <v>285</v>
      </c>
      <c r="E175" s="52" t="s">
        <v>284</v>
      </c>
      <c r="F175" s="53" t="s">
        <v>5017</v>
      </c>
      <c r="G175" s="51" t="s">
        <v>4812</v>
      </c>
      <c r="H175" s="54"/>
      <c r="I175" s="55">
        <v>84</v>
      </c>
      <c r="K175" s="51" t="s">
        <v>5015</v>
      </c>
    </row>
    <row r="176" spans="1:11">
      <c r="A176" s="51">
        <v>163</v>
      </c>
      <c r="B176" s="51" t="s">
        <v>5014</v>
      </c>
      <c r="C176" s="51" t="s">
        <v>5015</v>
      </c>
      <c r="D176" s="52" t="s">
        <v>285</v>
      </c>
      <c r="E176" s="52" t="s">
        <v>284</v>
      </c>
      <c r="F176" s="53" t="s">
        <v>5017</v>
      </c>
      <c r="G176" s="51" t="s">
        <v>4812</v>
      </c>
      <c r="H176" s="54"/>
      <c r="I176" s="55">
        <v>0</v>
      </c>
      <c r="K176" s="51" t="s">
        <v>5015</v>
      </c>
    </row>
    <row r="177" spans="1:11">
      <c r="A177" s="51">
        <v>164</v>
      </c>
      <c r="B177" s="51" t="s">
        <v>5014</v>
      </c>
      <c r="C177" s="51" t="s">
        <v>5015</v>
      </c>
      <c r="D177" s="52" t="s">
        <v>285</v>
      </c>
      <c r="E177" s="52" t="s">
        <v>284</v>
      </c>
      <c r="F177" s="53" t="s">
        <v>5017</v>
      </c>
      <c r="G177" s="51" t="s">
        <v>4812</v>
      </c>
      <c r="H177" s="54"/>
      <c r="I177" s="55">
        <v>0</v>
      </c>
      <c r="K177" s="51" t="s">
        <v>5015</v>
      </c>
    </row>
    <row r="178" spans="1:11">
      <c r="A178" s="51">
        <v>165</v>
      </c>
      <c r="B178" s="51" t="s">
        <v>5014</v>
      </c>
      <c r="C178" s="51" t="s">
        <v>5015</v>
      </c>
      <c r="D178" s="52" t="s">
        <v>285</v>
      </c>
      <c r="E178" s="52" t="s">
        <v>284</v>
      </c>
      <c r="F178" s="53" t="s">
        <v>5017</v>
      </c>
      <c r="G178" s="51" t="s">
        <v>4812</v>
      </c>
      <c r="H178" s="54"/>
      <c r="I178" s="55">
        <v>0</v>
      </c>
      <c r="K178" s="51" t="s">
        <v>5015</v>
      </c>
    </row>
    <row r="179" spans="1:11">
      <c r="A179" s="51">
        <v>166</v>
      </c>
      <c r="B179" s="51" t="s">
        <v>5014</v>
      </c>
      <c r="C179" s="51" t="s">
        <v>5015</v>
      </c>
      <c r="D179" s="52" t="s">
        <v>285</v>
      </c>
      <c r="E179" s="52" t="s">
        <v>284</v>
      </c>
      <c r="F179" s="53" t="s">
        <v>5017</v>
      </c>
      <c r="G179" s="51" t="s">
        <v>4812</v>
      </c>
      <c r="H179" s="54"/>
      <c r="I179" s="55">
        <v>0</v>
      </c>
      <c r="K179" s="51" t="s">
        <v>5015</v>
      </c>
    </row>
    <row r="180" spans="1:11">
      <c r="A180" s="51">
        <v>167</v>
      </c>
      <c r="B180" s="51" t="s">
        <v>5014</v>
      </c>
      <c r="C180" s="51" t="s">
        <v>5015</v>
      </c>
      <c r="D180" s="52" t="s">
        <v>1813</v>
      </c>
      <c r="E180" s="52" t="s">
        <v>1812</v>
      </c>
      <c r="F180" s="53" t="s">
        <v>5018</v>
      </c>
      <c r="G180" s="51" t="s">
        <v>4812</v>
      </c>
      <c r="H180" s="54"/>
      <c r="I180" s="55">
        <v>40</v>
      </c>
      <c r="K180" s="51" t="s">
        <v>5015</v>
      </c>
    </row>
    <row r="181" spans="1:11">
      <c r="A181" s="51">
        <v>168</v>
      </c>
      <c r="B181" s="51" t="s">
        <v>5014</v>
      </c>
      <c r="C181" s="51" t="s">
        <v>5015</v>
      </c>
      <c r="D181" s="52" t="s">
        <v>1813</v>
      </c>
      <c r="E181" s="52" t="s">
        <v>1812</v>
      </c>
      <c r="F181" s="53" t="s">
        <v>5018</v>
      </c>
      <c r="G181" s="51" t="s">
        <v>4812</v>
      </c>
      <c r="H181" s="54"/>
      <c r="I181" s="55">
        <v>40</v>
      </c>
      <c r="K181" s="51" t="s">
        <v>5015</v>
      </c>
    </row>
    <row r="182" spans="1:11">
      <c r="A182" s="51">
        <v>169</v>
      </c>
      <c r="B182" s="51" t="s">
        <v>5014</v>
      </c>
      <c r="C182" s="51" t="s">
        <v>5015</v>
      </c>
      <c r="D182" s="52" t="s">
        <v>1813</v>
      </c>
      <c r="E182" s="52" t="s">
        <v>1812</v>
      </c>
      <c r="F182" s="53" t="s">
        <v>5018</v>
      </c>
      <c r="G182" s="51" t="s">
        <v>4812</v>
      </c>
      <c r="H182" s="54"/>
      <c r="I182" s="55">
        <v>40</v>
      </c>
      <c r="K182" s="51" t="s">
        <v>5015</v>
      </c>
    </row>
    <row r="183" spans="1:11">
      <c r="A183" s="51">
        <v>170</v>
      </c>
      <c r="B183" s="51" t="s">
        <v>5014</v>
      </c>
      <c r="C183" s="51" t="s">
        <v>5015</v>
      </c>
      <c r="D183" s="52" t="s">
        <v>1813</v>
      </c>
      <c r="E183" s="52" t="s">
        <v>1812</v>
      </c>
      <c r="F183" s="53" t="s">
        <v>5018</v>
      </c>
      <c r="G183" s="51" t="s">
        <v>4812</v>
      </c>
      <c r="H183" s="54"/>
      <c r="I183" s="55">
        <v>40</v>
      </c>
      <c r="K183" s="51" t="s">
        <v>5015</v>
      </c>
    </row>
    <row r="184" spans="1:11">
      <c r="A184" s="51">
        <v>171</v>
      </c>
      <c r="B184" s="51" t="s">
        <v>5014</v>
      </c>
      <c r="C184" s="51" t="s">
        <v>5015</v>
      </c>
      <c r="D184" s="52" t="s">
        <v>1813</v>
      </c>
      <c r="E184" s="52" t="s">
        <v>1812</v>
      </c>
      <c r="F184" s="53" t="s">
        <v>5018</v>
      </c>
      <c r="G184" s="51" t="s">
        <v>4812</v>
      </c>
      <c r="H184" s="54"/>
      <c r="I184" s="55">
        <v>40</v>
      </c>
      <c r="K184" s="51" t="s">
        <v>5015</v>
      </c>
    </row>
    <row r="185" spans="1:11">
      <c r="A185" s="51">
        <v>172</v>
      </c>
      <c r="B185" s="51" t="s">
        <v>5014</v>
      </c>
      <c r="C185" s="51" t="s">
        <v>5015</v>
      </c>
      <c r="D185" s="52" t="s">
        <v>1813</v>
      </c>
      <c r="E185" s="52" t="s">
        <v>1812</v>
      </c>
      <c r="F185" s="53" t="s">
        <v>5018</v>
      </c>
      <c r="G185" s="51" t="s">
        <v>4812</v>
      </c>
      <c r="H185" s="54"/>
      <c r="I185" s="55">
        <v>23</v>
      </c>
      <c r="K185" s="51" t="s">
        <v>5015</v>
      </c>
    </row>
    <row r="186" spans="1:11">
      <c r="A186" s="51">
        <v>173</v>
      </c>
      <c r="B186" s="51" t="s">
        <v>5014</v>
      </c>
      <c r="C186" s="51" t="s">
        <v>5015</v>
      </c>
      <c r="D186" s="52" t="s">
        <v>1813</v>
      </c>
      <c r="E186" s="52" t="s">
        <v>1812</v>
      </c>
      <c r="F186" s="53" t="s">
        <v>5018</v>
      </c>
      <c r="G186" s="51" t="s">
        <v>4812</v>
      </c>
      <c r="H186" s="54"/>
      <c r="I186" s="55">
        <v>272</v>
      </c>
      <c r="K186" s="51" t="s">
        <v>5015</v>
      </c>
    </row>
    <row r="187" spans="1:11">
      <c r="A187" s="51">
        <v>174</v>
      </c>
      <c r="B187" s="51" t="s">
        <v>5014</v>
      </c>
      <c r="C187" s="51" t="s">
        <v>5015</v>
      </c>
      <c r="D187" s="52" t="s">
        <v>1813</v>
      </c>
      <c r="E187" s="52" t="s">
        <v>1812</v>
      </c>
      <c r="F187" s="53" t="s">
        <v>5018</v>
      </c>
      <c r="G187" s="51" t="s">
        <v>4812</v>
      </c>
      <c r="H187" s="54"/>
      <c r="I187" s="55">
        <v>0</v>
      </c>
      <c r="K187" s="51" t="s">
        <v>5015</v>
      </c>
    </row>
    <row r="188" spans="1:11">
      <c r="A188" s="51">
        <v>175</v>
      </c>
      <c r="B188" s="51" t="s">
        <v>5014</v>
      </c>
      <c r="C188" s="51" t="s">
        <v>5015</v>
      </c>
      <c r="D188" s="52" t="s">
        <v>1813</v>
      </c>
      <c r="E188" s="52" t="s">
        <v>1812</v>
      </c>
      <c r="F188" s="53" t="s">
        <v>5018</v>
      </c>
      <c r="G188" s="51" t="s">
        <v>4812</v>
      </c>
      <c r="H188" s="54"/>
      <c r="I188" s="55">
        <v>0</v>
      </c>
      <c r="K188" s="51" t="s">
        <v>5015</v>
      </c>
    </row>
    <row r="189" spans="1:11">
      <c r="A189" s="51">
        <v>176</v>
      </c>
      <c r="B189" s="51" t="s">
        <v>5014</v>
      </c>
      <c r="C189" s="51" t="s">
        <v>5015</v>
      </c>
      <c r="D189" s="52" t="s">
        <v>1813</v>
      </c>
      <c r="E189" s="52" t="s">
        <v>1812</v>
      </c>
      <c r="F189" s="53" t="s">
        <v>5018</v>
      </c>
      <c r="G189" s="51" t="s">
        <v>4812</v>
      </c>
      <c r="H189" s="54"/>
      <c r="I189" s="55">
        <v>0</v>
      </c>
      <c r="K189" s="51" t="s">
        <v>5015</v>
      </c>
    </row>
    <row r="190" spans="1:11">
      <c r="A190" s="51">
        <v>177</v>
      </c>
      <c r="B190" s="51" t="s">
        <v>5014</v>
      </c>
      <c r="C190" s="51" t="s">
        <v>5015</v>
      </c>
      <c r="D190" s="52" t="s">
        <v>1821</v>
      </c>
      <c r="E190" s="52" t="s">
        <v>5019</v>
      </c>
      <c r="F190" s="53" t="s">
        <v>5018</v>
      </c>
      <c r="G190" s="51" t="s">
        <v>4812</v>
      </c>
      <c r="H190" s="54"/>
      <c r="I190" s="55">
        <v>40</v>
      </c>
      <c r="K190" s="51" t="s">
        <v>5015</v>
      </c>
    </row>
    <row r="191" spans="1:11">
      <c r="A191" s="51">
        <v>178</v>
      </c>
      <c r="B191" s="51" t="s">
        <v>5014</v>
      </c>
      <c r="C191" s="51" t="s">
        <v>5015</v>
      </c>
      <c r="D191" s="52" t="s">
        <v>1821</v>
      </c>
      <c r="E191" s="52" t="s">
        <v>5019</v>
      </c>
      <c r="F191" s="53" t="s">
        <v>5018</v>
      </c>
      <c r="G191" s="51" t="s">
        <v>4812</v>
      </c>
      <c r="H191" s="54"/>
      <c r="I191" s="55">
        <v>11</v>
      </c>
      <c r="K191" s="51" t="s">
        <v>5015</v>
      </c>
    </row>
    <row r="192" spans="1:11">
      <c r="A192" s="51">
        <v>179</v>
      </c>
      <c r="B192" s="51" t="s">
        <v>5014</v>
      </c>
      <c r="C192" s="51" t="s">
        <v>5015</v>
      </c>
      <c r="D192" s="52" t="s">
        <v>1821</v>
      </c>
      <c r="E192" s="52" t="s">
        <v>5019</v>
      </c>
      <c r="F192" s="53" t="s">
        <v>5018</v>
      </c>
      <c r="G192" s="51" t="s">
        <v>4812</v>
      </c>
      <c r="H192" s="54"/>
      <c r="I192" s="55">
        <v>0</v>
      </c>
      <c r="K192" s="51" t="s">
        <v>5015</v>
      </c>
    </row>
    <row r="193" spans="1:11">
      <c r="A193" s="51">
        <v>180</v>
      </c>
      <c r="B193" s="51" t="s">
        <v>5014</v>
      </c>
      <c r="C193" s="51" t="s">
        <v>5015</v>
      </c>
      <c r="D193" s="52" t="s">
        <v>1821</v>
      </c>
      <c r="E193" s="52" t="s">
        <v>5019</v>
      </c>
      <c r="F193" s="53" t="s">
        <v>5018</v>
      </c>
      <c r="G193" s="51" t="s">
        <v>4812</v>
      </c>
      <c r="H193" s="54"/>
      <c r="I193" s="55">
        <v>0</v>
      </c>
      <c r="K193" s="51" t="s">
        <v>5015</v>
      </c>
    </row>
    <row r="194" spans="1:11">
      <c r="A194" s="51">
        <v>181</v>
      </c>
      <c r="B194" s="51" t="s">
        <v>5014</v>
      </c>
      <c r="C194" s="51" t="s">
        <v>5015</v>
      </c>
      <c r="D194" s="52" t="s">
        <v>1821</v>
      </c>
      <c r="E194" s="52" t="s">
        <v>5019</v>
      </c>
      <c r="F194" s="53" t="s">
        <v>5018</v>
      </c>
      <c r="G194" s="51" t="s">
        <v>4812</v>
      </c>
      <c r="H194" s="54"/>
      <c r="I194" s="55">
        <v>0</v>
      </c>
      <c r="K194" s="51" t="s">
        <v>5015</v>
      </c>
    </row>
    <row r="195" spans="1:11">
      <c r="A195" s="51">
        <v>182</v>
      </c>
      <c r="B195" s="51" t="s">
        <v>5014</v>
      </c>
      <c r="C195" s="51" t="s">
        <v>5015</v>
      </c>
      <c r="D195" s="52" t="s">
        <v>1821</v>
      </c>
      <c r="E195" s="52" t="s">
        <v>5019</v>
      </c>
      <c r="F195" s="53" t="s">
        <v>5018</v>
      </c>
      <c r="G195" s="51" t="s">
        <v>4812</v>
      </c>
      <c r="H195" s="54"/>
      <c r="I195" s="55">
        <v>0</v>
      </c>
      <c r="K195" s="51" t="s">
        <v>5015</v>
      </c>
    </row>
    <row r="196" spans="1:11">
      <c r="A196" s="51">
        <v>183</v>
      </c>
      <c r="B196" s="51" t="s">
        <v>5014</v>
      </c>
      <c r="C196" s="51" t="s">
        <v>5015</v>
      </c>
      <c r="D196" s="52" t="s">
        <v>1821</v>
      </c>
      <c r="E196" s="52" t="s">
        <v>5019</v>
      </c>
      <c r="F196" s="53" t="s">
        <v>5018</v>
      </c>
      <c r="G196" s="51" t="s">
        <v>4812</v>
      </c>
      <c r="H196" s="54"/>
      <c r="I196" s="55">
        <v>0</v>
      </c>
      <c r="K196" s="51" t="s">
        <v>5015</v>
      </c>
    </row>
    <row r="197" spans="1:11">
      <c r="A197" s="51">
        <v>184</v>
      </c>
      <c r="B197" s="51" t="s">
        <v>5014</v>
      </c>
      <c r="C197" s="51" t="s">
        <v>5015</v>
      </c>
      <c r="D197" s="52" t="s">
        <v>1821</v>
      </c>
      <c r="E197" s="52" t="s">
        <v>5019</v>
      </c>
      <c r="F197" s="53" t="s">
        <v>5018</v>
      </c>
      <c r="G197" s="51" t="s">
        <v>4812</v>
      </c>
      <c r="H197" s="54"/>
      <c r="I197" s="55">
        <v>0</v>
      </c>
      <c r="K197" s="51" t="s">
        <v>5015</v>
      </c>
    </row>
    <row r="198" spans="1:11">
      <c r="A198" s="51">
        <v>185</v>
      </c>
      <c r="B198" s="51" t="s">
        <v>5014</v>
      </c>
      <c r="C198" s="51" t="s">
        <v>5015</v>
      </c>
      <c r="D198" s="52" t="s">
        <v>1821</v>
      </c>
      <c r="E198" s="52" t="s">
        <v>5019</v>
      </c>
      <c r="F198" s="53" t="s">
        <v>5018</v>
      </c>
      <c r="G198" s="51" t="s">
        <v>4812</v>
      </c>
      <c r="H198" s="54"/>
      <c r="I198" s="55">
        <v>0</v>
      </c>
      <c r="K198" s="51" t="s">
        <v>5015</v>
      </c>
    </row>
    <row r="199" spans="1:11">
      <c r="A199" s="51">
        <v>186</v>
      </c>
      <c r="B199" s="51" t="s">
        <v>5014</v>
      </c>
      <c r="C199" s="51" t="s">
        <v>5015</v>
      </c>
      <c r="D199" s="52" t="s">
        <v>1821</v>
      </c>
      <c r="E199" s="52" t="s">
        <v>5019</v>
      </c>
      <c r="F199" s="53" t="s">
        <v>5018</v>
      </c>
      <c r="G199" s="51" t="s">
        <v>4812</v>
      </c>
      <c r="H199" s="54"/>
      <c r="I199" s="55">
        <v>0</v>
      </c>
      <c r="K199" s="51" t="s">
        <v>5015</v>
      </c>
    </row>
    <row r="200" spans="1:11">
      <c r="A200" s="51">
        <v>187</v>
      </c>
      <c r="B200" s="51" t="s">
        <v>5014</v>
      </c>
      <c r="C200" s="51" t="s">
        <v>5015</v>
      </c>
      <c r="D200" s="52" t="s">
        <v>1366</v>
      </c>
      <c r="E200" s="52" t="s">
        <v>5020</v>
      </c>
      <c r="F200" s="53" t="s">
        <v>5021</v>
      </c>
      <c r="G200" s="51" t="s">
        <v>4812</v>
      </c>
      <c r="H200" s="54"/>
      <c r="I200" s="55">
        <v>0</v>
      </c>
      <c r="K200" s="51" t="s">
        <v>5015</v>
      </c>
    </row>
    <row r="201" spans="1:11">
      <c r="A201" s="51">
        <v>188</v>
      </c>
      <c r="B201" s="51" t="s">
        <v>5014</v>
      </c>
      <c r="C201" s="51" t="s">
        <v>5015</v>
      </c>
      <c r="D201" s="52" t="s">
        <v>1366</v>
      </c>
      <c r="E201" s="52" t="s">
        <v>5020</v>
      </c>
      <c r="F201" s="53" t="s">
        <v>5021</v>
      </c>
      <c r="G201" s="51" t="s">
        <v>4812</v>
      </c>
      <c r="H201" s="54"/>
      <c r="I201" s="55">
        <v>0</v>
      </c>
      <c r="K201" s="51" t="s">
        <v>5015</v>
      </c>
    </row>
    <row r="202" spans="1:11">
      <c r="A202" s="51">
        <v>189</v>
      </c>
      <c r="B202" s="51" t="s">
        <v>5014</v>
      </c>
      <c r="C202" s="51" t="s">
        <v>5015</v>
      </c>
      <c r="D202" s="52" t="s">
        <v>1366</v>
      </c>
      <c r="E202" s="52" t="s">
        <v>5020</v>
      </c>
      <c r="F202" s="53" t="s">
        <v>5021</v>
      </c>
      <c r="G202" s="51" t="s">
        <v>4812</v>
      </c>
      <c r="H202" s="54"/>
      <c r="I202" s="55">
        <v>0</v>
      </c>
      <c r="K202" s="51" t="s">
        <v>5015</v>
      </c>
    </row>
    <row r="203" spans="1:11">
      <c r="A203" s="51">
        <v>190</v>
      </c>
      <c r="B203" s="51" t="s">
        <v>5014</v>
      </c>
      <c r="C203" s="51" t="s">
        <v>5015</v>
      </c>
      <c r="D203" s="52" t="s">
        <v>1366</v>
      </c>
      <c r="E203" s="52" t="s">
        <v>5020</v>
      </c>
      <c r="F203" s="53" t="s">
        <v>5021</v>
      </c>
      <c r="G203" s="51" t="s">
        <v>4812</v>
      </c>
      <c r="H203" s="54"/>
      <c r="I203" s="55">
        <v>0</v>
      </c>
      <c r="K203" s="51" t="s">
        <v>5015</v>
      </c>
    </row>
    <row r="204" spans="1:11">
      <c r="A204" s="51">
        <v>191</v>
      </c>
      <c r="B204" s="51" t="s">
        <v>5014</v>
      </c>
      <c r="C204" s="51" t="s">
        <v>5015</v>
      </c>
      <c r="D204" s="52" t="s">
        <v>1366</v>
      </c>
      <c r="E204" s="52" t="s">
        <v>5020</v>
      </c>
      <c r="F204" s="53" t="s">
        <v>5021</v>
      </c>
      <c r="G204" s="51" t="s">
        <v>4812</v>
      </c>
      <c r="H204" s="54"/>
      <c r="I204" s="55">
        <v>0</v>
      </c>
      <c r="K204" s="51" t="s">
        <v>5015</v>
      </c>
    </row>
    <row r="205" spans="1:11">
      <c r="A205" s="51">
        <v>192</v>
      </c>
      <c r="B205" s="51" t="s">
        <v>5014</v>
      </c>
      <c r="C205" s="51" t="s">
        <v>5015</v>
      </c>
      <c r="D205" s="52" t="s">
        <v>997</v>
      </c>
      <c r="E205" s="52" t="s">
        <v>5022</v>
      </c>
      <c r="F205" s="53" t="s">
        <v>5023</v>
      </c>
      <c r="G205" s="51" t="s">
        <v>4812</v>
      </c>
      <c r="H205" s="54"/>
      <c r="I205" s="55">
        <v>20</v>
      </c>
      <c r="K205" s="51" t="s">
        <v>5015</v>
      </c>
    </row>
    <row r="206" spans="1:11">
      <c r="A206" s="51">
        <v>193</v>
      </c>
      <c r="B206" s="51" t="s">
        <v>5014</v>
      </c>
      <c r="C206" s="51" t="s">
        <v>5015</v>
      </c>
      <c r="D206" s="52" t="s">
        <v>997</v>
      </c>
      <c r="E206" s="52" t="s">
        <v>5022</v>
      </c>
      <c r="F206" s="53" t="s">
        <v>5023</v>
      </c>
      <c r="G206" s="51" t="s">
        <v>4812</v>
      </c>
      <c r="H206" s="54"/>
      <c r="I206" s="55">
        <v>20</v>
      </c>
      <c r="K206" s="51" t="s">
        <v>5015</v>
      </c>
    </row>
    <row r="207" spans="1:11">
      <c r="A207" s="51">
        <v>194</v>
      </c>
      <c r="B207" s="51" t="s">
        <v>5014</v>
      </c>
      <c r="C207" s="51" t="s">
        <v>5015</v>
      </c>
      <c r="D207" s="52" t="s">
        <v>997</v>
      </c>
      <c r="E207" s="52" t="s">
        <v>5022</v>
      </c>
      <c r="F207" s="53" t="s">
        <v>5023</v>
      </c>
      <c r="G207" s="51" t="s">
        <v>4812</v>
      </c>
      <c r="H207" s="54"/>
      <c r="I207" s="55">
        <v>20</v>
      </c>
      <c r="K207" s="51" t="s">
        <v>5015</v>
      </c>
    </row>
    <row r="208" spans="1:11">
      <c r="A208" s="51">
        <v>195</v>
      </c>
      <c r="B208" s="51" t="s">
        <v>5014</v>
      </c>
      <c r="C208" s="51" t="s">
        <v>5015</v>
      </c>
      <c r="D208" s="52" t="s">
        <v>997</v>
      </c>
      <c r="E208" s="52" t="s">
        <v>5022</v>
      </c>
      <c r="F208" s="53" t="s">
        <v>5023</v>
      </c>
      <c r="G208" s="51" t="s">
        <v>4812</v>
      </c>
      <c r="H208" s="54"/>
      <c r="I208" s="55">
        <v>20</v>
      </c>
      <c r="K208" s="51" t="s">
        <v>5015</v>
      </c>
    </row>
    <row r="209" spans="1:11">
      <c r="A209" s="51">
        <v>196</v>
      </c>
      <c r="B209" s="51" t="s">
        <v>5014</v>
      </c>
      <c r="C209" s="51" t="s">
        <v>5015</v>
      </c>
      <c r="D209" s="52" t="s">
        <v>997</v>
      </c>
      <c r="E209" s="52" t="s">
        <v>5022</v>
      </c>
      <c r="F209" s="53" t="s">
        <v>5023</v>
      </c>
      <c r="G209" s="51" t="s">
        <v>4812</v>
      </c>
      <c r="H209" s="54"/>
      <c r="I209" s="55">
        <v>18</v>
      </c>
      <c r="K209" s="51" t="s">
        <v>5015</v>
      </c>
    </row>
    <row r="210" spans="1:11">
      <c r="A210" s="51">
        <v>197</v>
      </c>
      <c r="B210" s="51" t="s">
        <v>5014</v>
      </c>
      <c r="C210" s="51" t="s">
        <v>5015</v>
      </c>
      <c r="D210" s="52" t="s">
        <v>997</v>
      </c>
      <c r="E210" s="52" t="s">
        <v>5022</v>
      </c>
      <c r="F210" s="53" t="s">
        <v>5023</v>
      </c>
      <c r="G210" s="51" t="s">
        <v>4812</v>
      </c>
      <c r="H210" s="54"/>
      <c r="I210" s="55">
        <v>0</v>
      </c>
      <c r="K210" s="51" t="s">
        <v>5015</v>
      </c>
    </row>
    <row r="211" spans="1:11">
      <c r="A211" s="51">
        <v>198</v>
      </c>
      <c r="B211" s="51" t="s">
        <v>5014</v>
      </c>
      <c r="C211" s="51" t="s">
        <v>5015</v>
      </c>
      <c r="D211" s="52" t="s">
        <v>997</v>
      </c>
      <c r="E211" s="52" t="s">
        <v>5022</v>
      </c>
      <c r="F211" s="53" t="s">
        <v>5023</v>
      </c>
      <c r="G211" s="51" t="s">
        <v>4812</v>
      </c>
      <c r="H211" s="54"/>
      <c r="I211" s="55">
        <v>0</v>
      </c>
      <c r="K211" s="51" t="s">
        <v>5015</v>
      </c>
    </row>
    <row r="212" spans="1:11">
      <c r="A212" s="51">
        <v>199</v>
      </c>
      <c r="B212" s="51" t="s">
        <v>5014</v>
      </c>
      <c r="C212" s="51" t="s">
        <v>5015</v>
      </c>
      <c r="D212" s="52" t="s">
        <v>997</v>
      </c>
      <c r="E212" s="52" t="s">
        <v>5022</v>
      </c>
      <c r="F212" s="53" t="s">
        <v>5023</v>
      </c>
      <c r="G212" s="51" t="s">
        <v>4812</v>
      </c>
      <c r="H212" s="54"/>
      <c r="I212" s="55">
        <v>0</v>
      </c>
      <c r="K212" s="51" t="s">
        <v>5015</v>
      </c>
    </row>
    <row r="213" spans="1:11">
      <c r="A213" s="51">
        <v>200</v>
      </c>
      <c r="B213" s="51" t="s">
        <v>5014</v>
      </c>
      <c r="C213" s="51" t="s">
        <v>5015</v>
      </c>
      <c r="D213" s="52" t="s">
        <v>997</v>
      </c>
      <c r="E213" s="52" t="s">
        <v>5022</v>
      </c>
      <c r="F213" s="53" t="s">
        <v>5023</v>
      </c>
      <c r="G213" s="51" t="s">
        <v>4812</v>
      </c>
      <c r="H213" s="54"/>
      <c r="I213" s="55">
        <v>0</v>
      </c>
      <c r="K213" s="51" t="s">
        <v>5015</v>
      </c>
    </row>
    <row r="214" spans="1:11">
      <c r="A214" s="51">
        <v>201</v>
      </c>
      <c r="B214" s="51" t="s">
        <v>5014</v>
      </c>
      <c r="C214" s="51" t="s">
        <v>5015</v>
      </c>
      <c r="D214" s="52" t="s">
        <v>997</v>
      </c>
      <c r="E214" s="52" t="s">
        <v>5022</v>
      </c>
      <c r="F214" s="53" t="s">
        <v>5023</v>
      </c>
      <c r="G214" s="51" t="s">
        <v>4812</v>
      </c>
      <c r="H214" s="54"/>
      <c r="I214" s="55">
        <v>0</v>
      </c>
      <c r="K214" s="51" t="s">
        <v>5015</v>
      </c>
    </row>
    <row r="215" spans="1:11">
      <c r="A215" s="51">
        <v>202</v>
      </c>
      <c r="B215" s="51" t="s">
        <v>5014</v>
      </c>
      <c r="C215" s="51" t="s">
        <v>5015</v>
      </c>
      <c r="D215" s="52" t="s">
        <v>1081</v>
      </c>
      <c r="E215" s="52" t="s">
        <v>5024</v>
      </c>
      <c r="F215" s="53" t="s">
        <v>5025</v>
      </c>
      <c r="G215" s="51" t="s">
        <v>4812</v>
      </c>
      <c r="H215" s="54"/>
      <c r="I215" s="55">
        <v>0</v>
      </c>
      <c r="K215" s="51" t="s">
        <v>5015</v>
      </c>
    </row>
    <row r="216" spans="1:11">
      <c r="A216" s="51">
        <v>203</v>
      </c>
      <c r="B216" s="51" t="s">
        <v>5014</v>
      </c>
      <c r="C216" s="51" t="s">
        <v>5015</v>
      </c>
      <c r="D216" s="52" t="s">
        <v>1081</v>
      </c>
      <c r="E216" s="52" t="s">
        <v>5024</v>
      </c>
      <c r="F216" s="53" t="s">
        <v>5025</v>
      </c>
      <c r="G216" s="51" t="s">
        <v>4812</v>
      </c>
      <c r="H216" s="54"/>
      <c r="I216" s="55">
        <v>0</v>
      </c>
      <c r="K216" s="51" t="s">
        <v>5015</v>
      </c>
    </row>
    <row r="217" spans="1:11">
      <c r="A217" s="51">
        <v>204</v>
      </c>
      <c r="B217" s="51" t="s">
        <v>5014</v>
      </c>
      <c r="C217" s="51" t="s">
        <v>5015</v>
      </c>
      <c r="D217" s="52" t="s">
        <v>1081</v>
      </c>
      <c r="E217" s="52" t="s">
        <v>5024</v>
      </c>
      <c r="F217" s="53" t="s">
        <v>5025</v>
      </c>
      <c r="G217" s="51" t="s">
        <v>4812</v>
      </c>
      <c r="H217" s="54"/>
      <c r="I217" s="55">
        <v>0</v>
      </c>
      <c r="K217" s="51" t="s">
        <v>5015</v>
      </c>
    </row>
    <row r="218" spans="1:11">
      <c r="A218" s="51">
        <v>205</v>
      </c>
      <c r="B218" s="51" t="s">
        <v>5014</v>
      </c>
      <c r="C218" s="51" t="s">
        <v>5015</v>
      </c>
      <c r="D218" s="52" t="s">
        <v>1081</v>
      </c>
      <c r="E218" s="52" t="s">
        <v>5024</v>
      </c>
      <c r="F218" s="53" t="s">
        <v>5025</v>
      </c>
      <c r="G218" s="51" t="s">
        <v>4812</v>
      </c>
      <c r="H218" s="54"/>
      <c r="I218" s="55">
        <v>0</v>
      </c>
      <c r="K218" s="51" t="s">
        <v>5015</v>
      </c>
    </row>
    <row r="219" spans="1:11">
      <c r="A219" s="51">
        <v>206</v>
      </c>
      <c r="B219" s="51" t="s">
        <v>5014</v>
      </c>
      <c r="C219" s="51" t="s">
        <v>5015</v>
      </c>
      <c r="D219" s="52" t="s">
        <v>1081</v>
      </c>
      <c r="E219" s="52" t="s">
        <v>5024</v>
      </c>
      <c r="F219" s="53" t="s">
        <v>5025</v>
      </c>
      <c r="G219" s="51" t="s">
        <v>4812</v>
      </c>
      <c r="H219" s="54"/>
      <c r="I219" s="55">
        <v>0</v>
      </c>
      <c r="K219" s="51" t="s">
        <v>5015</v>
      </c>
    </row>
    <row r="220" spans="1:11">
      <c r="A220" s="51">
        <v>207</v>
      </c>
      <c r="B220" s="51" t="s">
        <v>5014</v>
      </c>
      <c r="C220" s="51" t="s">
        <v>5015</v>
      </c>
      <c r="D220" s="52" t="s">
        <v>1081</v>
      </c>
      <c r="E220" s="52" t="s">
        <v>5024</v>
      </c>
      <c r="F220" s="53" t="s">
        <v>5025</v>
      </c>
      <c r="G220" s="51" t="s">
        <v>4812</v>
      </c>
      <c r="H220" s="54"/>
      <c r="I220" s="55">
        <v>0</v>
      </c>
      <c r="K220" s="51" t="s">
        <v>5015</v>
      </c>
    </row>
    <row r="221" spans="1:11">
      <c r="A221" s="51">
        <v>208</v>
      </c>
      <c r="B221" s="51" t="s">
        <v>5014</v>
      </c>
      <c r="C221" s="51" t="s">
        <v>5015</v>
      </c>
      <c r="D221" s="52" t="s">
        <v>1081</v>
      </c>
      <c r="E221" s="52" t="s">
        <v>5024</v>
      </c>
      <c r="F221" s="53" t="s">
        <v>5025</v>
      </c>
      <c r="G221" s="51" t="s">
        <v>4812</v>
      </c>
      <c r="H221" s="54"/>
      <c r="I221" s="55">
        <v>0</v>
      </c>
      <c r="K221" s="51" t="s">
        <v>5015</v>
      </c>
    </row>
    <row r="222" spans="1:11">
      <c r="A222" s="51">
        <v>209</v>
      </c>
      <c r="B222" s="51" t="s">
        <v>5014</v>
      </c>
      <c r="C222" s="51" t="s">
        <v>5015</v>
      </c>
      <c r="D222" s="52" t="s">
        <v>1081</v>
      </c>
      <c r="E222" s="52" t="s">
        <v>5024</v>
      </c>
      <c r="F222" s="53" t="s">
        <v>5025</v>
      </c>
      <c r="G222" s="51" t="s">
        <v>4812</v>
      </c>
      <c r="H222" s="54"/>
      <c r="I222" s="55">
        <v>0</v>
      </c>
      <c r="K222" s="51" t="s">
        <v>5015</v>
      </c>
    </row>
    <row r="223" spans="1:11">
      <c r="A223" s="51">
        <v>210</v>
      </c>
      <c r="B223" s="51" t="s">
        <v>5014</v>
      </c>
      <c r="C223" s="51" t="s">
        <v>5015</v>
      </c>
      <c r="D223" s="52" t="s">
        <v>1081</v>
      </c>
      <c r="E223" s="52" t="s">
        <v>5024</v>
      </c>
      <c r="F223" s="53" t="s">
        <v>5025</v>
      </c>
      <c r="G223" s="51" t="s">
        <v>4812</v>
      </c>
      <c r="H223" s="54"/>
      <c r="I223" s="55">
        <v>0</v>
      </c>
      <c r="K223" s="51" t="s">
        <v>5015</v>
      </c>
    </row>
    <row r="224" spans="1:11">
      <c r="A224" s="51">
        <v>211</v>
      </c>
      <c r="B224" s="51" t="s">
        <v>5014</v>
      </c>
      <c r="C224" s="51" t="s">
        <v>5015</v>
      </c>
      <c r="D224" s="52" t="s">
        <v>1081</v>
      </c>
      <c r="E224" s="52" t="s">
        <v>5024</v>
      </c>
      <c r="F224" s="53" t="s">
        <v>5025</v>
      </c>
      <c r="G224" s="51" t="s">
        <v>4812</v>
      </c>
      <c r="H224" s="54"/>
      <c r="I224" s="55">
        <v>0</v>
      </c>
      <c r="K224" s="51" t="s">
        <v>5015</v>
      </c>
    </row>
    <row r="225" spans="1:11">
      <c r="A225" s="51">
        <v>212</v>
      </c>
      <c r="B225" s="51" t="s">
        <v>5014</v>
      </c>
      <c r="C225" s="51" t="s">
        <v>5015</v>
      </c>
      <c r="D225" s="52" t="s">
        <v>1611</v>
      </c>
      <c r="E225" s="52" t="s">
        <v>5026</v>
      </c>
      <c r="F225" s="53" t="s">
        <v>106</v>
      </c>
      <c r="G225" s="51" t="s">
        <v>4812</v>
      </c>
      <c r="H225" s="54"/>
      <c r="I225" s="55">
        <v>56</v>
      </c>
      <c r="K225" s="51" t="s">
        <v>5015</v>
      </c>
    </row>
    <row r="226" spans="1:11">
      <c r="A226" s="51">
        <v>213</v>
      </c>
      <c r="B226" s="51" t="s">
        <v>5014</v>
      </c>
      <c r="C226" s="51" t="s">
        <v>5015</v>
      </c>
      <c r="D226" s="52" t="s">
        <v>1611</v>
      </c>
      <c r="E226" s="52" t="s">
        <v>5026</v>
      </c>
      <c r="F226" s="53" t="s">
        <v>106</v>
      </c>
      <c r="G226" s="51" t="s">
        <v>4812</v>
      </c>
      <c r="H226" s="54"/>
      <c r="I226" s="55">
        <v>56</v>
      </c>
      <c r="K226" s="51" t="s">
        <v>5015</v>
      </c>
    </row>
    <row r="227" spans="1:11">
      <c r="A227" s="51">
        <v>214</v>
      </c>
      <c r="B227" s="51" t="s">
        <v>5014</v>
      </c>
      <c r="C227" s="51" t="s">
        <v>5015</v>
      </c>
      <c r="D227" s="52" t="s">
        <v>1611</v>
      </c>
      <c r="E227" s="52" t="s">
        <v>5026</v>
      </c>
      <c r="F227" s="53" t="s">
        <v>106</v>
      </c>
      <c r="G227" s="51" t="s">
        <v>4812</v>
      </c>
      <c r="H227" s="54"/>
      <c r="I227" s="55">
        <v>0</v>
      </c>
      <c r="K227" s="51" t="s">
        <v>5015</v>
      </c>
    </row>
    <row r="228" spans="1:11">
      <c r="A228" s="51">
        <v>215</v>
      </c>
      <c r="B228" s="51" t="s">
        <v>5014</v>
      </c>
      <c r="C228" s="51" t="s">
        <v>5015</v>
      </c>
      <c r="D228" s="52" t="s">
        <v>1611</v>
      </c>
      <c r="E228" s="52" t="s">
        <v>5026</v>
      </c>
      <c r="F228" s="53" t="s">
        <v>106</v>
      </c>
      <c r="G228" s="51" t="s">
        <v>4812</v>
      </c>
      <c r="H228" s="54"/>
      <c r="I228" s="55">
        <v>0</v>
      </c>
      <c r="K228" s="51" t="s">
        <v>5015</v>
      </c>
    </row>
    <row r="229" spans="1:11">
      <c r="A229" s="51">
        <v>216</v>
      </c>
      <c r="B229" s="51" t="s">
        <v>5014</v>
      </c>
      <c r="C229" s="51" t="s">
        <v>5015</v>
      </c>
      <c r="D229" s="52" t="s">
        <v>1611</v>
      </c>
      <c r="E229" s="52" t="s">
        <v>5026</v>
      </c>
      <c r="F229" s="53" t="s">
        <v>106</v>
      </c>
      <c r="G229" s="51" t="s">
        <v>4812</v>
      </c>
      <c r="H229" s="54"/>
      <c r="I229" s="55">
        <v>0</v>
      </c>
      <c r="K229" s="51" t="s">
        <v>5015</v>
      </c>
    </row>
    <row r="230" spans="1:11">
      <c r="A230" s="51">
        <v>217</v>
      </c>
      <c r="B230" s="51" t="s">
        <v>5014</v>
      </c>
      <c r="C230" s="51" t="s">
        <v>5015</v>
      </c>
      <c r="D230" s="52" t="s">
        <v>1611</v>
      </c>
      <c r="E230" s="52" t="s">
        <v>5026</v>
      </c>
      <c r="F230" s="53" t="s">
        <v>106</v>
      </c>
      <c r="G230" s="51" t="s">
        <v>4812</v>
      </c>
      <c r="H230" s="54"/>
      <c r="I230" s="55">
        <v>0</v>
      </c>
      <c r="K230" s="51" t="s">
        <v>5015</v>
      </c>
    </row>
    <row r="231" spans="1:11">
      <c r="A231" s="51">
        <v>218</v>
      </c>
      <c r="B231" s="51" t="s">
        <v>5014</v>
      </c>
      <c r="C231" s="51" t="s">
        <v>5015</v>
      </c>
      <c r="D231" s="52" t="s">
        <v>1611</v>
      </c>
      <c r="E231" s="52" t="s">
        <v>5026</v>
      </c>
      <c r="F231" s="53" t="s">
        <v>106</v>
      </c>
      <c r="G231" s="51" t="s">
        <v>4812</v>
      </c>
      <c r="H231" s="54"/>
      <c r="I231" s="55">
        <v>0</v>
      </c>
      <c r="K231" s="51" t="s">
        <v>5015</v>
      </c>
    </row>
    <row r="232" spans="1:11">
      <c r="A232" s="51">
        <v>219</v>
      </c>
      <c r="B232" s="51" t="s">
        <v>5014</v>
      </c>
      <c r="C232" s="51" t="s">
        <v>5015</v>
      </c>
      <c r="D232" s="52" t="s">
        <v>1611</v>
      </c>
      <c r="E232" s="52" t="s">
        <v>5026</v>
      </c>
      <c r="F232" s="53" t="s">
        <v>106</v>
      </c>
      <c r="G232" s="51" t="s">
        <v>4812</v>
      </c>
      <c r="H232" s="54"/>
      <c r="I232" s="55">
        <v>0</v>
      </c>
      <c r="K232" s="51" t="s">
        <v>5015</v>
      </c>
    </row>
    <row r="233" spans="1:11">
      <c r="A233" s="51">
        <v>220</v>
      </c>
      <c r="B233" s="51" t="s">
        <v>5014</v>
      </c>
      <c r="C233" s="51" t="s">
        <v>5015</v>
      </c>
      <c r="D233" s="52" t="s">
        <v>1611</v>
      </c>
      <c r="E233" s="52" t="s">
        <v>5026</v>
      </c>
      <c r="F233" s="53" t="s">
        <v>106</v>
      </c>
      <c r="G233" s="51" t="s">
        <v>4812</v>
      </c>
      <c r="H233" s="54"/>
      <c r="I233" s="55">
        <v>0</v>
      </c>
      <c r="K233" s="51" t="s">
        <v>5015</v>
      </c>
    </row>
    <row r="234" spans="1:11">
      <c r="A234" s="51">
        <v>221</v>
      </c>
      <c r="B234" s="51" t="s">
        <v>5014</v>
      </c>
      <c r="C234" s="51" t="s">
        <v>5015</v>
      </c>
      <c r="D234" s="52" t="s">
        <v>1611</v>
      </c>
      <c r="E234" s="52" t="s">
        <v>5026</v>
      </c>
      <c r="F234" s="53" t="s">
        <v>106</v>
      </c>
      <c r="G234" s="51" t="s">
        <v>4812</v>
      </c>
      <c r="H234" s="54"/>
      <c r="I234" s="55">
        <v>0</v>
      </c>
      <c r="K234" s="51" t="s">
        <v>5015</v>
      </c>
    </row>
    <row r="235" spans="1:11">
      <c r="A235" s="51">
        <v>222</v>
      </c>
      <c r="B235" s="51" t="s">
        <v>5014</v>
      </c>
      <c r="C235" s="51" t="s">
        <v>5015</v>
      </c>
      <c r="D235" s="52" t="s">
        <v>1647</v>
      </c>
      <c r="E235" s="52" t="s">
        <v>5027</v>
      </c>
      <c r="F235" s="53" t="s">
        <v>4865</v>
      </c>
      <c r="G235" s="51" t="s">
        <v>4812</v>
      </c>
      <c r="H235" s="54"/>
      <c r="I235" s="55">
        <v>222</v>
      </c>
      <c r="K235" s="51" t="s">
        <v>5015</v>
      </c>
    </row>
    <row r="236" spans="1:11">
      <c r="A236" s="51">
        <v>223</v>
      </c>
      <c r="B236" s="51" t="s">
        <v>5014</v>
      </c>
      <c r="C236" s="51" t="s">
        <v>5015</v>
      </c>
      <c r="D236" s="52" t="s">
        <v>1647</v>
      </c>
      <c r="E236" s="52" t="s">
        <v>5027</v>
      </c>
      <c r="F236" s="53" t="s">
        <v>4865</v>
      </c>
      <c r="G236" s="51" t="s">
        <v>4812</v>
      </c>
      <c r="H236" s="54"/>
      <c r="I236" s="55">
        <v>56</v>
      </c>
      <c r="K236" s="51" t="s">
        <v>5015</v>
      </c>
    </row>
    <row r="237" spans="1:11">
      <c r="A237" s="51">
        <v>224</v>
      </c>
      <c r="B237" s="51" t="s">
        <v>5014</v>
      </c>
      <c r="C237" s="51" t="s">
        <v>5015</v>
      </c>
      <c r="D237" s="52" t="s">
        <v>1647</v>
      </c>
      <c r="E237" s="52" t="s">
        <v>5027</v>
      </c>
      <c r="F237" s="53" t="s">
        <v>4865</v>
      </c>
      <c r="G237" s="51" t="s">
        <v>4812</v>
      </c>
      <c r="H237" s="54"/>
      <c r="I237" s="55">
        <v>43</v>
      </c>
      <c r="K237" s="51" t="s">
        <v>5015</v>
      </c>
    </row>
    <row r="238" spans="1:11">
      <c r="A238" s="51">
        <v>225</v>
      </c>
      <c r="B238" s="51" t="s">
        <v>5014</v>
      </c>
      <c r="C238" s="51" t="s">
        <v>5015</v>
      </c>
      <c r="D238" s="52" t="s">
        <v>1647</v>
      </c>
      <c r="E238" s="52" t="s">
        <v>5027</v>
      </c>
      <c r="F238" s="53" t="s">
        <v>4865</v>
      </c>
      <c r="G238" s="51" t="s">
        <v>4812</v>
      </c>
      <c r="H238" s="54"/>
      <c r="I238" s="55">
        <v>271</v>
      </c>
      <c r="K238" s="51" t="s">
        <v>5015</v>
      </c>
    </row>
    <row r="239" spans="1:11">
      <c r="A239" s="51">
        <v>226</v>
      </c>
      <c r="B239" s="51" t="s">
        <v>5014</v>
      </c>
      <c r="C239" s="51" t="s">
        <v>5015</v>
      </c>
      <c r="D239" s="52" t="s">
        <v>1647</v>
      </c>
      <c r="E239" s="52" t="s">
        <v>5027</v>
      </c>
      <c r="F239" s="53" t="s">
        <v>4865</v>
      </c>
      <c r="G239" s="51" t="s">
        <v>4812</v>
      </c>
      <c r="H239" s="54"/>
      <c r="I239" s="55">
        <v>0</v>
      </c>
      <c r="K239" s="51" t="s">
        <v>5015</v>
      </c>
    </row>
    <row r="240" spans="1:11">
      <c r="A240" s="51">
        <v>227</v>
      </c>
      <c r="B240" s="51" t="s">
        <v>5014</v>
      </c>
      <c r="C240" s="51" t="s">
        <v>5015</v>
      </c>
      <c r="D240" s="52" t="s">
        <v>1647</v>
      </c>
      <c r="E240" s="52" t="s">
        <v>5027</v>
      </c>
      <c r="F240" s="53" t="s">
        <v>4865</v>
      </c>
      <c r="G240" s="51" t="s">
        <v>4812</v>
      </c>
      <c r="H240" s="54"/>
      <c r="I240" s="55">
        <v>0</v>
      </c>
      <c r="K240" s="51" t="s">
        <v>5015</v>
      </c>
    </row>
    <row r="241" spans="1:11">
      <c r="A241" s="51">
        <v>228</v>
      </c>
      <c r="B241" s="51" t="s">
        <v>5014</v>
      </c>
      <c r="C241" s="51" t="s">
        <v>5015</v>
      </c>
      <c r="D241" s="52" t="s">
        <v>1647</v>
      </c>
      <c r="E241" s="52" t="s">
        <v>5027</v>
      </c>
      <c r="F241" s="53" t="s">
        <v>4865</v>
      </c>
      <c r="G241" s="51" t="s">
        <v>4812</v>
      </c>
      <c r="H241" s="54"/>
      <c r="I241" s="55">
        <v>0</v>
      </c>
      <c r="K241" s="51" t="s">
        <v>5015</v>
      </c>
    </row>
    <row r="242" spans="1:11">
      <c r="A242" s="51">
        <v>229</v>
      </c>
      <c r="B242" s="51" t="s">
        <v>5014</v>
      </c>
      <c r="C242" s="51" t="s">
        <v>5015</v>
      </c>
      <c r="D242" s="52" t="s">
        <v>1647</v>
      </c>
      <c r="E242" s="52" t="s">
        <v>5027</v>
      </c>
      <c r="F242" s="53" t="s">
        <v>4865</v>
      </c>
      <c r="G242" s="51" t="s">
        <v>4812</v>
      </c>
      <c r="H242" s="54"/>
      <c r="I242" s="55">
        <v>0</v>
      </c>
      <c r="K242" s="51" t="s">
        <v>5015</v>
      </c>
    </row>
    <row r="243" spans="1:11">
      <c r="A243" s="51">
        <v>230</v>
      </c>
      <c r="B243" s="51" t="s">
        <v>5014</v>
      </c>
      <c r="C243" s="51" t="s">
        <v>5015</v>
      </c>
      <c r="D243" s="52" t="s">
        <v>1647</v>
      </c>
      <c r="E243" s="52" t="s">
        <v>5027</v>
      </c>
      <c r="F243" s="53" t="s">
        <v>4865</v>
      </c>
      <c r="G243" s="51" t="s">
        <v>4812</v>
      </c>
      <c r="H243" s="54"/>
      <c r="I243" s="55">
        <v>0</v>
      </c>
      <c r="K243" s="51" t="s">
        <v>5015</v>
      </c>
    </row>
    <row r="244" spans="1:11">
      <c r="A244" s="51">
        <v>231</v>
      </c>
      <c r="B244" s="51" t="s">
        <v>5014</v>
      </c>
      <c r="C244" s="51" t="s">
        <v>5015</v>
      </c>
      <c r="D244" s="52" t="s">
        <v>1647</v>
      </c>
      <c r="E244" s="52" t="s">
        <v>5027</v>
      </c>
      <c r="F244" s="53" t="s">
        <v>4865</v>
      </c>
      <c r="G244" s="51" t="s">
        <v>4812</v>
      </c>
      <c r="H244" s="54"/>
      <c r="I244" s="55">
        <v>0</v>
      </c>
      <c r="K244" s="51" t="s">
        <v>5015</v>
      </c>
    </row>
    <row r="245" spans="1:11">
      <c r="A245" s="51">
        <v>232</v>
      </c>
      <c r="B245" s="51" t="s">
        <v>5014</v>
      </c>
      <c r="C245" s="51" t="s">
        <v>5015</v>
      </c>
      <c r="D245" s="52" t="s">
        <v>5028</v>
      </c>
      <c r="E245" s="52" t="s">
        <v>5029</v>
      </c>
      <c r="F245" s="53" t="s">
        <v>5030</v>
      </c>
      <c r="G245" s="51" t="s">
        <v>4812</v>
      </c>
      <c r="H245" s="54"/>
      <c r="I245" s="55">
        <v>20</v>
      </c>
      <c r="K245" s="51" t="s">
        <v>5015</v>
      </c>
    </row>
    <row r="246" spans="1:11">
      <c r="A246" s="51">
        <v>233</v>
      </c>
      <c r="B246" s="51" t="s">
        <v>5014</v>
      </c>
      <c r="C246" s="51" t="s">
        <v>5015</v>
      </c>
      <c r="D246" s="52" t="s">
        <v>5028</v>
      </c>
      <c r="E246" s="52" t="s">
        <v>5029</v>
      </c>
      <c r="F246" s="53" t="s">
        <v>5030</v>
      </c>
      <c r="G246" s="51" t="s">
        <v>4812</v>
      </c>
      <c r="H246" s="54"/>
      <c r="I246" s="55">
        <v>20</v>
      </c>
      <c r="K246" s="51" t="s">
        <v>5015</v>
      </c>
    </row>
    <row r="247" spans="1:11">
      <c r="A247" s="51">
        <v>234</v>
      </c>
      <c r="B247" s="51" t="s">
        <v>5014</v>
      </c>
      <c r="C247" s="51" t="s">
        <v>5015</v>
      </c>
      <c r="D247" s="52" t="s">
        <v>5028</v>
      </c>
      <c r="E247" s="52" t="s">
        <v>5029</v>
      </c>
      <c r="F247" s="53" t="s">
        <v>5030</v>
      </c>
      <c r="G247" s="51" t="s">
        <v>4812</v>
      </c>
      <c r="H247" s="54"/>
      <c r="I247" s="55">
        <v>20</v>
      </c>
      <c r="K247" s="51" t="s">
        <v>5015</v>
      </c>
    </row>
    <row r="248" spans="1:11">
      <c r="A248" s="51">
        <v>235</v>
      </c>
      <c r="B248" s="51" t="s">
        <v>5014</v>
      </c>
      <c r="C248" s="51" t="s">
        <v>5015</v>
      </c>
      <c r="D248" s="52" t="s">
        <v>5028</v>
      </c>
      <c r="E248" s="52" t="s">
        <v>5029</v>
      </c>
      <c r="F248" s="53" t="s">
        <v>5030</v>
      </c>
      <c r="G248" s="51" t="s">
        <v>4812</v>
      </c>
      <c r="H248" s="54"/>
      <c r="I248" s="55">
        <v>18</v>
      </c>
      <c r="K248" s="51" t="s">
        <v>5015</v>
      </c>
    </row>
    <row r="249" spans="1:11">
      <c r="A249" s="51">
        <v>236</v>
      </c>
      <c r="B249" s="51" t="s">
        <v>5014</v>
      </c>
      <c r="C249" s="51" t="s">
        <v>5015</v>
      </c>
      <c r="D249" s="52" t="s">
        <v>5028</v>
      </c>
      <c r="E249" s="52" t="s">
        <v>5029</v>
      </c>
      <c r="F249" s="53" t="s">
        <v>5030</v>
      </c>
      <c r="G249" s="51" t="s">
        <v>4812</v>
      </c>
      <c r="H249" s="54"/>
      <c r="I249" s="55">
        <v>0</v>
      </c>
      <c r="K249" s="51" t="s">
        <v>5015</v>
      </c>
    </row>
    <row r="250" spans="1:11">
      <c r="A250" s="51">
        <v>237</v>
      </c>
      <c r="B250" s="51" t="s">
        <v>5014</v>
      </c>
      <c r="C250" s="51" t="s">
        <v>5015</v>
      </c>
      <c r="D250" s="52" t="s">
        <v>5028</v>
      </c>
      <c r="E250" s="52" t="s">
        <v>5029</v>
      </c>
      <c r="F250" s="53" t="s">
        <v>5030</v>
      </c>
      <c r="G250" s="51" t="s">
        <v>4812</v>
      </c>
      <c r="H250" s="54"/>
      <c r="I250" s="55">
        <v>0</v>
      </c>
      <c r="K250" s="51" t="s">
        <v>5015</v>
      </c>
    </row>
    <row r="251" spans="1:11">
      <c r="A251" s="51">
        <v>238</v>
      </c>
      <c r="B251" s="51" t="s">
        <v>5014</v>
      </c>
      <c r="C251" s="51" t="s">
        <v>5015</v>
      </c>
      <c r="D251" s="52" t="s">
        <v>5028</v>
      </c>
      <c r="E251" s="52" t="s">
        <v>5029</v>
      </c>
      <c r="F251" s="53" t="s">
        <v>5030</v>
      </c>
      <c r="G251" s="51" t="s">
        <v>4812</v>
      </c>
      <c r="H251" s="54"/>
      <c r="I251" s="55">
        <v>0</v>
      </c>
      <c r="K251" s="51" t="s">
        <v>5015</v>
      </c>
    </row>
    <row r="252" spans="1:11">
      <c r="A252" s="51">
        <v>239</v>
      </c>
      <c r="B252" s="51" t="s">
        <v>5014</v>
      </c>
      <c r="C252" s="51" t="s">
        <v>5015</v>
      </c>
      <c r="D252" s="52" t="s">
        <v>5028</v>
      </c>
      <c r="E252" s="52" t="s">
        <v>5029</v>
      </c>
      <c r="F252" s="53" t="s">
        <v>5030</v>
      </c>
      <c r="G252" s="51" t="s">
        <v>4812</v>
      </c>
      <c r="H252" s="54"/>
      <c r="I252" s="55">
        <v>0</v>
      </c>
      <c r="K252" s="51" t="s">
        <v>5015</v>
      </c>
    </row>
    <row r="253" spans="1:11">
      <c r="A253" s="51">
        <v>240</v>
      </c>
      <c r="B253" s="51" t="s">
        <v>5014</v>
      </c>
      <c r="C253" s="51" t="s">
        <v>5015</v>
      </c>
      <c r="D253" s="52" t="s">
        <v>5028</v>
      </c>
      <c r="E253" s="52" t="s">
        <v>5029</v>
      </c>
      <c r="F253" s="53" t="s">
        <v>5030</v>
      </c>
      <c r="G253" s="51" t="s">
        <v>4812</v>
      </c>
      <c r="H253" s="54"/>
      <c r="I253" s="55">
        <v>0</v>
      </c>
      <c r="K253" s="51" t="s">
        <v>5015</v>
      </c>
    </row>
    <row r="254" spans="1:11">
      <c r="A254" s="51">
        <v>241</v>
      </c>
      <c r="B254" s="51" t="s">
        <v>5014</v>
      </c>
      <c r="C254" s="51" t="s">
        <v>5015</v>
      </c>
      <c r="D254" s="52" t="s">
        <v>5028</v>
      </c>
      <c r="E254" s="52" t="s">
        <v>5029</v>
      </c>
      <c r="F254" s="53" t="s">
        <v>5030</v>
      </c>
      <c r="G254" s="51" t="s">
        <v>4812</v>
      </c>
      <c r="H254" s="54"/>
      <c r="I254" s="55">
        <v>0</v>
      </c>
      <c r="K254" s="51" t="s">
        <v>5015</v>
      </c>
    </row>
    <row r="255" spans="1:11">
      <c r="A255" s="51">
        <v>242</v>
      </c>
      <c r="B255" s="51" t="s">
        <v>5014</v>
      </c>
      <c r="C255" s="51" t="s">
        <v>5015</v>
      </c>
      <c r="D255" s="52" t="s">
        <v>5031</v>
      </c>
      <c r="E255" s="52" t="s">
        <v>5032</v>
      </c>
      <c r="F255" s="53" t="s">
        <v>5030</v>
      </c>
      <c r="G255" s="51" t="s">
        <v>4812</v>
      </c>
      <c r="H255" s="54"/>
      <c r="I255" s="55">
        <v>20</v>
      </c>
      <c r="K255" s="51" t="s">
        <v>5015</v>
      </c>
    </row>
    <row r="256" spans="1:11">
      <c r="A256" s="51">
        <v>243</v>
      </c>
      <c r="B256" s="51" t="s">
        <v>5014</v>
      </c>
      <c r="C256" s="51" t="s">
        <v>5015</v>
      </c>
      <c r="D256" s="52" t="s">
        <v>5031</v>
      </c>
      <c r="E256" s="52" t="s">
        <v>5032</v>
      </c>
      <c r="F256" s="53" t="s">
        <v>5030</v>
      </c>
      <c r="G256" s="51" t="s">
        <v>4812</v>
      </c>
      <c r="H256" s="54"/>
      <c r="I256" s="55">
        <v>20</v>
      </c>
      <c r="K256" s="51" t="s">
        <v>5015</v>
      </c>
    </row>
    <row r="257" spans="1:11">
      <c r="A257" s="51">
        <v>244</v>
      </c>
      <c r="B257" s="51" t="s">
        <v>5014</v>
      </c>
      <c r="C257" s="51" t="s">
        <v>5015</v>
      </c>
      <c r="D257" s="52" t="s">
        <v>5031</v>
      </c>
      <c r="E257" s="52" t="s">
        <v>5032</v>
      </c>
      <c r="F257" s="53" t="s">
        <v>5030</v>
      </c>
      <c r="G257" s="51" t="s">
        <v>4812</v>
      </c>
      <c r="H257" s="54"/>
      <c r="I257" s="55">
        <v>20</v>
      </c>
      <c r="K257" s="51" t="s">
        <v>5015</v>
      </c>
    </row>
    <row r="258" spans="1:11">
      <c r="A258" s="51">
        <v>245</v>
      </c>
      <c r="B258" s="51" t="s">
        <v>5014</v>
      </c>
      <c r="C258" s="51" t="s">
        <v>5015</v>
      </c>
      <c r="D258" s="52" t="s">
        <v>5031</v>
      </c>
      <c r="E258" s="52" t="s">
        <v>5032</v>
      </c>
      <c r="F258" s="53" t="s">
        <v>5030</v>
      </c>
      <c r="G258" s="51" t="s">
        <v>4812</v>
      </c>
      <c r="H258" s="54"/>
      <c r="I258" s="55">
        <v>0</v>
      </c>
      <c r="K258" s="51" t="s">
        <v>5015</v>
      </c>
    </row>
    <row r="259" spans="1:11">
      <c r="A259" s="51">
        <v>246</v>
      </c>
      <c r="B259" s="51" t="s">
        <v>5014</v>
      </c>
      <c r="C259" s="51" t="s">
        <v>5015</v>
      </c>
      <c r="D259" s="52" t="s">
        <v>5031</v>
      </c>
      <c r="E259" s="52" t="s">
        <v>5032</v>
      </c>
      <c r="F259" s="53" t="s">
        <v>5030</v>
      </c>
      <c r="G259" s="51" t="s">
        <v>4812</v>
      </c>
      <c r="H259" s="54"/>
      <c r="I259" s="55">
        <v>0</v>
      </c>
      <c r="K259" s="51" t="s">
        <v>5015</v>
      </c>
    </row>
    <row r="260" spans="1:11">
      <c r="A260" s="51">
        <v>247</v>
      </c>
      <c r="B260" s="51" t="s">
        <v>5014</v>
      </c>
      <c r="C260" s="51" t="s">
        <v>5015</v>
      </c>
      <c r="D260" s="52" t="s">
        <v>5031</v>
      </c>
      <c r="E260" s="52" t="s">
        <v>5032</v>
      </c>
      <c r="F260" s="53" t="s">
        <v>5030</v>
      </c>
      <c r="G260" s="51" t="s">
        <v>4812</v>
      </c>
      <c r="H260" s="54"/>
      <c r="I260" s="55">
        <v>0</v>
      </c>
      <c r="K260" s="51" t="s">
        <v>5015</v>
      </c>
    </row>
    <row r="261" spans="1:11">
      <c r="A261" s="51">
        <v>248</v>
      </c>
      <c r="B261" s="51" t="s">
        <v>5014</v>
      </c>
      <c r="C261" s="51" t="s">
        <v>5015</v>
      </c>
      <c r="D261" s="52" t="s">
        <v>5031</v>
      </c>
      <c r="E261" s="52" t="s">
        <v>5032</v>
      </c>
      <c r="F261" s="53" t="s">
        <v>5030</v>
      </c>
      <c r="G261" s="51" t="s">
        <v>4812</v>
      </c>
      <c r="H261" s="54"/>
      <c r="I261" s="55">
        <v>0</v>
      </c>
      <c r="K261" s="51" t="s">
        <v>5015</v>
      </c>
    </row>
    <row r="262" spans="1:11">
      <c r="A262" s="51">
        <v>249</v>
      </c>
      <c r="B262" s="51" t="s">
        <v>5014</v>
      </c>
      <c r="C262" s="51" t="s">
        <v>5015</v>
      </c>
      <c r="D262" s="52" t="s">
        <v>5031</v>
      </c>
      <c r="E262" s="52" t="s">
        <v>5032</v>
      </c>
      <c r="F262" s="53" t="s">
        <v>5030</v>
      </c>
      <c r="G262" s="51" t="s">
        <v>4812</v>
      </c>
      <c r="H262" s="54"/>
      <c r="I262" s="55">
        <v>0</v>
      </c>
      <c r="K262" s="51" t="s">
        <v>5015</v>
      </c>
    </row>
    <row r="263" spans="1:11">
      <c r="A263" s="51">
        <v>250</v>
      </c>
      <c r="B263" s="51" t="s">
        <v>5014</v>
      </c>
      <c r="C263" s="51" t="s">
        <v>5015</v>
      </c>
      <c r="D263" s="52" t="s">
        <v>5031</v>
      </c>
      <c r="E263" s="52" t="s">
        <v>5032</v>
      </c>
      <c r="F263" s="53" t="s">
        <v>5030</v>
      </c>
      <c r="G263" s="51" t="s">
        <v>4812</v>
      </c>
      <c r="H263" s="54"/>
      <c r="I263" s="55">
        <v>0</v>
      </c>
      <c r="K263" s="51" t="s">
        <v>5015</v>
      </c>
    </row>
    <row r="264" spans="1:11">
      <c r="A264" s="51">
        <v>251</v>
      </c>
      <c r="B264" s="51" t="s">
        <v>5014</v>
      </c>
      <c r="C264" s="51" t="s">
        <v>5015</v>
      </c>
      <c r="D264" s="52" t="s">
        <v>5031</v>
      </c>
      <c r="E264" s="52" t="s">
        <v>5032</v>
      </c>
      <c r="F264" s="53" t="s">
        <v>5030</v>
      </c>
      <c r="G264" s="51" t="s">
        <v>4812</v>
      </c>
      <c r="H264" s="54"/>
      <c r="I264" s="55">
        <v>0</v>
      </c>
      <c r="K264" s="51" t="s">
        <v>5015</v>
      </c>
    </row>
    <row r="265" spans="1:11">
      <c r="A265" s="51">
        <v>252</v>
      </c>
      <c r="B265" s="51" t="s">
        <v>5014</v>
      </c>
      <c r="C265" s="51" t="s">
        <v>5015</v>
      </c>
      <c r="D265" s="52" t="s">
        <v>5033</v>
      </c>
      <c r="E265" s="52" t="s">
        <v>5034</v>
      </c>
      <c r="F265" s="53" t="s">
        <v>5035</v>
      </c>
      <c r="G265" s="51" t="s">
        <v>4812</v>
      </c>
      <c r="H265" s="54"/>
      <c r="I265" s="55">
        <v>8</v>
      </c>
      <c r="K265" s="51" t="s">
        <v>5015</v>
      </c>
    </row>
    <row r="266" spans="1:11">
      <c r="A266" s="51">
        <v>253</v>
      </c>
      <c r="B266" s="51" t="s">
        <v>5014</v>
      </c>
      <c r="C266" s="51" t="s">
        <v>5015</v>
      </c>
      <c r="D266" s="52" t="s">
        <v>5033</v>
      </c>
      <c r="E266" s="52" t="s">
        <v>5034</v>
      </c>
      <c r="F266" s="53" t="s">
        <v>5035</v>
      </c>
      <c r="G266" s="51" t="s">
        <v>4812</v>
      </c>
      <c r="H266" s="54"/>
      <c r="I266" s="55">
        <v>10</v>
      </c>
      <c r="K266" s="51" t="s">
        <v>5015</v>
      </c>
    </row>
    <row r="267" spans="1:11">
      <c r="A267" s="51">
        <v>254</v>
      </c>
      <c r="B267" s="51" t="s">
        <v>5014</v>
      </c>
      <c r="C267" s="51" t="s">
        <v>5015</v>
      </c>
      <c r="D267" s="52" t="s">
        <v>5033</v>
      </c>
      <c r="E267" s="52" t="s">
        <v>5034</v>
      </c>
      <c r="F267" s="53" t="s">
        <v>5035</v>
      </c>
      <c r="G267" s="51" t="s">
        <v>4812</v>
      </c>
      <c r="H267" s="54"/>
      <c r="I267" s="55">
        <v>10</v>
      </c>
      <c r="K267" s="51" t="s">
        <v>5015</v>
      </c>
    </row>
    <row r="268" spans="1:11">
      <c r="A268" s="51">
        <v>255</v>
      </c>
      <c r="B268" s="51" t="s">
        <v>5014</v>
      </c>
      <c r="C268" s="51" t="s">
        <v>5015</v>
      </c>
      <c r="D268" s="52" t="s">
        <v>5033</v>
      </c>
      <c r="E268" s="52" t="s">
        <v>5034</v>
      </c>
      <c r="F268" s="53" t="s">
        <v>5035</v>
      </c>
      <c r="G268" s="51" t="s">
        <v>4812</v>
      </c>
      <c r="H268" s="54"/>
      <c r="I268" s="55">
        <v>10</v>
      </c>
      <c r="K268" s="51" t="s">
        <v>5015</v>
      </c>
    </row>
    <row r="269" spans="1:11">
      <c r="A269" s="51">
        <v>256</v>
      </c>
      <c r="B269" s="51" t="s">
        <v>5014</v>
      </c>
      <c r="C269" s="51" t="s">
        <v>5015</v>
      </c>
      <c r="D269" s="52" t="s">
        <v>5033</v>
      </c>
      <c r="E269" s="52" t="s">
        <v>5034</v>
      </c>
      <c r="F269" s="53" t="s">
        <v>5035</v>
      </c>
      <c r="G269" s="51" t="s">
        <v>4812</v>
      </c>
      <c r="H269" s="54"/>
      <c r="I269" s="55">
        <v>10</v>
      </c>
      <c r="K269" s="51" t="s">
        <v>5015</v>
      </c>
    </row>
    <row r="270" spans="1:11">
      <c r="A270" s="51">
        <v>257</v>
      </c>
      <c r="B270" s="51" t="s">
        <v>5014</v>
      </c>
      <c r="C270" s="51" t="s">
        <v>5015</v>
      </c>
      <c r="D270" s="52" t="s">
        <v>5033</v>
      </c>
      <c r="E270" s="52" t="s">
        <v>5034</v>
      </c>
      <c r="F270" s="53" t="s">
        <v>5035</v>
      </c>
      <c r="G270" s="51" t="s">
        <v>4812</v>
      </c>
      <c r="H270" s="54"/>
      <c r="I270" s="55">
        <v>0</v>
      </c>
      <c r="K270" s="51" t="s">
        <v>5015</v>
      </c>
    </row>
    <row r="271" spans="1:11">
      <c r="A271" s="51">
        <v>258</v>
      </c>
      <c r="B271" s="51" t="s">
        <v>5014</v>
      </c>
      <c r="C271" s="51" t="s">
        <v>5015</v>
      </c>
      <c r="D271" s="52" t="s">
        <v>5033</v>
      </c>
      <c r="E271" s="52" t="s">
        <v>5034</v>
      </c>
      <c r="F271" s="53" t="s">
        <v>5035</v>
      </c>
      <c r="G271" s="51" t="s">
        <v>4812</v>
      </c>
      <c r="H271" s="54"/>
      <c r="I271" s="55">
        <v>0</v>
      </c>
      <c r="K271" s="51" t="s">
        <v>5015</v>
      </c>
    </row>
    <row r="272" spans="1:11">
      <c r="A272" s="51">
        <v>259</v>
      </c>
      <c r="B272" s="51" t="s">
        <v>5014</v>
      </c>
      <c r="C272" s="51" t="s">
        <v>5015</v>
      </c>
      <c r="D272" s="52" t="s">
        <v>5033</v>
      </c>
      <c r="E272" s="52" t="s">
        <v>5034</v>
      </c>
      <c r="F272" s="53" t="s">
        <v>5035</v>
      </c>
      <c r="G272" s="51" t="s">
        <v>4812</v>
      </c>
      <c r="H272" s="54"/>
      <c r="I272" s="55">
        <v>0</v>
      </c>
      <c r="K272" s="51" t="s">
        <v>5015</v>
      </c>
    </row>
    <row r="273" spans="1:11">
      <c r="A273" s="51">
        <v>260</v>
      </c>
      <c r="B273" s="51" t="s">
        <v>5014</v>
      </c>
      <c r="C273" s="51" t="s">
        <v>5015</v>
      </c>
      <c r="D273" s="52" t="s">
        <v>5033</v>
      </c>
      <c r="E273" s="52" t="s">
        <v>5034</v>
      </c>
      <c r="F273" s="53" t="s">
        <v>5035</v>
      </c>
      <c r="G273" s="51" t="s">
        <v>4812</v>
      </c>
      <c r="H273" s="54"/>
      <c r="I273" s="55">
        <v>0</v>
      </c>
      <c r="K273" s="51" t="s">
        <v>5015</v>
      </c>
    </row>
    <row r="274" spans="1:11">
      <c r="A274" s="51">
        <v>261</v>
      </c>
      <c r="B274" s="51" t="s">
        <v>5014</v>
      </c>
      <c r="C274" s="51" t="s">
        <v>5015</v>
      </c>
      <c r="D274" s="52" t="s">
        <v>5033</v>
      </c>
      <c r="E274" s="52" t="s">
        <v>5034</v>
      </c>
      <c r="F274" s="53" t="s">
        <v>5035</v>
      </c>
      <c r="G274" s="51" t="s">
        <v>4812</v>
      </c>
      <c r="H274" s="54"/>
      <c r="I274" s="55">
        <v>8</v>
      </c>
      <c r="K274" s="51" t="s">
        <v>5015</v>
      </c>
    </row>
    <row r="275" spans="1:11">
      <c r="A275" s="51">
        <v>262</v>
      </c>
      <c r="B275" s="51" t="s">
        <v>5014</v>
      </c>
      <c r="C275" s="51" t="s">
        <v>5015</v>
      </c>
      <c r="D275" s="52" t="s">
        <v>5036</v>
      </c>
      <c r="E275" s="52" t="s">
        <v>5037</v>
      </c>
      <c r="F275" s="53" t="s">
        <v>5038</v>
      </c>
      <c r="G275" s="51" t="s">
        <v>4812</v>
      </c>
      <c r="H275" s="54"/>
      <c r="I275" s="55">
        <v>10</v>
      </c>
      <c r="K275" s="51" t="s">
        <v>5015</v>
      </c>
    </row>
    <row r="276" spans="1:11">
      <c r="A276" s="51">
        <v>263</v>
      </c>
      <c r="B276" s="51" t="s">
        <v>5014</v>
      </c>
      <c r="C276" s="51" t="s">
        <v>5015</v>
      </c>
      <c r="D276" s="52" t="s">
        <v>5036</v>
      </c>
      <c r="E276" s="52" t="s">
        <v>5037</v>
      </c>
      <c r="F276" s="53" t="s">
        <v>5038</v>
      </c>
      <c r="G276" s="51" t="s">
        <v>4812</v>
      </c>
      <c r="H276" s="54"/>
      <c r="I276" s="55">
        <v>10</v>
      </c>
      <c r="K276" s="51" t="s">
        <v>5015</v>
      </c>
    </row>
    <row r="277" spans="1:11">
      <c r="A277" s="51">
        <v>264</v>
      </c>
      <c r="B277" s="51" t="s">
        <v>5014</v>
      </c>
      <c r="C277" s="51" t="s">
        <v>5015</v>
      </c>
      <c r="D277" s="52" t="s">
        <v>5036</v>
      </c>
      <c r="E277" s="52" t="s">
        <v>5037</v>
      </c>
      <c r="F277" s="53" t="s">
        <v>5038</v>
      </c>
      <c r="G277" s="51" t="s">
        <v>4812</v>
      </c>
      <c r="H277" s="54"/>
      <c r="I277" s="55">
        <v>10</v>
      </c>
      <c r="K277" s="51" t="s">
        <v>5015</v>
      </c>
    </row>
    <row r="278" spans="1:11">
      <c r="A278" s="51">
        <v>265</v>
      </c>
      <c r="B278" s="51" t="s">
        <v>5014</v>
      </c>
      <c r="C278" s="51" t="s">
        <v>5015</v>
      </c>
      <c r="D278" s="52" t="s">
        <v>5036</v>
      </c>
      <c r="E278" s="52" t="s">
        <v>5037</v>
      </c>
      <c r="F278" s="53" t="s">
        <v>5038</v>
      </c>
      <c r="G278" s="51" t="s">
        <v>4812</v>
      </c>
      <c r="H278" s="54"/>
      <c r="I278" s="55">
        <v>10</v>
      </c>
      <c r="K278" s="51" t="s">
        <v>5015</v>
      </c>
    </row>
    <row r="279" spans="1:11">
      <c r="A279" s="51">
        <v>266</v>
      </c>
      <c r="B279" s="51" t="s">
        <v>5014</v>
      </c>
      <c r="C279" s="51" t="s">
        <v>5015</v>
      </c>
      <c r="D279" s="52" t="s">
        <v>5036</v>
      </c>
      <c r="E279" s="52" t="s">
        <v>5037</v>
      </c>
      <c r="F279" s="53" t="s">
        <v>5038</v>
      </c>
      <c r="G279" s="51" t="s">
        <v>4812</v>
      </c>
      <c r="H279" s="54"/>
      <c r="I279" s="55">
        <v>0</v>
      </c>
      <c r="K279" s="51" t="s">
        <v>5015</v>
      </c>
    </row>
    <row r="280" spans="1:11">
      <c r="A280" s="51">
        <v>267</v>
      </c>
      <c r="B280" s="51" t="s">
        <v>5014</v>
      </c>
      <c r="C280" s="51" t="s">
        <v>5015</v>
      </c>
      <c r="D280" s="52" t="s">
        <v>5036</v>
      </c>
      <c r="E280" s="52" t="s">
        <v>5037</v>
      </c>
      <c r="F280" s="53" t="s">
        <v>5038</v>
      </c>
      <c r="G280" s="51" t="s">
        <v>4812</v>
      </c>
      <c r="H280" s="54"/>
      <c r="I280" s="55">
        <v>0</v>
      </c>
      <c r="K280" s="51" t="s">
        <v>5015</v>
      </c>
    </row>
    <row r="281" spans="1:11">
      <c r="A281" s="51">
        <v>268</v>
      </c>
      <c r="B281" s="51" t="s">
        <v>5014</v>
      </c>
      <c r="C281" s="51" t="s">
        <v>5015</v>
      </c>
      <c r="D281" s="52" t="s">
        <v>5036</v>
      </c>
      <c r="E281" s="52" t="s">
        <v>5037</v>
      </c>
      <c r="F281" s="53" t="s">
        <v>5038</v>
      </c>
      <c r="G281" s="51" t="s">
        <v>4812</v>
      </c>
      <c r="H281" s="54"/>
      <c r="I281" s="55">
        <v>0</v>
      </c>
      <c r="K281" s="51" t="s">
        <v>5015</v>
      </c>
    </row>
    <row r="282" spans="1:11">
      <c r="A282" s="51">
        <v>269</v>
      </c>
      <c r="B282" s="51" t="s">
        <v>5014</v>
      </c>
      <c r="C282" s="51" t="s">
        <v>5015</v>
      </c>
      <c r="D282" s="52" t="s">
        <v>5036</v>
      </c>
      <c r="E282" s="52" t="s">
        <v>5037</v>
      </c>
      <c r="F282" s="53" t="s">
        <v>5038</v>
      </c>
      <c r="G282" s="51" t="s">
        <v>4812</v>
      </c>
      <c r="H282" s="54"/>
      <c r="I282" s="55">
        <v>0</v>
      </c>
      <c r="K282" s="51" t="s">
        <v>5015</v>
      </c>
    </row>
    <row r="283" spans="1:11">
      <c r="A283" s="51">
        <v>270</v>
      </c>
      <c r="B283" s="51" t="s">
        <v>5014</v>
      </c>
      <c r="C283" s="51" t="s">
        <v>5015</v>
      </c>
      <c r="D283" s="52" t="s">
        <v>5036</v>
      </c>
      <c r="E283" s="52" t="s">
        <v>5037</v>
      </c>
      <c r="F283" s="53" t="s">
        <v>5038</v>
      </c>
      <c r="G283" s="51" t="s">
        <v>4812</v>
      </c>
      <c r="H283" s="54"/>
      <c r="I283" s="55">
        <v>0</v>
      </c>
      <c r="K283" s="51" t="s">
        <v>5015</v>
      </c>
    </row>
    <row r="284" spans="1:11">
      <c r="A284" s="51">
        <v>271</v>
      </c>
      <c r="B284" s="51" t="s">
        <v>5014</v>
      </c>
      <c r="C284" s="51" t="s">
        <v>5015</v>
      </c>
      <c r="D284" s="52" t="s">
        <v>5036</v>
      </c>
      <c r="E284" s="52" t="s">
        <v>5037</v>
      </c>
      <c r="F284" s="53" t="s">
        <v>5038</v>
      </c>
      <c r="G284" s="51" t="s">
        <v>4812</v>
      </c>
      <c r="H284" s="54"/>
      <c r="I284" s="55">
        <v>0</v>
      </c>
      <c r="K284" s="51" t="s">
        <v>5015</v>
      </c>
    </row>
    <row r="285" spans="1:11">
      <c r="A285" s="51">
        <v>272</v>
      </c>
      <c r="B285" s="51" t="s">
        <v>5014</v>
      </c>
      <c r="C285" s="51" t="s">
        <v>5015</v>
      </c>
      <c r="D285" s="52" t="s">
        <v>5039</v>
      </c>
      <c r="E285" s="52" t="s">
        <v>5040</v>
      </c>
      <c r="F285" s="53" t="s">
        <v>5041</v>
      </c>
      <c r="G285" s="51" t="s">
        <v>4812</v>
      </c>
      <c r="H285" s="54"/>
      <c r="I285" s="55">
        <v>10</v>
      </c>
      <c r="K285" s="51" t="s">
        <v>5015</v>
      </c>
    </row>
    <row r="286" spans="1:11">
      <c r="A286" s="51">
        <v>273</v>
      </c>
      <c r="B286" s="51" t="s">
        <v>5014</v>
      </c>
      <c r="C286" s="51" t="s">
        <v>5015</v>
      </c>
      <c r="D286" s="52" t="s">
        <v>5039</v>
      </c>
      <c r="E286" s="52" t="s">
        <v>5040</v>
      </c>
      <c r="F286" s="53" t="s">
        <v>5041</v>
      </c>
      <c r="G286" s="51" t="s">
        <v>4812</v>
      </c>
      <c r="H286" s="54"/>
      <c r="I286" s="55">
        <v>10</v>
      </c>
      <c r="K286" s="51" t="s">
        <v>5015</v>
      </c>
    </row>
    <row r="287" spans="1:11">
      <c r="A287" s="51">
        <v>274</v>
      </c>
      <c r="B287" s="51" t="s">
        <v>5014</v>
      </c>
      <c r="C287" s="51" t="s">
        <v>5015</v>
      </c>
      <c r="D287" s="52" t="s">
        <v>5039</v>
      </c>
      <c r="E287" s="52" t="s">
        <v>5040</v>
      </c>
      <c r="F287" s="53" t="s">
        <v>5041</v>
      </c>
      <c r="G287" s="51" t="s">
        <v>4812</v>
      </c>
      <c r="H287" s="54"/>
      <c r="I287" s="55">
        <v>10</v>
      </c>
      <c r="K287" s="51" t="s">
        <v>5015</v>
      </c>
    </row>
    <row r="288" spans="1:11">
      <c r="A288" s="51">
        <v>275</v>
      </c>
      <c r="B288" s="51" t="s">
        <v>5014</v>
      </c>
      <c r="C288" s="51" t="s">
        <v>5015</v>
      </c>
      <c r="D288" s="52" t="s">
        <v>5039</v>
      </c>
      <c r="E288" s="52" t="s">
        <v>5040</v>
      </c>
      <c r="F288" s="53" t="s">
        <v>5041</v>
      </c>
      <c r="G288" s="51" t="s">
        <v>4812</v>
      </c>
      <c r="H288" s="54"/>
      <c r="I288" s="55">
        <v>10</v>
      </c>
      <c r="K288" s="51" t="s">
        <v>5015</v>
      </c>
    </row>
    <row r="289" spans="1:11">
      <c r="A289" s="51">
        <v>276</v>
      </c>
      <c r="B289" s="51" t="s">
        <v>5014</v>
      </c>
      <c r="C289" s="51" t="s">
        <v>5015</v>
      </c>
      <c r="D289" s="52" t="s">
        <v>5039</v>
      </c>
      <c r="E289" s="52" t="s">
        <v>5040</v>
      </c>
      <c r="F289" s="53" t="s">
        <v>5041</v>
      </c>
      <c r="G289" s="51" t="s">
        <v>4812</v>
      </c>
      <c r="H289" s="54"/>
      <c r="I289" s="55">
        <v>0</v>
      </c>
      <c r="K289" s="51" t="s">
        <v>5015</v>
      </c>
    </row>
    <row r="290" spans="1:11">
      <c r="A290" s="51">
        <v>277</v>
      </c>
      <c r="B290" s="51" t="s">
        <v>5014</v>
      </c>
      <c r="C290" s="51" t="s">
        <v>5015</v>
      </c>
      <c r="D290" s="52" t="s">
        <v>5039</v>
      </c>
      <c r="E290" s="52" t="s">
        <v>5040</v>
      </c>
      <c r="F290" s="53" t="s">
        <v>5041</v>
      </c>
      <c r="G290" s="51" t="s">
        <v>4812</v>
      </c>
      <c r="H290" s="54"/>
      <c r="I290" s="55">
        <v>0</v>
      </c>
      <c r="K290" s="51" t="s">
        <v>5015</v>
      </c>
    </row>
    <row r="291" spans="1:11">
      <c r="A291" s="51">
        <v>278</v>
      </c>
      <c r="B291" s="51" t="s">
        <v>5014</v>
      </c>
      <c r="C291" s="51" t="s">
        <v>5015</v>
      </c>
      <c r="D291" s="52" t="s">
        <v>5039</v>
      </c>
      <c r="E291" s="52" t="s">
        <v>5040</v>
      </c>
      <c r="F291" s="53" t="s">
        <v>5041</v>
      </c>
      <c r="G291" s="51" t="s">
        <v>4812</v>
      </c>
      <c r="H291" s="54"/>
      <c r="I291" s="55">
        <v>0</v>
      </c>
      <c r="K291" s="51" t="s">
        <v>5015</v>
      </c>
    </row>
    <row r="292" spans="1:11">
      <c r="A292" s="51">
        <v>279</v>
      </c>
      <c r="B292" s="51" t="s">
        <v>5014</v>
      </c>
      <c r="C292" s="51" t="s">
        <v>5015</v>
      </c>
      <c r="D292" s="52" t="s">
        <v>5039</v>
      </c>
      <c r="E292" s="52" t="s">
        <v>5040</v>
      </c>
      <c r="F292" s="53" t="s">
        <v>5041</v>
      </c>
      <c r="G292" s="51" t="s">
        <v>4812</v>
      </c>
      <c r="H292" s="54"/>
      <c r="I292" s="55">
        <v>0</v>
      </c>
      <c r="K292" s="51" t="s">
        <v>5015</v>
      </c>
    </row>
    <row r="293" spans="1:11">
      <c r="A293" s="51">
        <v>280</v>
      </c>
      <c r="B293" s="51" t="s">
        <v>5014</v>
      </c>
      <c r="C293" s="51" t="s">
        <v>5015</v>
      </c>
      <c r="D293" s="52" t="s">
        <v>5039</v>
      </c>
      <c r="E293" s="52" t="s">
        <v>5040</v>
      </c>
      <c r="F293" s="53" t="s">
        <v>5041</v>
      </c>
      <c r="G293" s="51" t="s">
        <v>4812</v>
      </c>
      <c r="H293" s="54"/>
      <c r="I293" s="55">
        <v>0</v>
      </c>
      <c r="K293" s="51" t="s">
        <v>5015</v>
      </c>
    </row>
    <row r="294" spans="1:11">
      <c r="A294" s="51">
        <v>281</v>
      </c>
      <c r="B294" s="51" t="s">
        <v>5014</v>
      </c>
      <c r="C294" s="51" t="s">
        <v>5015</v>
      </c>
      <c r="D294" s="52" t="s">
        <v>5039</v>
      </c>
      <c r="E294" s="52" t="s">
        <v>5040</v>
      </c>
      <c r="F294" s="53" t="s">
        <v>5041</v>
      </c>
      <c r="G294" s="51" t="s">
        <v>4812</v>
      </c>
      <c r="H294" s="54"/>
      <c r="I294" s="55">
        <v>0</v>
      </c>
      <c r="K294" s="51" t="s">
        <v>5015</v>
      </c>
    </row>
    <row r="295" spans="1:11">
      <c r="A295" s="51">
        <v>282</v>
      </c>
      <c r="B295" s="51" t="s">
        <v>5014</v>
      </c>
      <c r="C295" s="51" t="s">
        <v>5015</v>
      </c>
      <c r="D295" s="52" t="s">
        <v>5042</v>
      </c>
      <c r="E295" s="52" t="s">
        <v>1271</v>
      </c>
      <c r="F295" s="53" t="s">
        <v>5043</v>
      </c>
      <c r="G295" s="51" t="s">
        <v>4812</v>
      </c>
      <c r="H295" s="54"/>
      <c r="I295" s="55">
        <v>10</v>
      </c>
      <c r="K295" s="51" t="s">
        <v>5015</v>
      </c>
    </row>
    <row r="296" spans="1:11">
      <c r="A296" s="51">
        <v>283</v>
      </c>
      <c r="B296" s="51" t="s">
        <v>5014</v>
      </c>
      <c r="C296" s="51" t="s">
        <v>5015</v>
      </c>
      <c r="D296" s="52" t="s">
        <v>5042</v>
      </c>
      <c r="E296" s="52" t="s">
        <v>1271</v>
      </c>
      <c r="F296" s="53" t="s">
        <v>5043</v>
      </c>
      <c r="G296" s="51" t="s">
        <v>4812</v>
      </c>
      <c r="H296" s="54"/>
      <c r="I296" s="55">
        <v>10</v>
      </c>
      <c r="K296" s="51" t="s">
        <v>5015</v>
      </c>
    </row>
    <row r="297" spans="1:11">
      <c r="A297" s="51">
        <v>284</v>
      </c>
      <c r="B297" s="51" t="s">
        <v>5014</v>
      </c>
      <c r="C297" s="51" t="s">
        <v>5015</v>
      </c>
      <c r="D297" s="52" t="s">
        <v>5042</v>
      </c>
      <c r="E297" s="52" t="s">
        <v>1271</v>
      </c>
      <c r="F297" s="53" t="s">
        <v>5043</v>
      </c>
      <c r="G297" s="51" t="s">
        <v>4812</v>
      </c>
      <c r="H297" s="54"/>
      <c r="I297" s="55">
        <v>10</v>
      </c>
      <c r="K297" s="51" t="s">
        <v>5015</v>
      </c>
    </row>
    <row r="298" spans="1:11">
      <c r="A298" s="51">
        <v>285</v>
      </c>
      <c r="B298" s="51" t="s">
        <v>5014</v>
      </c>
      <c r="C298" s="51" t="s">
        <v>5015</v>
      </c>
      <c r="D298" s="52" t="s">
        <v>5042</v>
      </c>
      <c r="E298" s="52" t="s">
        <v>1271</v>
      </c>
      <c r="F298" s="53" t="s">
        <v>5043</v>
      </c>
      <c r="G298" s="51" t="s">
        <v>4812</v>
      </c>
      <c r="H298" s="54"/>
      <c r="I298" s="55">
        <v>10</v>
      </c>
      <c r="K298" s="51" t="s">
        <v>5015</v>
      </c>
    </row>
    <row r="299" spans="1:11">
      <c r="A299" s="51">
        <v>286</v>
      </c>
      <c r="B299" s="51" t="s">
        <v>5014</v>
      </c>
      <c r="C299" s="51" t="s">
        <v>5015</v>
      </c>
      <c r="D299" s="52" t="s">
        <v>5042</v>
      </c>
      <c r="E299" s="52" t="s">
        <v>1271</v>
      </c>
      <c r="F299" s="53" t="s">
        <v>5043</v>
      </c>
      <c r="G299" s="51" t="s">
        <v>4812</v>
      </c>
      <c r="H299" s="54"/>
      <c r="I299" s="55">
        <v>20</v>
      </c>
      <c r="K299" s="51" t="s">
        <v>5015</v>
      </c>
    </row>
    <row r="300" spans="1:11">
      <c r="A300" s="51">
        <v>287</v>
      </c>
      <c r="B300" s="51" t="s">
        <v>5014</v>
      </c>
      <c r="C300" s="51" t="s">
        <v>5015</v>
      </c>
      <c r="D300" s="52" t="s">
        <v>5042</v>
      </c>
      <c r="E300" s="52" t="s">
        <v>1271</v>
      </c>
      <c r="F300" s="53" t="s">
        <v>5043</v>
      </c>
      <c r="G300" s="51" t="s">
        <v>4812</v>
      </c>
      <c r="H300" s="54"/>
      <c r="I300" s="55">
        <v>0</v>
      </c>
      <c r="K300" s="51" t="s">
        <v>5015</v>
      </c>
    </row>
    <row r="301" spans="1:11">
      <c r="A301" s="51">
        <v>288</v>
      </c>
      <c r="B301" s="51" t="s">
        <v>5014</v>
      </c>
      <c r="C301" s="51" t="s">
        <v>5015</v>
      </c>
      <c r="D301" s="52" t="s">
        <v>5042</v>
      </c>
      <c r="E301" s="52" t="s">
        <v>1271</v>
      </c>
      <c r="F301" s="53" t="s">
        <v>5043</v>
      </c>
      <c r="G301" s="51" t="s">
        <v>4812</v>
      </c>
      <c r="H301" s="54"/>
      <c r="I301" s="55">
        <v>0</v>
      </c>
      <c r="K301" s="51" t="s">
        <v>5015</v>
      </c>
    </row>
    <row r="302" spans="1:11">
      <c r="A302" s="51">
        <v>289</v>
      </c>
      <c r="B302" s="51" t="s">
        <v>5014</v>
      </c>
      <c r="C302" s="51" t="s">
        <v>5015</v>
      </c>
      <c r="D302" s="52" t="s">
        <v>5042</v>
      </c>
      <c r="E302" s="52" t="s">
        <v>1271</v>
      </c>
      <c r="F302" s="53" t="s">
        <v>5043</v>
      </c>
      <c r="G302" s="51" t="s">
        <v>4812</v>
      </c>
      <c r="H302" s="54"/>
      <c r="I302" s="55">
        <v>0</v>
      </c>
      <c r="K302" s="51" t="s">
        <v>5015</v>
      </c>
    </row>
    <row r="303" spans="1:11">
      <c r="A303" s="51">
        <v>290</v>
      </c>
      <c r="B303" s="51" t="s">
        <v>5014</v>
      </c>
      <c r="C303" s="51" t="s">
        <v>5015</v>
      </c>
      <c r="D303" s="52" t="s">
        <v>5042</v>
      </c>
      <c r="E303" s="52" t="s">
        <v>1271</v>
      </c>
      <c r="F303" s="53" t="s">
        <v>5043</v>
      </c>
      <c r="G303" s="51" t="s">
        <v>4812</v>
      </c>
      <c r="H303" s="54"/>
      <c r="I303" s="55">
        <v>0</v>
      </c>
      <c r="K303" s="51" t="s">
        <v>5015</v>
      </c>
    </row>
    <row r="304" spans="1:11">
      <c r="A304" s="51">
        <v>291</v>
      </c>
      <c r="B304" s="51" t="s">
        <v>5014</v>
      </c>
      <c r="C304" s="51" t="s">
        <v>5015</v>
      </c>
      <c r="D304" s="52" t="s">
        <v>5042</v>
      </c>
      <c r="E304" s="52" t="s">
        <v>1271</v>
      </c>
      <c r="F304" s="53" t="s">
        <v>5043</v>
      </c>
      <c r="G304" s="51" t="s">
        <v>4812</v>
      </c>
      <c r="H304" s="54"/>
      <c r="I304" s="55">
        <v>0</v>
      </c>
      <c r="K304" s="51" t="s">
        <v>5015</v>
      </c>
    </row>
    <row r="305" spans="1:11">
      <c r="A305" s="51">
        <v>292</v>
      </c>
      <c r="B305" s="51" t="s">
        <v>5014</v>
      </c>
      <c r="C305" s="51" t="s">
        <v>5015</v>
      </c>
      <c r="D305" s="52" t="s">
        <v>955</v>
      </c>
      <c r="E305" s="52" t="s">
        <v>954</v>
      </c>
      <c r="F305" s="53" t="s">
        <v>5044</v>
      </c>
      <c r="G305" s="51" t="s">
        <v>4812</v>
      </c>
      <c r="H305" s="54"/>
      <c r="I305" s="55">
        <v>5</v>
      </c>
      <c r="K305" s="51" t="s">
        <v>5015</v>
      </c>
    </row>
    <row r="306" spans="1:11">
      <c r="A306" s="51">
        <v>293</v>
      </c>
      <c r="B306" s="51" t="s">
        <v>5014</v>
      </c>
      <c r="C306" s="51" t="s">
        <v>5015</v>
      </c>
      <c r="D306" s="52" t="s">
        <v>955</v>
      </c>
      <c r="E306" s="52" t="s">
        <v>954</v>
      </c>
      <c r="F306" s="53" t="s">
        <v>5044</v>
      </c>
      <c r="G306" s="51" t="s">
        <v>4812</v>
      </c>
      <c r="H306" s="54"/>
      <c r="I306" s="55">
        <v>18</v>
      </c>
      <c r="K306" s="51" t="s">
        <v>5015</v>
      </c>
    </row>
    <row r="307" spans="1:11">
      <c r="A307" s="51">
        <v>294</v>
      </c>
      <c r="B307" s="51" t="s">
        <v>5014</v>
      </c>
      <c r="C307" s="51" t="s">
        <v>5015</v>
      </c>
      <c r="D307" s="52" t="s">
        <v>955</v>
      </c>
      <c r="E307" s="52" t="s">
        <v>954</v>
      </c>
      <c r="F307" s="53" t="s">
        <v>5044</v>
      </c>
      <c r="G307" s="51" t="s">
        <v>4812</v>
      </c>
      <c r="H307" s="54"/>
      <c r="I307" s="55">
        <v>18</v>
      </c>
      <c r="K307" s="51" t="s">
        <v>5015</v>
      </c>
    </row>
    <row r="308" spans="1:11">
      <c r="A308" s="51">
        <v>295</v>
      </c>
      <c r="B308" s="51" t="s">
        <v>5014</v>
      </c>
      <c r="C308" s="51" t="s">
        <v>5015</v>
      </c>
      <c r="D308" s="52" t="s">
        <v>955</v>
      </c>
      <c r="E308" s="52" t="s">
        <v>954</v>
      </c>
      <c r="F308" s="53" t="s">
        <v>5044</v>
      </c>
      <c r="G308" s="51" t="s">
        <v>4812</v>
      </c>
      <c r="H308" s="54"/>
      <c r="I308" s="55">
        <v>18</v>
      </c>
      <c r="K308" s="51" t="s">
        <v>5015</v>
      </c>
    </row>
    <row r="309" spans="1:11">
      <c r="A309" s="51">
        <v>296</v>
      </c>
      <c r="B309" s="51" t="s">
        <v>5014</v>
      </c>
      <c r="C309" s="51" t="s">
        <v>5015</v>
      </c>
      <c r="D309" s="52" t="s">
        <v>955</v>
      </c>
      <c r="E309" s="52" t="s">
        <v>954</v>
      </c>
      <c r="F309" s="53" t="s">
        <v>5044</v>
      </c>
      <c r="G309" s="51" t="s">
        <v>4812</v>
      </c>
      <c r="H309" s="54"/>
      <c r="I309" s="55">
        <v>18</v>
      </c>
      <c r="K309" s="51" t="s">
        <v>5015</v>
      </c>
    </row>
    <row r="310" spans="1:11">
      <c r="A310" s="51">
        <v>297</v>
      </c>
      <c r="B310" s="51" t="s">
        <v>5014</v>
      </c>
      <c r="C310" s="51" t="s">
        <v>5015</v>
      </c>
      <c r="D310" s="52" t="s">
        <v>955</v>
      </c>
      <c r="E310" s="52" t="s">
        <v>954</v>
      </c>
      <c r="F310" s="53" t="s">
        <v>5044</v>
      </c>
      <c r="G310" s="51" t="s">
        <v>4812</v>
      </c>
      <c r="H310" s="54"/>
      <c r="I310" s="55">
        <v>18</v>
      </c>
      <c r="K310" s="51" t="s">
        <v>5015</v>
      </c>
    </row>
    <row r="311" spans="1:11">
      <c r="A311" s="51">
        <v>298</v>
      </c>
      <c r="B311" s="51" t="s">
        <v>5014</v>
      </c>
      <c r="C311" s="51" t="s">
        <v>5015</v>
      </c>
      <c r="D311" s="52" t="s">
        <v>955</v>
      </c>
      <c r="E311" s="52" t="s">
        <v>954</v>
      </c>
      <c r="F311" s="53" t="s">
        <v>5044</v>
      </c>
      <c r="G311" s="51" t="s">
        <v>4812</v>
      </c>
      <c r="H311" s="54"/>
      <c r="I311" s="55">
        <v>18</v>
      </c>
      <c r="K311" s="51" t="s">
        <v>5015</v>
      </c>
    </row>
    <row r="312" spans="1:11">
      <c r="A312" s="51">
        <v>299</v>
      </c>
      <c r="B312" s="51" t="s">
        <v>5014</v>
      </c>
      <c r="C312" s="51" t="s">
        <v>5015</v>
      </c>
      <c r="D312" s="52" t="s">
        <v>955</v>
      </c>
      <c r="E312" s="52" t="s">
        <v>954</v>
      </c>
      <c r="F312" s="53" t="s">
        <v>5044</v>
      </c>
      <c r="G312" s="51" t="s">
        <v>4812</v>
      </c>
      <c r="H312" s="54"/>
      <c r="I312" s="55">
        <v>18</v>
      </c>
      <c r="K312" s="51" t="s">
        <v>5015</v>
      </c>
    </row>
    <row r="313" spans="1:11">
      <c r="A313" s="51">
        <v>300</v>
      </c>
      <c r="B313" s="51" t="s">
        <v>5014</v>
      </c>
      <c r="C313" s="51" t="s">
        <v>5015</v>
      </c>
      <c r="D313" s="52" t="s">
        <v>955</v>
      </c>
      <c r="E313" s="52" t="s">
        <v>954</v>
      </c>
      <c r="F313" s="53" t="s">
        <v>5044</v>
      </c>
      <c r="G313" s="51" t="s">
        <v>4812</v>
      </c>
      <c r="H313" s="54"/>
      <c r="I313" s="55">
        <v>18</v>
      </c>
      <c r="K313" s="51" t="s">
        <v>5015</v>
      </c>
    </row>
    <row r="314" spans="1:11">
      <c r="A314" s="51">
        <v>301</v>
      </c>
      <c r="B314" s="51" t="s">
        <v>5014</v>
      </c>
      <c r="C314" s="51" t="s">
        <v>5015</v>
      </c>
      <c r="D314" s="52" t="s">
        <v>955</v>
      </c>
      <c r="E314" s="52" t="s">
        <v>954</v>
      </c>
      <c r="F314" s="53" t="s">
        <v>5044</v>
      </c>
      <c r="G314" s="51" t="s">
        <v>4812</v>
      </c>
      <c r="H314" s="54"/>
      <c r="I314" s="55">
        <v>18</v>
      </c>
      <c r="K314" s="51" t="s">
        <v>5015</v>
      </c>
    </row>
    <row r="315" spans="1:11">
      <c r="A315" s="51">
        <v>302</v>
      </c>
      <c r="B315" s="51" t="s">
        <v>5014</v>
      </c>
      <c r="C315" s="51" t="s">
        <v>5015</v>
      </c>
      <c r="D315" s="52" t="s">
        <v>955</v>
      </c>
      <c r="E315" s="52" t="s">
        <v>954</v>
      </c>
      <c r="F315" s="53" t="s">
        <v>5044</v>
      </c>
      <c r="G315" s="51" t="s">
        <v>4812</v>
      </c>
      <c r="H315" s="54"/>
      <c r="I315" s="55">
        <v>18</v>
      </c>
      <c r="K315" s="51" t="s">
        <v>5015</v>
      </c>
    </row>
    <row r="316" spans="1:11">
      <c r="A316" s="51">
        <v>303</v>
      </c>
      <c r="B316" s="51" t="s">
        <v>5014</v>
      </c>
      <c r="C316" s="51" t="s">
        <v>5015</v>
      </c>
      <c r="D316" s="52" t="s">
        <v>955</v>
      </c>
      <c r="E316" s="52" t="s">
        <v>954</v>
      </c>
      <c r="F316" s="53" t="s">
        <v>5044</v>
      </c>
      <c r="G316" s="51" t="s">
        <v>4812</v>
      </c>
      <c r="H316" s="54"/>
      <c r="I316" s="55">
        <v>16</v>
      </c>
      <c r="K316" s="51" t="s">
        <v>5015</v>
      </c>
    </row>
    <row r="317" spans="1:11">
      <c r="A317" s="51">
        <v>304</v>
      </c>
      <c r="B317" s="51" t="s">
        <v>5014</v>
      </c>
      <c r="C317" s="51" t="s">
        <v>5015</v>
      </c>
      <c r="D317" s="52" t="s">
        <v>955</v>
      </c>
      <c r="E317" s="52" t="s">
        <v>954</v>
      </c>
      <c r="F317" s="53" t="s">
        <v>5044</v>
      </c>
      <c r="G317" s="51" t="s">
        <v>4812</v>
      </c>
      <c r="H317" s="54"/>
      <c r="I317" s="55">
        <v>18</v>
      </c>
      <c r="K317" s="51" t="s">
        <v>5015</v>
      </c>
    </row>
    <row r="318" spans="1:11">
      <c r="A318" s="51">
        <v>305</v>
      </c>
      <c r="B318" s="51" t="s">
        <v>5014</v>
      </c>
      <c r="C318" s="51" t="s">
        <v>5015</v>
      </c>
      <c r="D318" s="52" t="s">
        <v>955</v>
      </c>
      <c r="E318" s="52" t="s">
        <v>954</v>
      </c>
      <c r="F318" s="53" t="s">
        <v>5044</v>
      </c>
      <c r="G318" s="51" t="s">
        <v>4812</v>
      </c>
      <c r="H318" s="54"/>
      <c r="I318" s="55">
        <v>18</v>
      </c>
      <c r="K318" s="51" t="s">
        <v>5015</v>
      </c>
    </row>
    <row r="319" spans="1:11">
      <c r="A319" s="51">
        <v>306</v>
      </c>
      <c r="B319" s="51" t="s">
        <v>5014</v>
      </c>
      <c r="C319" s="51" t="s">
        <v>5015</v>
      </c>
      <c r="D319" s="52" t="s">
        <v>955</v>
      </c>
      <c r="E319" s="52" t="s">
        <v>954</v>
      </c>
      <c r="F319" s="53" t="s">
        <v>5044</v>
      </c>
      <c r="G319" s="51" t="s">
        <v>4812</v>
      </c>
      <c r="H319" s="54"/>
      <c r="I319" s="55">
        <v>18</v>
      </c>
      <c r="K319" s="51" t="s">
        <v>5015</v>
      </c>
    </row>
    <row r="320" spans="1:11">
      <c r="A320" s="51">
        <v>307</v>
      </c>
      <c r="B320" s="51" t="s">
        <v>5014</v>
      </c>
      <c r="C320" s="51" t="s">
        <v>5015</v>
      </c>
      <c r="D320" s="52" t="s">
        <v>955</v>
      </c>
      <c r="E320" s="52" t="s">
        <v>954</v>
      </c>
      <c r="F320" s="53" t="s">
        <v>5044</v>
      </c>
      <c r="G320" s="51" t="s">
        <v>4812</v>
      </c>
      <c r="H320" s="54"/>
      <c r="I320" s="55">
        <v>18</v>
      </c>
      <c r="K320" s="51" t="s">
        <v>5015</v>
      </c>
    </row>
    <row r="321" spans="1:11">
      <c r="A321" s="51">
        <v>308</v>
      </c>
      <c r="B321" s="51" t="s">
        <v>5014</v>
      </c>
      <c r="C321" s="51" t="s">
        <v>5015</v>
      </c>
      <c r="D321" s="52" t="s">
        <v>955</v>
      </c>
      <c r="E321" s="52" t="s">
        <v>954</v>
      </c>
      <c r="F321" s="53" t="s">
        <v>5044</v>
      </c>
      <c r="G321" s="51" t="s">
        <v>4812</v>
      </c>
      <c r="H321" s="54"/>
      <c r="I321" s="55">
        <v>18</v>
      </c>
      <c r="K321" s="51" t="s">
        <v>5015</v>
      </c>
    </row>
    <row r="322" spans="1:11">
      <c r="A322" s="51">
        <v>309</v>
      </c>
      <c r="B322" s="51" t="s">
        <v>5014</v>
      </c>
      <c r="C322" s="51" t="s">
        <v>5015</v>
      </c>
      <c r="D322" s="52" t="s">
        <v>955</v>
      </c>
      <c r="E322" s="52" t="s">
        <v>954</v>
      </c>
      <c r="F322" s="53" t="s">
        <v>5044</v>
      </c>
      <c r="G322" s="51" t="s">
        <v>4812</v>
      </c>
      <c r="H322" s="54"/>
      <c r="I322" s="55">
        <v>18</v>
      </c>
      <c r="K322" s="51" t="s">
        <v>5015</v>
      </c>
    </row>
    <row r="323" spans="1:11">
      <c r="A323" s="51">
        <v>310</v>
      </c>
      <c r="B323" s="51" t="s">
        <v>5014</v>
      </c>
      <c r="C323" s="51" t="s">
        <v>5015</v>
      </c>
      <c r="D323" s="52" t="s">
        <v>955</v>
      </c>
      <c r="E323" s="52" t="s">
        <v>954</v>
      </c>
      <c r="F323" s="53" t="s">
        <v>5044</v>
      </c>
      <c r="G323" s="51" t="s">
        <v>4812</v>
      </c>
      <c r="H323" s="54"/>
      <c r="I323" s="55">
        <v>18</v>
      </c>
      <c r="K323" s="51" t="s">
        <v>5015</v>
      </c>
    </row>
    <row r="324" spans="1:11">
      <c r="A324" s="51">
        <v>311</v>
      </c>
      <c r="B324" s="51" t="s">
        <v>5014</v>
      </c>
      <c r="C324" s="51" t="s">
        <v>5015</v>
      </c>
      <c r="D324" s="52" t="s">
        <v>955</v>
      </c>
      <c r="E324" s="52" t="s">
        <v>954</v>
      </c>
      <c r="F324" s="53" t="s">
        <v>5044</v>
      </c>
      <c r="G324" s="51" t="s">
        <v>4812</v>
      </c>
      <c r="H324" s="54"/>
      <c r="I324" s="55">
        <v>16</v>
      </c>
      <c r="K324" s="51" t="s">
        <v>5015</v>
      </c>
    </row>
    <row r="325" spans="1:11">
      <c r="A325" s="51">
        <v>312</v>
      </c>
      <c r="B325" s="51" t="s">
        <v>5014</v>
      </c>
      <c r="C325" s="51" t="s">
        <v>5015</v>
      </c>
      <c r="D325" s="52" t="s">
        <v>955</v>
      </c>
      <c r="E325" s="52" t="s">
        <v>954</v>
      </c>
      <c r="F325" s="53" t="s">
        <v>5044</v>
      </c>
      <c r="G325" s="51" t="s">
        <v>4812</v>
      </c>
      <c r="H325" s="54"/>
      <c r="I325" s="55">
        <v>18</v>
      </c>
      <c r="K325" s="51" t="s">
        <v>5015</v>
      </c>
    </row>
    <row r="326" spans="1:11">
      <c r="A326" s="51">
        <v>313</v>
      </c>
      <c r="B326" s="51" t="s">
        <v>5014</v>
      </c>
      <c r="C326" s="51" t="s">
        <v>5015</v>
      </c>
      <c r="D326" s="52" t="s">
        <v>955</v>
      </c>
      <c r="E326" s="52" t="s">
        <v>954</v>
      </c>
      <c r="F326" s="53" t="s">
        <v>5044</v>
      </c>
      <c r="G326" s="51" t="s">
        <v>4812</v>
      </c>
      <c r="H326" s="54"/>
      <c r="I326" s="55">
        <v>18</v>
      </c>
      <c r="K326" s="51" t="s">
        <v>5015</v>
      </c>
    </row>
    <row r="327" spans="1:11">
      <c r="A327" s="51">
        <v>314</v>
      </c>
      <c r="B327" s="51" t="s">
        <v>5014</v>
      </c>
      <c r="C327" s="51" t="s">
        <v>5015</v>
      </c>
      <c r="D327" s="52" t="s">
        <v>955</v>
      </c>
      <c r="E327" s="52" t="s">
        <v>954</v>
      </c>
      <c r="F327" s="53" t="s">
        <v>5044</v>
      </c>
      <c r="G327" s="51" t="s">
        <v>4812</v>
      </c>
      <c r="H327" s="54"/>
      <c r="I327" s="55">
        <v>18</v>
      </c>
      <c r="K327" s="51" t="s">
        <v>5015</v>
      </c>
    </row>
    <row r="328" spans="1:11">
      <c r="A328" s="51">
        <v>315</v>
      </c>
      <c r="B328" s="51" t="s">
        <v>5014</v>
      </c>
      <c r="C328" s="51" t="s">
        <v>5015</v>
      </c>
      <c r="D328" s="52" t="s">
        <v>955</v>
      </c>
      <c r="E328" s="52" t="s">
        <v>954</v>
      </c>
      <c r="F328" s="53" t="s">
        <v>5044</v>
      </c>
      <c r="G328" s="51" t="s">
        <v>4812</v>
      </c>
      <c r="H328" s="54"/>
      <c r="I328" s="55">
        <v>18</v>
      </c>
      <c r="K328" s="51" t="s">
        <v>5015</v>
      </c>
    </row>
    <row r="329" spans="1:11">
      <c r="A329" s="51">
        <v>316</v>
      </c>
      <c r="B329" s="51" t="s">
        <v>5014</v>
      </c>
      <c r="C329" s="51" t="s">
        <v>5015</v>
      </c>
      <c r="D329" s="52" t="s">
        <v>955</v>
      </c>
      <c r="E329" s="52" t="s">
        <v>954</v>
      </c>
      <c r="F329" s="53" t="s">
        <v>5044</v>
      </c>
      <c r="G329" s="51" t="s">
        <v>4812</v>
      </c>
      <c r="H329" s="54"/>
      <c r="I329" s="55">
        <v>0</v>
      </c>
      <c r="K329" s="51" t="s">
        <v>5015</v>
      </c>
    </row>
    <row r="330" spans="1:11">
      <c r="A330" s="51">
        <v>317</v>
      </c>
      <c r="B330" s="51" t="s">
        <v>5014</v>
      </c>
      <c r="C330" s="51" t="s">
        <v>5015</v>
      </c>
      <c r="D330" s="52" t="s">
        <v>1047</v>
      </c>
      <c r="E330" s="52" t="s">
        <v>1046</v>
      </c>
      <c r="F330" s="53" t="s">
        <v>5045</v>
      </c>
      <c r="G330" s="51" t="s">
        <v>4812</v>
      </c>
      <c r="H330" s="54"/>
      <c r="I330" s="55">
        <v>12</v>
      </c>
      <c r="K330" s="51" t="s">
        <v>5015</v>
      </c>
    </row>
    <row r="331" spans="1:11">
      <c r="A331" s="51">
        <v>318</v>
      </c>
      <c r="B331" s="51" t="s">
        <v>5014</v>
      </c>
      <c r="C331" s="51" t="s">
        <v>5015</v>
      </c>
      <c r="D331" s="52" t="s">
        <v>1047</v>
      </c>
      <c r="E331" s="52" t="s">
        <v>1046</v>
      </c>
      <c r="F331" s="53" t="s">
        <v>5045</v>
      </c>
      <c r="G331" s="51" t="s">
        <v>4812</v>
      </c>
      <c r="H331" s="54"/>
      <c r="I331" s="55">
        <v>16</v>
      </c>
      <c r="K331" s="51" t="s">
        <v>5015</v>
      </c>
    </row>
    <row r="332" spans="1:11">
      <c r="A332" s="51">
        <v>319</v>
      </c>
      <c r="B332" s="51" t="s">
        <v>5014</v>
      </c>
      <c r="C332" s="51" t="s">
        <v>5015</v>
      </c>
      <c r="D332" s="52" t="s">
        <v>1047</v>
      </c>
      <c r="E332" s="52" t="s">
        <v>1046</v>
      </c>
      <c r="F332" s="53" t="s">
        <v>5045</v>
      </c>
      <c r="G332" s="51" t="s">
        <v>4812</v>
      </c>
      <c r="H332" s="54"/>
      <c r="I332" s="55">
        <v>16</v>
      </c>
      <c r="K332" s="51" t="s">
        <v>5015</v>
      </c>
    </row>
    <row r="333" spans="1:11">
      <c r="A333" s="51">
        <v>320</v>
      </c>
      <c r="B333" s="51" t="s">
        <v>5014</v>
      </c>
      <c r="C333" s="51" t="s">
        <v>5015</v>
      </c>
      <c r="D333" s="52" t="s">
        <v>1047</v>
      </c>
      <c r="E333" s="52" t="s">
        <v>1046</v>
      </c>
      <c r="F333" s="53" t="s">
        <v>5045</v>
      </c>
      <c r="G333" s="51" t="s">
        <v>4812</v>
      </c>
      <c r="H333" s="54"/>
      <c r="I333" s="55">
        <v>16</v>
      </c>
      <c r="K333" s="51" t="s">
        <v>5015</v>
      </c>
    </row>
    <row r="334" spans="1:11">
      <c r="A334" s="51">
        <v>321</v>
      </c>
      <c r="B334" s="51" t="s">
        <v>5014</v>
      </c>
      <c r="C334" s="51" t="s">
        <v>5015</v>
      </c>
      <c r="D334" s="52" t="s">
        <v>1047</v>
      </c>
      <c r="E334" s="52" t="s">
        <v>1046</v>
      </c>
      <c r="F334" s="53" t="s">
        <v>5045</v>
      </c>
      <c r="G334" s="51" t="s">
        <v>4812</v>
      </c>
      <c r="H334" s="54"/>
      <c r="I334" s="55">
        <v>16</v>
      </c>
      <c r="K334" s="51" t="s">
        <v>5015</v>
      </c>
    </row>
    <row r="335" spans="1:11">
      <c r="A335" s="51">
        <v>322</v>
      </c>
      <c r="B335" s="51" t="s">
        <v>5014</v>
      </c>
      <c r="C335" s="51" t="s">
        <v>5015</v>
      </c>
      <c r="D335" s="52" t="s">
        <v>1047</v>
      </c>
      <c r="E335" s="52" t="s">
        <v>1046</v>
      </c>
      <c r="F335" s="53" t="s">
        <v>5045</v>
      </c>
      <c r="G335" s="51" t="s">
        <v>4812</v>
      </c>
      <c r="H335" s="54"/>
      <c r="I335" s="55">
        <v>16</v>
      </c>
      <c r="K335" s="51" t="s">
        <v>5015</v>
      </c>
    </row>
    <row r="336" spans="1:11">
      <c r="A336" s="51">
        <v>323</v>
      </c>
      <c r="B336" s="51" t="s">
        <v>5014</v>
      </c>
      <c r="C336" s="51" t="s">
        <v>5015</v>
      </c>
      <c r="D336" s="52" t="s">
        <v>1047</v>
      </c>
      <c r="E336" s="52" t="s">
        <v>1046</v>
      </c>
      <c r="F336" s="53" t="s">
        <v>5045</v>
      </c>
      <c r="G336" s="51" t="s">
        <v>4812</v>
      </c>
      <c r="H336" s="54"/>
      <c r="I336" s="55">
        <v>16</v>
      </c>
      <c r="K336" s="51" t="s">
        <v>5015</v>
      </c>
    </row>
    <row r="337" spans="1:11">
      <c r="A337" s="51">
        <v>324</v>
      </c>
      <c r="B337" s="51" t="s">
        <v>5014</v>
      </c>
      <c r="C337" s="51" t="s">
        <v>5015</v>
      </c>
      <c r="D337" s="52" t="s">
        <v>1047</v>
      </c>
      <c r="E337" s="52" t="s">
        <v>1046</v>
      </c>
      <c r="F337" s="53" t="s">
        <v>5045</v>
      </c>
      <c r="G337" s="51" t="s">
        <v>4812</v>
      </c>
      <c r="H337" s="54"/>
      <c r="I337" s="55">
        <v>16</v>
      </c>
      <c r="K337" s="51" t="s">
        <v>5015</v>
      </c>
    </row>
    <row r="338" spans="1:11">
      <c r="A338" s="51">
        <v>325</v>
      </c>
      <c r="B338" s="51" t="s">
        <v>5014</v>
      </c>
      <c r="C338" s="51" t="s">
        <v>5015</v>
      </c>
      <c r="D338" s="52" t="s">
        <v>1047</v>
      </c>
      <c r="E338" s="52" t="s">
        <v>1046</v>
      </c>
      <c r="F338" s="53" t="s">
        <v>5045</v>
      </c>
      <c r="G338" s="51" t="s">
        <v>4812</v>
      </c>
      <c r="H338" s="54"/>
      <c r="I338" s="55">
        <v>16</v>
      </c>
      <c r="K338" s="51" t="s">
        <v>5015</v>
      </c>
    </row>
    <row r="339" spans="1:11">
      <c r="A339" s="51">
        <v>326</v>
      </c>
      <c r="B339" s="51" t="s">
        <v>5014</v>
      </c>
      <c r="C339" s="51" t="s">
        <v>5015</v>
      </c>
      <c r="D339" s="52" t="s">
        <v>1047</v>
      </c>
      <c r="E339" s="52" t="s">
        <v>1046</v>
      </c>
      <c r="F339" s="53" t="s">
        <v>5045</v>
      </c>
      <c r="G339" s="51" t="s">
        <v>4812</v>
      </c>
      <c r="H339" s="54"/>
      <c r="I339" s="55">
        <v>16</v>
      </c>
      <c r="K339" s="51" t="s">
        <v>5015</v>
      </c>
    </row>
    <row r="340" spans="1:11">
      <c r="A340" s="51">
        <v>327</v>
      </c>
      <c r="B340" s="51" t="s">
        <v>5014</v>
      </c>
      <c r="C340" s="51" t="s">
        <v>5015</v>
      </c>
      <c r="D340" s="52" t="s">
        <v>1047</v>
      </c>
      <c r="E340" s="52" t="s">
        <v>1046</v>
      </c>
      <c r="F340" s="53" t="s">
        <v>5045</v>
      </c>
      <c r="G340" s="51" t="s">
        <v>4812</v>
      </c>
      <c r="H340" s="54"/>
      <c r="I340" s="55">
        <v>16</v>
      </c>
      <c r="K340" s="51" t="s">
        <v>5015</v>
      </c>
    </row>
    <row r="341" spans="1:11">
      <c r="A341" s="51">
        <v>328</v>
      </c>
      <c r="B341" s="51" t="s">
        <v>5014</v>
      </c>
      <c r="C341" s="51" t="s">
        <v>5015</v>
      </c>
      <c r="D341" s="52" t="s">
        <v>1047</v>
      </c>
      <c r="E341" s="52" t="s">
        <v>1046</v>
      </c>
      <c r="F341" s="53" t="s">
        <v>5045</v>
      </c>
      <c r="G341" s="51" t="s">
        <v>4812</v>
      </c>
      <c r="H341" s="54"/>
      <c r="I341" s="55">
        <v>16</v>
      </c>
      <c r="K341" s="51" t="s">
        <v>5015</v>
      </c>
    </row>
    <row r="342" spans="1:11">
      <c r="A342" s="51">
        <v>329</v>
      </c>
      <c r="B342" s="51" t="s">
        <v>5014</v>
      </c>
      <c r="C342" s="51" t="s">
        <v>5015</v>
      </c>
      <c r="D342" s="52" t="s">
        <v>1047</v>
      </c>
      <c r="E342" s="52" t="s">
        <v>1046</v>
      </c>
      <c r="F342" s="53" t="s">
        <v>5045</v>
      </c>
      <c r="G342" s="51" t="s">
        <v>4812</v>
      </c>
      <c r="H342" s="54"/>
      <c r="I342" s="55">
        <v>16</v>
      </c>
      <c r="K342" s="51" t="s">
        <v>5015</v>
      </c>
    </row>
    <row r="343" spans="1:11">
      <c r="A343" s="51">
        <v>330</v>
      </c>
      <c r="B343" s="51" t="s">
        <v>5014</v>
      </c>
      <c r="C343" s="51" t="s">
        <v>5015</v>
      </c>
      <c r="D343" s="52" t="s">
        <v>1047</v>
      </c>
      <c r="E343" s="52" t="s">
        <v>1046</v>
      </c>
      <c r="F343" s="53" t="s">
        <v>5045</v>
      </c>
      <c r="G343" s="51" t="s">
        <v>4812</v>
      </c>
      <c r="H343" s="54"/>
      <c r="I343" s="55">
        <v>16</v>
      </c>
      <c r="K343" s="51" t="s">
        <v>5015</v>
      </c>
    </row>
    <row r="344" spans="1:11">
      <c r="A344" s="51">
        <v>331</v>
      </c>
      <c r="B344" s="51" t="s">
        <v>5014</v>
      </c>
      <c r="C344" s="51" t="s">
        <v>5015</v>
      </c>
      <c r="D344" s="52" t="s">
        <v>1047</v>
      </c>
      <c r="E344" s="52" t="s">
        <v>1046</v>
      </c>
      <c r="F344" s="53" t="s">
        <v>5045</v>
      </c>
      <c r="G344" s="51" t="s">
        <v>4812</v>
      </c>
      <c r="H344" s="54"/>
      <c r="I344" s="55">
        <v>16</v>
      </c>
      <c r="K344" s="51" t="s">
        <v>5015</v>
      </c>
    </row>
    <row r="345" spans="1:11">
      <c r="A345" s="51">
        <v>332</v>
      </c>
      <c r="B345" s="51" t="s">
        <v>5014</v>
      </c>
      <c r="C345" s="51" t="s">
        <v>5015</v>
      </c>
      <c r="D345" s="52" t="s">
        <v>1047</v>
      </c>
      <c r="E345" s="52" t="s">
        <v>1046</v>
      </c>
      <c r="F345" s="53" t="s">
        <v>5045</v>
      </c>
      <c r="G345" s="51" t="s">
        <v>4812</v>
      </c>
      <c r="H345" s="54"/>
      <c r="I345" s="55">
        <v>16</v>
      </c>
      <c r="K345" s="51" t="s">
        <v>5015</v>
      </c>
    </row>
    <row r="346" spans="1:11">
      <c r="A346" s="51">
        <v>333</v>
      </c>
      <c r="B346" s="51" t="s">
        <v>5014</v>
      </c>
      <c r="C346" s="51" t="s">
        <v>5015</v>
      </c>
      <c r="D346" s="52" t="s">
        <v>1047</v>
      </c>
      <c r="E346" s="52" t="s">
        <v>1046</v>
      </c>
      <c r="F346" s="53" t="s">
        <v>5045</v>
      </c>
      <c r="G346" s="51" t="s">
        <v>4812</v>
      </c>
      <c r="H346" s="54"/>
      <c r="I346" s="55">
        <v>16</v>
      </c>
      <c r="K346" s="51" t="s">
        <v>5015</v>
      </c>
    </row>
    <row r="347" spans="1:11">
      <c r="A347" s="51">
        <v>334</v>
      </c>
      <c r="B347" s="51" t="s">
        <v>5014</v>
      </c>
      <c r="C347" s="51" t="s">
        <v>5015</v>
      </c>
      <c r="D347" s="52" t="s">
        <v>1047</v>
      </c>
      <c r="E347" s="52" t="s">
        <v>1046</v>
      </c>
      <c r="F347" s="53" t="s">
        <v>5045</v>
      </c>
      <c r="G347" s="51" t="s">
        <v>4812</v>
      </c>
      <c r="H347" s="54"/>
      <c r="I347" s="55">
        <v>16</v>
      </c>
      <c r="K347" s="51" t="s">
        <v>5015</v>
      </c>
    </row>
    <row r="348" spans="1:11">
      <c r="A348" s="51">
        <v>335</v>
      </c>
      <c r="B348" s="51" t="s">
        <v>5014</v>
      </c>
      <c r="C348" s="51" t="s">
        <v>5015</v>
      </c>
      <c r="D348" s="52" t="s">
        <v>1047</v>
      </c>
      <c r="E348" s="52" t="s">
        <v>1046</v>
      </c>
      <c r="F348" s="53" t="s">
        <v>5045</v>
      </c>
      <c r="G348" s="51" t="s">
        <v>4812</v>
      </c>
      <c r="H348" s="54"/>
      <c r="I348" s="55">
        <v>16</v>
      </c>
      <c r="K348" s="51" t="s">
        <v>5015</v>
      </c>
    </row>
    <row r="349" spans="1:11">
      <c r="A349" s="51">
        <v>336</v>
      </c>
      <c r="B349" s="51" t="s">
        <v>5014</v>
      </c>
      <c r="C349" s="51" t="s">
        <v>5015</v>
      </c>
      <c r="D349" s="52" t="s">
        <v>1047</v>
      </c>
      <c r="E349" s="52" t="s">
        <v>1046</v>
      </c>
      <c r="F349" s="53" t="s">
        <v>5045</v>
      </c>
      <c r="G349" s="51" t="s">
        <v>4812</v>
      </c>
      <c r="H349" s="54"/>
      <c r="I349" s="55">
        <v>16</v>
      </c>
      <c r="K349" s="51" t="s">
        <v>5015</v>
      </c>
    </row>
    <row r="350" spans="1:11">
      <c r="A350" s="51">
        <v>337</v>
      </c>
      <c r="B350" s="51" t="s">
        <v>5014</v>
      </c>
      <c r="C350" s="51" t="s">
        <v>5015</v>
      </c>
      <c r="D350" s="52" t="s">
        <v>1047</v>
      </c>
      <c r="E350" s="52" t="s">
        <v>1046</v>
      </c>
      <c r="F350" s="53" t="s">
        <v>5045</v>
      </c>
      <c r="G350" s="51" t="s">
        <v>4812</v>
      </c>
      <c r="H350" s="54"/>
      <c r="I350" s="55">
        <v>16</v>
      </c>
      <c r="K350" s="51" t="s">
        <v>5015</v>
      </c>
    </row>
    <row r="351" spans="1:11">
      <c r="A351" s="51">
        <v>338</v>
      </c>
      <c r="B351" s="51" t="s">
        <v>5014</v>
      </c>
      <c r="C351" s="51" t="s">
        <v>5015</v>
      </c>
      <c r="D351" s="52" t="s">
        <v>1047</v>
      </c>
      <c r="E351" s="52" t="s">
        <v>1046</v>
      </c>
      <c r="F351" s="53" t="s">
        <v>5045</v>
      </c>
      <c r="G351" s="51" t="s">
        <v>4812</v>
      </c>
      <c r="H351" s="54"/>
      <c r="I351" s="55">
        <v>16</v>
      </c>
      <c r="K351" s="51" t="s">
        <v>5015</v>
      </c>
    </row>
    <row r="352" spans="1:11">
      <c r="A352" s="51">
        <v>339</v>
      </c>
      <c r="B352" s="51" t="s">
        <v>5014</v>
      </c>
      <c r="C352" s="51" t="s">
        <v>5015</v>
      </c>
      <c r="D352" s="52" t="s">
        <v>1047</v>
      </c>
      <c r="E352" s="52" t="s">
        <v>1046</v>
      </c>
      <c r="F352" s="53" t="s">
        <v>5045</v>
      </c>
      <c r="G352" s="51" t="s">
        <v>4812</v>
      </c>
      <c r="H352" s="54"/>
      <c r="I352" s="55">
        <v>16</v>
      </c>
      <c r="K352" s="51" t="s">
        <v>5015</v>
      </c>
    </row>
    <row r="353" spans="1:11">
      <c r="A353" s="51">
        <v>340</v>
      </c>
      <c r="B353" s="51" t="s">
        <v>5014</v>
      </c>
      <c r="C353" s="51" t="s">
        <v>5015</v>
      </c>
      <c r="D353" s="52" t="s">
        <v>1047</v>
      </c>
      <c r="E353" s="52" t="s">
        <v>1046</v>
      </c>
      <c r="F353" s="53" t="s">
        <v>5045</v>
      </c>
      <c r="G353" s="51" t="s">
        <v>4812</v>
      </c>
      <c r="H353" s="54"/>
      <c r="I353" s="55">
        <v>16</v>
      </c>
      <c r="K353" s="51" t="s">
        <v>5015</v>
      </c>
    </row>
    <row r="354" spans="1:11">
      <c r="A354" s="51">
        <v>341</v>
      </c>
      <c r="B354" s="51" t="s">
        <v>5014</v>
      </c>
      <c r="C354" s="51" t="s">
        <v>5015</v>
      </c>
      <c r="D354" s="52" t="s">
        <v>1047</v>
      </c>
      <c r="E354" s="52" t="s">
        <v>1046</v>
      </c>
      <c r="F354" s="53" t="s">
        <v>5045</v>
      </c>
      <c r="G354" s="51" t="s">
        <v>4812</v>
      </c>
      <c r="H354" s="54"/>
      <c r="I354" s="55">
        <v>16</v>
      </c>
      <c r="K354" s="51" t="s">
        <v>5015</v>
      </c>
    </row>
    <row r="355" spans="1:11">
      <c r="A355" s="57" t="s">
        <v>5046</v>
      </c>
      <c r="B355" s="51"/>
      <c r="C355" s="51" t="s">
        <v>5015</v>
      </c>
      <c r="D355" s="52" t="s">
        <v>1047</v>
      </c>
      <c r="E355" s="52" t="s">
        <v>1046</v>
      </c>
      <c r="F355" s="53" t="s">
        <v>5045</v>
      </c>
      <c r="G355" s="51" t="s">
        <v>4812</v>
      </c>
      <c r="H355" s="54"/>
      <c r="I355" s="55">
        <v>16</v>
      </c>
      <c r="K355" s="51" t="s">
        <v>5015</v>
      </c>
    </row>
    <row r="356" spans="1:11">
      <c r="A356" s="57" t="s">
        <v>5047</v>
      </c>
      <c r="B356" s="51"/>
      <c r="C356" s="51" t="s">
        <v>5015</v>
      </c>
      <c r="D356" s="52" t="s">
        <v>1047</v>
      </c>
      <c r="E356" s="52" t="s">
        <v>1046</v>
      </c>
      <c r="F356" s="53" t="s">
        <v>5045</v>
      </c>
      <c r="G356" s="51" t="s">
        <v>4812</v>
      </c>
      <c r="H356" s="54"/>
      <c r="I356" s="55">
        <v>16</v>
      </c>
      <c r="K356" s="51" t="s">
        <v>5015</v>
      </c>
    </row>
    <row r="357" spans="1:11">
      <c r="A357" s="57" t="s">
        <v>5048</v>
      </c>
      <c r="B357" s="51"/>
      <c r="C357" s="51" t="s">
        <v>5015</v>
      </c>
      <c r="D357" s="52" t="s">
        <v>1047</v>
      </c>
      <c r="E357" s="52" t="s">
        <v>1046</v>
      </c>
      <c r="F357" s="53" t="s">
        <v>5045</v>
      </c>
      <c r="G357" s="51" t="s">
        <v>4812</v>
      </c>
      <c r="H357" s="54"/>
      <c r="I357" s="55">
        <v>16</v>
      </c>
      <c r="K357" s="51" t="s">
        <v>5015</v>
      </c>
    </row>
    <row r="358" spans="1:11">
      <c r="A358" s="51">
        <v>342</v>
      </c>
      <c r="B358" s="51" t="s">
        <v>5014</v>
      </c>
      <c r="C358" s="51" t="s">
        <v>5015</v>
      </c>
      <c r="D358" s="52" t="s">
        <v>1051</v>
      </c>
      <c r="E358" s="52" t="s">
        <v>1050</v>
      </c>
      <c r="F358" s="53" t="s">
        <v>5049</v>
      </c>
      <c r="G358" s="51" t="s">
        <v>4812</v>
      </c>
      <c r="H358" s="54"/>
      <c r="I358" s="55">
        <v>13</v>
      </c>
      <c r="K358" s="51" t="s">
        <v>5015</v>
      </c>
    </row>
    <row r="359" spans="1:11">
      <c r="A359" s="51">
        <v>343</v>
      </c>
      <c r="B359" s="51" t="s">
        <v>5014</v>
      </c>
      <c r="C359" s="51" t="s">
        <v>5015</v>
      </c>
      <c r="D359" s="52" t="s">
        <v>1051</v>
      </c>
      <c r="E359" s="52" t="s">
        <v>1050</v>
      </c>
      <c r="F359" s="53" t="s">
        <v>5049</v>
      </c>
      <c r="G359" s="51" t="s">
        <v>4812</v>
      </c>
      <c r="H359" s="54"/>
      <c r="I359" s="55">
        <v>16</v>
      </c>
      <c r="K359" s="51" t="s">
        <v>5015</v>
      </c>
    </row>
    <row r="360" spans="1:11">
      <c r="A360" s="51">
        <v>344</v>
      </c>
      <c r="B360" s="51" t="s">
        <v>5014</v>
      </c>
      <c r="C360" s="51" t="s">
        <v>5015</v>
      </c>
      <c r="D360" s="52" t="s">
        <v>1051</v>
      </c>
      <c r="E360" s="52" t="s">
        <v>1050</v>
      </c>
      <c r="F360" s="53" t="s">
        <v>5049</v>
      </c>
      <c r="G360" s="51" t="s">
        <v>4812</v>
      </c>
      <c r="H360" s="54"/>
      <c r="I360" s="55">
        <v>16</v>
      </c>
      <c r="K360" s="51" t="s">
        <v>5015</v>
      </c>
    </row>
    <row r="361" spans="1:11">
      <c r="A361" s="51">
        <v>345</v>
      </c>
      <c r="B361" s="51" t="s">
        <v>5014</v>
      </c>
      <c r="C361" s="51" t="s">
        <v>5015</v>
      </c>
      <c r="D361" s="52" t="s">
        <v>1051</v>
      </c>
      <c r="E361" s="52" t="s">
        <v>1050</v>
      </c>
      <c r="F361" s="53" t="s">
        <v>5049</v>
      </c>
      <c r="G361" s="51" t="s">
        <v>4812</v>
      </c>
      <c r="H361" s="54"/>
      <c r="I361" s="55">
        <v>16</v>
      </c>
      <c r="K361" s="51" t="s">
        <v>5015</v>
      </c>
    </row>
    <row r="362" spans="1:11">
      <c r="A362" s="51">
        <v>346</v>
      </c>
      <c r="B362" s="51" t="s">
        <v>5014</v>
      </c>
      <c r="C362" s="51" t="s">
        <v>5015</v>
      </c>
      <c r="D362" s="52" t="s">
        <v>1051</v>
      </c>
      <c r="E362" s="52" t="s">
        <v>1050</v>
      </c>
      <c r="F362" s="53" t="s">
        <v>5049</v>
      </c>
      <c r="G362" s="51" t="s">
        <v>4812</v>
      </c>
      <c r="H362" s="54"/>
      <c r="I362" s="55">
        <v>16</v>
      </c>
      <c r="K362" s="51" t="s">
        <v>5015</v>
      </c>
    </row>
    <row r="363" spans="1:11">
      <c r="A363" s="51">
        <v>347</v>
      </c>
      <c r="B363" s="51" t="s">
        <v>5014</v>
      </c>
      <c r="C363" s="51" t="s">
        <v>5015</v>
      </c>
      <c r="D363" s="52" t="s">
        <v>1051</v>
      </c>
      <c r="E363" s="52" t="s">
        <v>1050</v>
      </c>
      <c r="F363" s="53" t="s">
        <v>5049</v>
      </c>
      <c r="G363" s="51" t="s">
        <v>4812</v>
      </c>
      <c r="H363" s="54"/>
      <c r="I363" s="55">
        <v>16</v>
      </c>
      <c r="K363" s="51" t="s">
        <v>5015</v>
      </c>
    </row>
    <row r="364" spans="1:11">
      <c r="A364" s="51">
        <v>348</v>
      </c>
      <c r="B364" s="51" t="s">
        <v>5014</v>
      </c>
      <c r="C364" s="51" t="s">
        <v>5015</v>
      </c>
      <c r="D364" s="52" t="s">
        <v>1051</v>
      </c>
      <c r="E364" s="52" t="s">
        <v>1050</v>
      </c>
      <c r="F364" s="53" t="s">
        <v>5049</v>
      </c>
      <c r="G364" s="51" t="s">
        <v>4812</v>
      </c>
      <c r="H364" s="54"/>
      <c r="I364" s="55">
        <v>16</v>
      </c>
      <c r="K364" s="51" t="s">
        <v>5015</v>
      </c>
    </row>
    <row r="365" spans="1:11">
      <c r="A365" s="51">
        <v>349</v>
      </c>
      <c r="B365" s="51" t="s">
        <v>5014</v>
      </c>
      <c r="C365" s="51" t="s">
        <v>5015</v>
      </c>
      <c r="D365" s="52" t="s">
        <v>1051</v>
      </c>
      <c r="E365" s="52" t="s">
        <v>1050</v>
      </c>
      <c r="F365" s="53" t="s">
        <v>5049</v>
      </c>
      <c r="G365" s="51" t="s">
        <v>4812</v>
      </c>
      <c r="H365" s="54"/>
      <c r="I365" s="55">
        <v>16</v>
      </c>
      <c r="K365" s="51" t="s">
        <v>5015</v>
      </c>
    </row>
    <row r="366" spans="1:11">
      <c r="A366" s="51">
        <v>350</v>
      </c>
      <c r="B366" s="51" t="s">
        <v>5014</v>
      </c>
      <c r="C366" s="51" t="s">
        <v>5015</v>
      </c>
      <c r="D366" s="52" t="s">
        <v>1051</v>
      </c>
      <c r="E366" s="52" t="s">
        <v>1050</v>
      </c>
      <c r="F366" s="53" t="s">
        <v>5049</v>
      </c>
      <c r="G366" s="51" t="s">
        <v>4812</v>
      </c>
      <c r="H366" s="54"/>
      <c r="I366" s="55">
        <v>16</v>
      </c>
      <c r="K366" s="51" t="s">
        <v>5015</v>
      </c>
    </row>
    <row r="367" spans="1:11">
      <c r="A367" s="51">
        <v>351</v>
      </c>
      <c r="B367" s="51" t="s">
        <v>5014</v>
      </c>
      <c r="C367" s="51" t="s">
        <v>5015</v>
      </c>
      <c r="D367" s="52" t="s">
        <v>1051</v>
      </c>
      <c r="E367" s="52" t="s">
        <v>1050</v>
      </c>
      <c r="F367" s="53" t="s">
        <v>5049</v>
      </c>
      <c r="G367" s="51" t="s">
        <v>4812</v>
      </c>
      <c r="H367" s="54"/>
      <c r="I367" s="55">
        <v>16</v>
      </c>
      <c r="K367" s="51" t="s">
        <v>5015</v>
      </c>
    </row>
    <row r="368" spans="1:11">
      <c r="A368" s="51">
        <v>352</v>
      </c>
      <c r="B368" s="51" t="s">
        <v>5014</v>
      </c>
      <c r="C368" s="51" t="s">
        <v>5015</v>
      </c>
      <c r="D368" s="52" t="s">
        <v>1051</v>
      </c>
      <c r="E368" s="52" t="s">
        <v>1050</v>
      </c>
      <c r="F368" s="53" t="s">
        <v>5049</v>
      </c>
      <c r="G368" s="51" t="s">
        <v>4812</v>
      </c>
      <c r="H368" s="54"/>
      <c r="I368" s="55">
        <v>16</v>
      </c>
      <c r="K368" s="51" t="s">
        <v>5015</v>
      </c>
    </row>
    <row r="369" spans="1:11">
      <c r="A369" s="51">
        <v>353</v>
      </c>
      <c r="B369" s="51" t="s">
        <v>5014</v>
      </c>
      <c r="C369" s="51" t="s">
        <v>5015</v>
      </c>
      <c r="D369" s="52" t="s">
        <v>1051</v>
      </c>
      <c r="E369" s="52" t="s">
        <v>1050</v>
      </c>
      <c r="F369" s="53" t="s">
        <v>5049</v>
      </c>
      <c r="G369" s="51" t="s">
        <v>4812</v>
      </c>
      <c r="H369" s="54"/>
      <c r="I369" s="55">
        <v>16</v>
      </c>
      <c r="K369" s="51" t="s">
        <v>5015</v>
      </c>
    </row>
    <row r="370" spans="1:11">
      <c r="A370" s="51">
        <v>354</v>
      </c>
      <c r="B370" s="51" t="s">
        <v>5014</v>
      </c>
      <c r="C370" s="51" t="s">
        <v>5015</v>
      </c>
      <c r="D370" s="52" t="s">
        <v>1051</v>
      </c>
      <c r="E370" s="52" t="s">
        <v>1050</v>
      </c>
      <c r="F370" s="53" t="s">
        <v>5049</v>
      </c>
      <c r="G370" s="51" t="s">
        <v>4812</v>
      </c>
      <c r="H370" s="54"/>
      <c r="I370" s="55">
        <v>16</v>
      </c>
      <c r="K370" s="51" t="s">
        <v>5015</v>
      </c>
    </row>
    <row r="371" spans="1:11">
      <c r="A371" s="51">
        <v>355</v>
      </c>
      <c r="B371" s="51" t="s">
        <v>5014</v>
      </c>
      <c r="C371" s="51" t="s">
        <v>5015</v>
      </c>
      <c r="D371" s="52" t="s">
        <v>1051</v>
      </c>
      <c r="E371" s="52" t="s">
        <v>1050</v>
      </c>
      <c r="F371" s="53" t="s">
        <v>5049</v>
      </c>
      <c r="G371" s="51" t="s">
        <v>4812</v>
      </c>
      <c r="H371" s="54"/>
      <c r="I371" s="55">
        <v>16</v>
      </c>
      <c r="K371" s="51" t="s">
        <v>5015</v>
      </c>
    </row>
    <row r="372" spans="1:11">
      <c r="A372" s="51">
        <v>356</v>
      </c>
      <c r="B372" s="51" t="s">
        <v>5014</v>
      </c>
      <c r="C372" s="51" t="s">
        <v>5015</v>
      </c>
      <c r="D372" s="52" t="s">
        <v>1051</v>
      </c>
      <c r="E372" s="52" t="s">
        <v>1050</v>
      </c>
      <c r="F372" s="53" t="s">
        <v>5049</v>
      </c>
      <c r="G372" s="51" t="s">
        <v>4812</v>
      </c>
      <c r="H372" s="54"/>
      <c r="I372" s="55">
        <v>16</v>
      </c>
      <c r="K372" s="51" t="s">
        <v>5015</v>
      </c>
    </row>
    <row r="373" spans="1:11">
      <c r="A373" s="51">
        <v>357</v>
      </c>
      <c r="B373" s="51" t="s">
        <v>5014</v>
      </c>
      <c r="C373" s="51" t="s">
        <v>5015</v>
      </c>
      <c r="D373" s="52" t="s">
        <v>1051</v>
      </c>
      <c r="E373" s="52" t="s">
        <v>1050</v>
      </c>
      <c r="F373" s="53" t="s">
        <v>5049</v>
      </c>
      <c r="G373" s="51" t="s">
        <v>4812</v>
      </c>
      <c r="H373" s="54"/>
      <c r="I373" s="55">
        <v>16</v>
      </c>
      <c r="K373" s="51" t="s">
        <v>5015</v>
      </c>
    </row>
    <row r="374" spans="1:11">
      <c r="A374" s="51">
        <v>358</v>
      </c>
      <c r="B374" s="51" t="s">
        <v>5014</v>
      </c>
      <c r="C374" s="51" t="s">
        <v>5015</v>
      </c>
      <c r="D374" s="52" t="s">
        <v>1051</v>
      </c>
      <c r="E374" s="52" t="s">
        <v>1050</v>
      </c>
      <c r="F374" s="53" t="s">
        <v>5049</v>
      </c>
      <c r="G374" s="51" t="s">
        <v>4812</v>
      </c>
      <c r="H374" s="54"/>
      <c r="I374" s="55">
        <v>16</v>
      </c>
      <c r="K374" s="51" t="s">
        <v>5015</v>
      </c>
    </row>
    <row r="375" spans="1:11">
      <c r="A375" s="51">
        <v>359</v>
      </c>
      <c r="B375" s="51" t="s">
        <v>5014</v>
      </c>
      <c r="C375" s="51" t="s">
        <v>5015</v>
      </c>
      <c r="D375" s="52" t="s">
        <v>1051</v>
      </c>
      <c r="E375" s="52" t="s">
        <v>1050</v>
      </c>
      <c r="F375" s="53" t="s">
        <v>5049</v>
      </c>
      <c r="G375" s="51" t="s">
        <v>4812</v>
      </c>
      <c r="H375" s="54"/>
      <c r="I375" s="55">
        <v>16</v>
      </c>
      <c r="K375" s="51" t="s">
        <v>5015</v>
      </c>
    </row>
    <row r="376" spans="1:11">
      <c r="A376" s="51">
        <v>360</v>
      </c>
      <c r="B376" s="51" t="s">
        <v>5014</v>
      </c>
      <c r="C376" s="51" t="s">
        <v>5015</v>
      </c>
      <c r="D376" s="52" t="s">
        <v>1051</v>
      </c>
      <c r="E376" s="52" t="s">
        <v>1050</v>
      </c>
      <c r="F376" s="53" t="s">
        <v>5049</v>
      </c>
      <c r="G376" s="51" t="s">
        <v>4812</v>
      </c>
      <c r="H376" s="54"/>
      <c r="I376" s="55">
        <v>0</v>
      </c>
      <c r="K376" s="51" t="s">
        <v>5015</v>
      </c>
    </row>
    <row r="377" spans="1:11">
      <c r="A377" s="51">
        <v>361</v>
      </c>
      <c r="B377" s="51" t="s">
        <v>5014</v>
      </c>
      <c r="C377" s="51" t="s">
        <v>5015</v>
      </c>
      <c r="D377" s="52" t="s">
        <v>1051</v>
      </c>
      <c r="E377" s="52" t="s">
        <v>1050</v>
      </c>
      <c r="F377" s="53" t="s">
        <v>5049</v>
      </c>
      <c r="G377" s="51" t="s">
        <v>4812</v>
      </c>
      <c r="H377" s="54"/>
      <c r="I377" s="55">
        <v>0</v>
      </c>
      <c r="K377" s="51" t="s">
        <v>5015</v>
      </c>
    </row>
    <row r="378" spans="1:11">
      <c r="A378" s="51">
        <v>362</v>
      </c>
      <c r="B378" s="51" t="s">
        <v>5014</v>
      </c>
      <c r="C378" s="51" t="s">
        <v>5015</v>
      </c>
      <c r="D378" s="52" t="s">
        <v>1051</v>
      </c>
      <c r="E378" s="52" t="s">
        <v>1050</v>
      </c>
      <c r="F378" s="53" t="s">
        <v>5049</v>
      </c>
      <c r="G378" s="51" t="s">
        <v>4812</v>
      </c>
      <c r="H378" s="54"/>
      <c r="I378" s="55">
        <v>0</v>
      </c>
      <c r="K378" s="51" t="s">
        <v>5015</v>
      </c>
    </row>
    <row r="379" spans="1:11">
      <c r="A379" s="51">
        <v>363</v>
      </c>
      <c r="B379" s="51" t="s">
        <v>5014</v>
      </c>
      <c r="C379" s="51" t="s">
        <v>5015</v>
      </c>
      <c r="D379" s="52" t="s">
        <v>1051</v>
      </c>
      <c r="E379" s="52" t="s">
        <v>1050</v>
      </c>
      <c r="F379" s="53" t="s">
        <v>5049</v>
      </c>
      <c r="G379" s="51" t="s">
        <v>4812</v>
      </c>
      <c r="H379" s="54"/>
      <c r="I379" s="55">
        <v>0</v>
      </c>
      <c r="K379" s="51" t="s">
        <v>5015</v>
      </c>
    </row>
    <row r="380" spans="1:11">
      <c r="A380" s="51">
        <v>364</v>
      </c>
      <c r="B380" s="51" t="s">
        <v>5014</v>
      </c>
      <c r="C380" s="51" t="s">
        <v>5015</v>
      </c>
      <c r="D380" s="52" t="s">
        <v>1051</v>
      </c>
      <c r="E380" s="52" t="s">
        <v>1050</v>
      </c>
      <c r="F380" s="53" t="s">
        <v>5049</v>
      </c>
      <c r="G380" s="51" t="s">
        <v>4812</v>
      </c>
      <c r="H380" s="54"/>
      <c r="I380" s="55">
        <v>0</v>
      </c>
      <c r="K380" s="51" t="s">
        <v>5015</v>
      </c>
    </row>
    <row r="381" spans="1:11">
      <c r="A381" s="51">
        <v>365</v>
      </c>
      <c r="B381" s="51" t="s">
        <v>5014</v>
      </c>
      <c r="C381" s="51" t="s">
        <v>5015</v>
      </c>
      <c r="D381" s="52" t="s">
        <v>1051</v>
      </c>
      <c r="E381" s="52" t="s">
        <v>1050</v>
      </c>
      <c r="F381" s="53" t="s">
        <v>5049</v>
      </c>
      <c r="G381" s="51" t="s">
        <v>4812</v>
      </c>
      <c r="H381" s="54"/>
      <c r="I381" s="55">
        <v>0</v>
      </c>
      <c r="K381" s="51" t="s">
        <v>5015</v>
      </c>
    </row>
    <row r="382" spans="1:11">
      <c r="A382" s="51">
        <v>366</v>
      </c>
      <c r="B382" s="51" t="s">
        <v>5014</v>
      </c>
      <c r="C382" s="51" t="s">
        <v>5015</v>
      </c>
      <c r="D382" s="52" t="s">
        <v>1051</v>
      </c>
      <c r="E382" s="52" t="s">
        <v>1050</v>
      </c>
      <c r="F382" s="53" t="s">
        <v>5049</v>
      </c>
      <c r="G382" s="51" t="s">
        <v>4812</v>
      </c>
      <c r="H382" s="54"/>
      <c r="I382" s="55">
        <v>0</v>
      </c>
      <c r="K382" s="51" t="s">
        <v>5015</v>
      </c>
    </row>
    <row r="383" spans="1:11">
      <c r="A383" s="51">
        <v>367</v>
      </c>
      <c r="B383" s="51" t="s">
        <v>5014</v>
      </c>
      <c r="C383" s="51" t="s">
        <v>5015</v>
      </c>
      <c r="D383" s="52" t="s">
        <v>959</v>
      </c>
      <c r="E383" s="52" t="s">
        <v>958</v>
      </c>
      <c r="F383" s="53" t="s">
        <v>5050</v>
      </c>
      <c r="G383" s="51" t="s">
        <v>4812</v>
      </c>
      <c r="H383" s="54"/>
      <c r="I383" s="55">
        <v>2</v>
      </c>
      <c r="K383" s="51" t="s">
        <v>5015</v>
      </c>
    </row>
    <row r="384" spans="1:11">
      <c r="A384" s="51">
        <v>368</v>
      </c>
      <c r="B384" s="51" t="s">
        <v>5014</v>
      </c>
      <c r="C384" s="51" t="s">
        <v>5015</v>
      </c>
      <c r="D384" s="52" t="s">
        <v>959</v>
      </c>
      <c r="E384" s="52" t="s">
        <v>958</v>
      </c>
      <c r="F384" s="53" t="s">
        <v>5050</v>
      </c>
      <c r="G384" s="51" t="s">
        <v>4812</v>
      </c>
      <c r="H384" s="54"/>
      <c r="I384" s="55">
        <v>18</v>
      </c>
      <c r="K384" s="51" t="s">
        <v>5015</v>
      </c>
    </row>
    <row r="385" spans="1:11">
      <c r="A385" s="51">
        <v>369</v>
      </c>
      <c r="B385" s="51" t="s">
        <v>5014</v>
      </c>
      <c r="C385" s="51" t="s">
        <v>5015</v>
      </c>
      <c r="D385" s="52" t="s">
        <v>959</v>
      </c>
      <c r="E385" s="52" t="s">
        <v>958</v>
      </c>
      <c r="F385" s="53" t="s">
        <v>5050</v>
      </c>
      <c r="G385" s="51" t="s">
        <v>4812</v>
      </c>
      <c r="H385" s="54"/>
      <c r="I385" s="55">
        <v>18</v>
      </c>
      <c r="K385" s="51" t="s">
        <v>5015</v>
      </c>
    </row>
    <row r="386" spans="1:11">
      <c r="A386" s="51">
        <v>370</v>
      </c>
      <c r="B386" s="51" t="s">
        <v>5014</v>
      </c>
      <c r="C386" s="51" t="s">
        <v>5015</v>
      </c>
      <c r="D386" s="52" t="s">
        <v>959</v>
      </c>
      <c r="E386" s="52" t="s">
        <v>958</v>
      </c>
      <c r="F386" s="53" t="s">
        <v>5050</v>
      </c>
      <c r="G386" s="51" t="s">
        <v>4812</v>
      </c>
      <c r="H386" s="54"/>
      <c r="I386" s="55">
        <v>18</v>
      </c>
      <c r="K386" s="51" t="s">
        <v>5015</v>
      </c>
    </row>
    <row r="387" spans="1:11">
      <c r="A387" s="51">
        <v>371</v>
      </c>
      <c r="B387" s="51" t="s">
        <v>5014</v>
      </c>
      <c r="C387" s="51" t="s">
        <v>5015</v>
      </c>
      <c r="D387" s="52" t="s">
        <v>959</v>
      </c>
      <c r="E387" s="52" t="s">
        <v>958</v>
      </c>
      <c r="F387" s="53" t="s">
        <v>5050</v>
      </c>
      <c r="G387" s="51" t="s">
        <v>4812</v>
      </c>
      <c r="H387" s="54"/>
      <c r="I387" s="55">
        <v>18</v>
      </c>
      <c r="K387" s="51" t="s">
        <v>5015</v>
      </c>
    </row>
    <row r="388" spans="1:11">
      <c r="A388" s="51">
        <v>372</v>
      </c>
      <c r="B388" s="51" t="s">
        <v>5014</v>
      </c>
      <c r="C388" s="51" t="s">
        <v>5015</v>
      </c>
      <c r="D388" s="52" t="s">
        <v>959</v>
      </c>
      <c r="E388" s="52" t="s">
        <v>958</v>
      </c>
      <c r="F388" s="53" t="s">
        <v>5050</v>
      </c>
      <c r="G388" s="51" t="s">
        <v>4812</v>
      </c>
      <c r="H388" s="54"/>
      <c r="I388" s="55">
        <v>18</v>
      </c>
      <c r="K388" s="51" t="s">
        <v>5015</v>
      </c>
    </row>
    <row r="389" spans="1:11">
      <c r="A389" s="51">
        <v>373</v>
      </c>
      <c r="B389" s="51" t="s">
        <v>5014</v>
      </c>
      <c r="C389" s="51" t="s">
        <v>5015</v>
      </c>
      <c r="D389" s="52" t="s">
        <v>959</v>
      </c>
      <c r="E389" s="52" t="s">
        <v>958</v>
      </c>
      <c r="F389" s="53" t="s">
        <v>5050</v>
      </c>
      <c r="G389" s="51" t="s">
        <v>4812</v>
      </c>
      <c r="H389" s="54"/>
      <c r="I389" s="55">
        <v>18</v>
      </c>
      <c r="K389" s="51" t="s">
        <v>5015</v>
      </c>
    </row>
    <row r="390" spans="1:11">
      <c r="A390" s="51">
        <v>374</v>
      </c>
      <c r="B390" s="51" t="s">
        <v>5014</v>
      </c>
      <c r="C390" s="51" t="s">
        <v>5015</v>
      </c>
      <c r="D390" s="52" t="s">
        <v>959</v>
      </c>
      <c r="E390" s="52" t="s">
        <v>958</v>
      </c>
      <c r="F390" s="53" t="s">
        <v>5050</v>
      </c>
      <c r="G390" s="51" t="s">
        <v>4812</v>
      </c>
      <c r="H390" s="54"/>
      <c r="I390" s="55">
        <v>18</v>
      </c>
      <c r="K390" s="51" t="s">
        <v>5015</v>
      </c>
    </row>
    <row r="391" spans="1:11">
      <c r="A391" s="51">
        <v>375</v>
      </c>
      <c r="B391" s="51" t="s">
        <v>5014</v>
      </c>
      <c r="C391" s="51" t="s">
        <v>5015</v>
      </c>
      <c r="D391" s="52" t="s">
        <v>959</v>
      </c>
      <c r="E391" s="52" t="s">
        <v>958</v>
      </c>
      <c r="F391" s="53" t="s">
        <v>5050</v>
      </c>
      <c r="G391" s="51" t="s">
        <v>4812</v>
      </c>
      <c r="H391" s="54"/>
      <c r="I391" s="55">
        <v>18</v>
      </c>
      <c r="K391" s="51" t="s">
        <v>5015</v>
      </c>
    </row>
    <row r="392" spans="1:11">
      <c r="A392" s="51">
        <v>376</v>
      </c>
      <c r="B392" s="51" t="s">
        <v>5014</v>
      </c>
      <c r="C392" s="51" t="s">
        <v>5015</v>
      </c>
      <c r="D392" s="52" t="s">
        <v>959</v>
      </c>
      <c r="E392" s="52" t="s">
        <v>958</v>
      </c>
      <c r="F392" s="53" t="s">
        <v>5050</v>
      </c>
      <c r="G392" s="51" t="s">
        <v>4812</v>
      </c>
      <c r="H392" s="54"/>
      <c r="I392" s="55">
        <v>18</v>
      </c>
      <c r="K392" s="51" t="s">
        <v>5015</v>
      </c>
    </row>
    <row r="393" spans="1:11">
      <c r="A393" s="51">
        <v>377</v>
      </c>
      <c r="B393" s="51" t="s">
        <v>5014</v>
      </c>
      <c r="C393" s="51" t="s">
        <v>5015</v>
      </c>
      <c r="D393" s="52" t="s">
        <v>959</v>
      </c>
      <c r="E393" s="52" t="s">
        <v>958</v>
      </c>
      <c r="F393" s="53" t="s">
        <v>5050</v>
      </c>
      <c r="G393" s="51" t="s">
        <v>4812</v>
      </c>
      <c r="H393" s="54"/>
      <c r="I393" s="55">
        <v>18</v>
      </c>
      <c r="K393" s="51" t="s">
        <v>5015</v>
      </c>
    </row>
    <row r="394" spans="1:11">
      <c r="A394" s="51">
        <v>378</v>
      </c>
      <c r="B394" s="51" t="s">
        <v>5014</v>
      </c>
      <c r="C394" s="51" t="s">
        <v>5015</v>
      </c>
      <c r="D394" s="52" t="s">
        <v>959</v>
      </c>
      <c r="E394" s="52" t="s">
        <v>958</v>
      </c>
      <c r="F394" s="53" t="s">
        <v>5050</v>
      </c>
      <c r="G394" s="51" t="s">
        <v>4812</v>
      </c>
      <c r="H394" s="54"/>
      <c r="I394" s="55">
        <v>18</v>
      </c>
      <c r="K394" s="51" t="s">
        <v>5015</v>
      </c>
    </row>
    <row r="395" spans="1:11">
      <c r="A395" s="51">
        <v>379</v>
      </c>
      <c r="B395" s="51" t="s">
        <v>5014</v>
      </c>
      <c r="C395" s="51" t="s">
        <v>5015</v>
      </c>
      <c r="D395" s="52" t="s">
        <v>959</v>
      </c>
      <c r="E395" s="52" t="s">
        <v>958</v>
      </c>
      <c r="F395" s="53" t="s">
        <v>5050</v>
      </c>
      <c r="G395" s="51" t="s">
        <v>4812</v>
      </c>
      <c r="H395" s="54"/>
      <c r="I395" s="55">
        <v>18</v>
      </c>
      <c r="K395" s="51" t="s">
        <v>5015</v>
      </c>
    </row>
    <row r="396" spans="1:11">
      <c r="A396" s="51">
        <v>380</v>
      </c>
      <c r="B396" s="51" t="s">
        <v>5014</v>
      </c>
      <c r="C396" s="51" t="s">
        <v>5015</v>
      </c>
      <c r="D396" s="52" t="s">
        <v>959</v>
      </c>
      <c r="E396" s="52" t="s">
        <v>958</v>
      </c>
      <c r="F396" s="53" t="s">
        <v>5050</v>
      </c>
      <c r="G396" s="51" t="s">
        <v>4812</v>
      </c>
      <c r="H396" s="54"/>
      <c r="I396" s="55">
        <v>18</v>
      </c>
      <c r="K396" s="51" t="s">
        <v>5015</v>
      </c>
    </row>
    <row r="397" spans="1:11">
      <c r="A397" s="51">
        <v>381</v>
      </c>
      <c r="B397" s="51" t="s">
        <v>5014</v>
      </c>
      <c r="C397" s="51" t="s">
        <v>5015</v>
      </c>
      <c r="D397" s="52" t="s">
        <v>959</v>
      </c>
      <c r="E397" s="52" t="s">
        <v>958</v>
      </c>
      <c r="F397" s="53" t="s">
        <v>5050</v>
      </c>
      <c r="G397" s="51" t="s">
        <v>4812</v>
      </c>
      <c r="H397" s="54"/>
      <c r="I397" s="55">
        <v>0</v>
      </c>
      <c r="K397" s="51" t="s">
        <v>5015</v>
      </c>
    </row>
    <row r="398" spans="1:11">
      <c r="A398" s="51">
        <v>382</v>
      </c>
      <c r="B398" s="51" t="s">
        <v>5014</v>
      </c>
      <c r="C398" s="51" t="s">
        <v>5015</v>
      </c>
      <c r="D398" s="52" t="s">
        <v>959</v>
      </c>
      <c r="E398" s="52" t="s">
        <v>958</v>
      </c>
      <c r="F398" s="53" t="s">
        <v>5050</v>
      </c>
      <c r="G398" s="51" t="s">
        <v>4812</v>
      </c>
      <c r="H398" s="54"/>
      <c r="I398" s="55">
        <v>0</v>
      </c>
      <c r="K398" s="51" t="s">
        <v>5015</v>
      </c>
    </row>
    <row r="399" spans="1:11">
      <c r="A399" s="51">
        <v>383</v>
      </c>
      <c r="B399" s="51" t="s">
        <v>5014</v>
      </c>
      <c r="C399" s="51" t="s">
        <v>5015</v>
      </c>
      <c r="D399" s="52" t="s">
        <v>959</v>
      </c>
      <c r="E399" s="52" t="s">
        <v>958</v>
      </c>
      <c r="F399" s="53" t="s">
        <v>5050</v>
      </c>
      <c r="G399" s="51" t="s">
        <v>4812</v>
      </c>
      <c r="H399" s="54"/>
      <c r="I399" s="55">
        <v>0</v>
      </c>
      <c r="K399" s="51" t="s">
        <v>5015</v>
      </c>
    </row>
    <row r="400" spans="1:11">
      <c r="A400" s="51">
        <v>384</v>
      </c>
      <c r="B400" s="51" t="s">
        <v>5014</v>
      </c>
      <c r="C400" s="51" t="s">
        <v>5015</v>
      </c>
      <c r="D400" s="52" t="s">
        <v>959</v>
      </c>
      <c r="E400" s="52" t="s">
        <v>958</v>
      </c>
      <c r="F400" s="53" t="s">
        <v>5050</v>
      </c>
      <c r="G400" s="51" t="s">
        <v>4812</v>
      </c>
      <c r="H400" s="54"/>
      <c r="I400" s="55">
        <v>0</v>
      </c>
      <c r="K400" s="51" t="s">
        <v>5015</v>
      </c>
    </row>
    <row r="401" spans="1:11">
      <c r="A401" s="51">
        <v>385</v>
      </c>
      <c r="B401" s="51" t="s">
        <v>5014</v>
      </c>
      <c r="C401" s="51" t="s">
        <v>5015</v>
      </c>
      <c r="D401" s="52" t="s">
        <v>959</v>
      </c>
      <c r="E401" s="52" t="s">
        <v>958</v>
      </c>
      <c r="F401" s="53" t="s">
        <v>5050</v>
      </c>
      <c r="G401" s="51" t="s">
        <v>4812</v>
      </c>
      <c r="H401" s="54"/>
      <c r="I401" s="55">
        <v>0</v>
      </c>
      <c r="K401" s="51" t="s">
        <v>5015</v>
      </c>
    </row>
    <row r="402" spans="1:11">
      <c r="A402" s="51">
        <v>386</v>
      </c>
      <c r="B402" s="51" t="s">
        <v>5014</v>
      </c>
      <c r="C402" s="51" t="s">
        <v>5015</v>
      </c>
      <c r="D402" s="52" t="s">
        <v>959</v>
      </c>
      <c r="E402" s="52" t="s">
        <v>958</v>
      </c>
      <c r="F402" s="53" t="s">
        <v>5050</v>
      </c>
      <c r="G402" s="51" t="s">
        <v>4812</v>
      </c>
      <c r="H402" s="54"/>
      <c r="I402" s="55">
        <v>0</v>
      </c>
      <c r="K402" s="51" t="s">
        <v>5015</v>
      </c>
    </row>
    <row r="403" spans="1:11">
      <c r="A403" s="51">
        <v>387</v>
      </c>
      <c r="B403" s="51" t="s">
        <v>5014</v>
      </c>
      <c r="C403" s="51" t="s">
        <v>5015</v>
      </c>
      <c r="D403" s="52" t="s">
        <v>959</v>
      </c>
      <c r="E403" s="52" t="s">
        <v>958</v>
      </c>
      <c r="F403" s="53" t="s">
        <v>5050</v>
      </c>
      <c r="G403" s="51" t="s">
        <v>4812</v>
      </c>
      <c r="H403" s="54"/>
      <c r="I403" s="55">
        <v>0</v>
      </c>
      <c r="K403" s="51" t="s">
        <v>5015</v>
      </c>
    </row>
    <row r="404" spans="1:11">
      <c r="A404" s="51">
        <v>388</v>
      </c>
      <c r="B404" s="51" t="s">
        <v>5014</v>
      </c>
      <c r="C404" s="51" t="s">
        <v>5015</v>
      </c>
      <c r="D404" s="52" t="s">
        <v>959</v>
      </c>
      <c r="E404" s="52" t="s">
        <v>958</v>
      </c>
      <c r="F404" s="53" t="s">
        <v>5050</v>
      </c>
      <c r="G404" s="51" t="s">
        <v>4812</v>
      </c>
      <c r="H404" s="54"/>
      <c r="I404" s="55">
        <v>0</v>
      </c>
      <c r="K404" s="51" t="s">
        <v>5015</v>
      </c>
    </row>
    <row r="405" spans="1:11">
      <c r="A405" s="51">
        <v>389</v>
      </c>
      <c r="B405" s="51" t="s">
        <v>5014</v>
      </c>
      <c r="C405" s="51" t="s">
        <v>5015</v>
      </c>
      <c r="D405" s="52" t="s">
        <v>959</v>
      </c>
      <c r="E405" s="52" t="s">
        <v>958</v>
      </c>
      <c r="F405" s="53" t="s">
        <v>5050</v>
      </c>
      <c r="G405" s="51" t="s">
        <v>4812</v>
      </c>
      <c r="H405" s="54"/>
      <c r="I405" s="55">
        <v>0</v>
      </c>
      <c r="K405" s="51" t="s">
        <v>5015</v>
      </c>
    </row>
    <row r="406" spans="1:11">
      <c r="A406" s="51">
        <v>390</v>
      </c>
      <c r="B406" s="51" t="s">
        <v>5014</v>
      </c>
      <c r="C406" s="51" t="s">
        <v>5015</v>
      </c>
      <c r="D406" s="52" t="s">
        <v>959</v>
      </c>
      <c r="E406" s="52" t="s">
        <v>958</v>
      </c>
      <c r="F406" s="53" t="s">
        <v>5050</v>
      </c>
      <c r="G406" s="51" t="s">
        <v>4812</v>
      </c>
      <c r="H406" s="54"/>
      <c r="I406" s="55">
        <v>0</v>
      </c>
      <c r="K406" s="51" t="s">
        <v>5015</v>
      </c>
    </row>
    <row r="407" spans="1:11">
      <c r="A407" s="51">
        <v>391</v>
      </c>
      <c r="B407" s="51" t="s">
        <v>5014</v>
      </c>
      <c r="C407" s="51" t="s">
        <v>5015</v>
      </c>
      <c r="D407" s="52" t="s">
        <v>959</v>
      </c>
      <c r="E407" s="52" t="s">
        <v>958</v>
      </c>
      <c r="F407" s="53" t="s">
        <v>5050</v>
      </c>
      <c r="G407" s="51" t="s">
        <v>4812</v>
      </c>
      <c r="H407" s="54"/>
      <c r="I407" s="55">
        <v>0</v>
      </c>
      <c r="K407" s="51" t="s">
        <v>5015</v>
      </c>
    </row>
    <row r="408" spans="1:11">
      <c r="A408" s="51">
        <v>392</v>
      </c>
      <c r="B408" s="51" t="s">
        <v>5014</v>
      </c>
      <c r="C408" s="51" t="s">
        <v>5015</v>
      </c>
      <c r="D408" s="52" t="s">
        <v>1055</v>
      </c>
      <c r="E408" s="52" t="s">
        <v>1054</v>
      </c>
      <c r="F408" s="53" t="s">
        <v>5051</v>
      </c>
      <c r="G408" s="51" t="s">
        <v>4812</v>
      </c>
      <c r="H408" s="54"/>
      <c r="I408" s="55">
        <v>6</v>
      </c>
      <c r="K408" s="51" t="s">
        <v>5015</v>
      </c>
    </row>
    <row r="409" spans="1:11">
      <c r="A409" s="51">
        <v>393</v>
      </c>
      <c r="B409" s="51" t="s">
        <v>5014</v>
      </c>
      <c r="C409" s="51" t="s">
        <v>5015</v>
      </c>
      <c r="D409" s="52" t="s">
        <v>1055</v>
      </c>
      <c r="E409" s="52" t="s">
        <v>1054</v>
      </c>
      <c r="F409" s="53" t="s">
        <v>5051</v>
      </c>
      <c r="G409" s="51" t="s">
        <v>4812</v>
      </c>
      <c r="H409" s="54"/>
      <c r="I409" s="55">
        <v>16</v>
      </c>
      <c r="K409" s="51" t="s">
        <v>5015</v>
      </c>
    </row>
    <row r="410" spans="1:11">
      <c r="A410" s="51">
        <v>394</v>
      </c>
      <c r="B410" s="51" t="s">
        <v>5014</v>
      </c>
      <c r="C410" s="51" t="s">
        <v>5015</v>
      </c>
      <c r="D410" s="52" t="s">
        <v>1055</v>
      </c>
      <c r="E410" s="52" t="s">
        <v>1054</v>
      </c>
      <c r="F410" s="53" t="s">
        <v>5051</v>
      </c>
      <c r="G410" s="51" t="s">
        <v>4812</v>
      </c>
      <c r="H410" s="54"/>
      <c r="I410" s="55">
        <v>16</v>
      </c>
      <c r="K410" s="51" t="s">
        <v>5015</v>
      </c>
    </row>
    <row r="411" spans="1:11">
      <c r="A411" s="51">
        <v>395</v>
      </c>
      <c r="B411" s="51" t="s">
        <v>5014</v>
      </c>
      <c r="C411" s="51" t="s">
        <v>5015</v>
      </c>
      <c r="D411" s="52" t="s">
        <v>1055</v>
      </c>
      <c r="E411" s="52" t="s">
        <v>1054</v>
      </c>
      <c r="F411" s="53" t="s">
        <v>5051</v>
      </c>
      <c r="G411" s="51" t="s">
        <v>4812</v>
      </c>
      <c r="H411" s="54"/>
      <c r="I411" s="55">
        <v>16</v>
      </c>
      <c r="K411" s="51" t="s">
        <v>5015</v>
      </c>
    </row>
    <row r="412" spans="1:11">
      <c r="A412" s="51">
        <v>396</v>
      </c>
      <c r="B412" s="51" t="s">
        <v>5014</v>
      </c>
      <c r="C412" s="51" t="s">
        <v>5015</v>
      </c>
      <c r="D412" s="52" t="s">
        <v>1055</v>
      </c>
      <c r="E412" s="52" t="s">
        <v>1054</v>
      </c>
      <c r="F412" s="53" t="s">
        <v>5051</v>
      </c>
      <c r="G412" s="51" t="s">
        <v>4812</v>
      </c>
      <c r="H412" s="54"/>
      <c r="I412" s="55">
        <v>16</v>
      </c>
      <c r="K412" s="51" t="s">
        <v>5015</v>
      </c>
    </row>
    <row r="413" spans="1:11">
      <c r="A413" s="51">
        <v>397</v>
      </c>
      <c r="B413" s="51" t="s">
        <v>5014</v>
      </c>
      <c r="C413" s="51" t="s">
        <v>5015</v>
      </c>
      <c r="D413" s="52" t="s">
        <v>1055</v>
      </c>
      <c r="E413" s="52" t="s">
        <v>1054</v>
      </c>
      <c r="F413" s="53" t="s">
        <v>5051</v>
      </c>
      <c r="G413" s="51" t="s">
        <v>4812</v>
      </c>
      <c r="H413" s="54"/>
      <c r="I413" s="55">
        <v>16</v>
      </c>
      <c r="K413" s="51" t="s">
        <v>5015</v>
      </c>
    </row>
    <row r="414" spans="1:11">
      <c r="A414" s="51">
        <v>398</v>
      </c>
      <c r="B414" s="51" t="s">
        <v>5014</v>
      </c>
      <c r="C414" s="51" t="s">
        <v>5015</v>
      </c>
      <c r="D414" s="52" t="s">
        <v>1055</v>
      </c>
      <c r="E414" s="52" t="s">
        <v>1054</v>
      </c>
      <c r="F414" s="53" t="s">
        <v>5051</v>
      </c>
      <c r="G414" s="51" t="s">
        <v>4812</v>
      </c>
      <c r="H414" s="54"/>
      <c r="I414" s="55">
        <v>16</v>
      </c>
      <c r="K414" s="51" t="s">
        <v>5015</v>
      </c>
    </row>
    <row r="415" spans="1:11">
      <c r="A415" s="51">
        <v>399</v>
      </c>
      <c r="B415" s="51" t="s">
        <v>5014</v>
      </c>
      <c r="C415" s="51" t="s">
        <v>5015</v>
      </c>
      <c r="D415" s="52" t="s">
        <v>1055</v>
      </c>
      <c r="E415" s="52" t="s">
        <v>1054</v>
      </c>
      <c r="F415" s="53" t="s">
        <v>5051</v>
      </c>
      <c r="G415" s="51" t="s">
        <v>4812</v>
      </c>
      <c r="H415" s="54"/>
      <c r="I415" s="55">
        <v>16</v>
      </c>
      <c r="K415" s="51" t="s">
        <v>5015</v>
      </c>
    </row>
    <row r="416" spans="1:11">
      <c r="A416" s="51">
        <v>400</v>
      </c>
      <c r="B416" s="51" t="s">
        <v>5014</v>
      </c>
      <c r="C416" s="51" t="s">
        <v>5015</v>
      </c>
      <c r="D416" s="52" t="s">
        <v>1055</v>
      </c>
      <c r="E416" s="52" t="s">
        <v>1054</v>
      </c>
      <c r="F416" s="53" t="s">
        <v>5051</v>
      </c>
      <c r="G416" s="51" t="s">
        <v>4812</v>
      </c>
      <c r="H416" s="54"/>
      <c r="I416" s="55">
        <v>16</v>
      </c>
      <c r="K416" s="51" t="s">
        <v>5015</v>
      </c>
    </row>
    <row r="417" spans="1:11">
      <c r="A417" s="51">
        <v>401</v>
      </c>
      <c r="B417" s="51" t="s">
        <v>5014</v>
      </c>
      <c r="C417" s="51" t="s">
        <v>5015</v>
      </c>
      <c r="D417" s="52" t="s">
        <v>1055</v>
      </c>
      <c r="E417" s="52" t="s">
        <v>1054</v>
      </c>
      <c r="F417" s="53" t="s">
        <v>5051</v>
      </c>
      <c r="G417" s="51" t="s">
        <v>4812</v>
      </c>
      <c r="H417" s="54"/>
      <c r="I417" s="55">
        <v>16</v>
      </c>
      <c r="K417" s="51" t="s">
        <v>5015</v>
      </c>
    </row>
    <row r="418" spans="1:11">
      <c r="A418" s="51">
        <v>402</v>
      </c>
      <c r="B418" s="51" t="s">
        <v>5014</v>
      </c>
      <c r="C418" s="51" t="s">
        <v>5015</v>
      </c>
      <c r="D418" s="52" t="s">
        <v>1055</v>
      </c>
      <c r="E418" s="52" t="s">
        <v>1054</v>
      </c>
      <c r="F418" s="53" t="s">
        <v>5051</v>
      </c>
      <c r="G418" s="51" t="s">
        <v>4812</v>
      </c>
      <c r="H418" s="54"/>
      <c r="I418" s="55">
        <v>16</v>
      </c>
      <c r="K418" s="51" t="s">
        <v>5015</v>
      </c>
    </row>
    <row r="419" spans="1:11">
      <c r="A419" s="51">
        <v>403</v>
      </c>
      <c r="B419" s="51" t="s">
        <v>5014</v>
      </c>
      <c r="C419" s="51" t="s">
        <v>5015</v>
      </c>
      <c r="D419" s="52" t="s">
        <v>1055</v>
      </c>
      <c r="E419" s="52" t="s">
        <v>1054</v>
      </c>
      <c r="F419" s="53" t="s">
        <v>5051</v>
      </c>
      <c r="G419" s="51" t="s">
        <v>4812</v>
      </c>
      <c r="H419" s="54"/>
      <c r="I419" s="55">
        <v>16</v>
      </c>
      <c r="K419" s="51" t="s">
        <v>5015</v>
      </c>
    </row>
    <row r="420" spans="1:11">
      <c r="A420" s="51">
        <v>404</v>
      </c>
      <c r="B420" s="51" t="s">
        <v>5014</v>
      </c>
      <c r="C420" s="51" t="s">
        <v>5015</v>
      </c>
      <c r="D420" s="52" t="s">
        <v>1055</v>
      </c>
      <c r="E420" s="52" t="s">
        <v>1054</v>
      </c>
      <c r="F420" s="53" t="s">
        <v>5051</v>
      </c>
      <c r="G420" s="51" t="s">
        <v>4812</v>
      </c>
      <c r="H420" s="54"/>
      <c r="I420" s="55">
        <v>16</v>
      </c>
      <c r="K420" s="51" t="s">
        <v>5015</v>
      </c>
    </row>
    <row r="421" spans="1:11">
      <c r="A421" s="51">
        <v>405</v>
      </c>
      <c r="B421" s="51" t="s">
        <v>5014</v>
      </c>
      <c r="C421" s="51" t="s">
        <v>5015</v>
      </c>
      <c r="D421" s="52" t="s">
        <v>1055</v>
      </c>
      <c r="E421" s="52" t="s">
        <v>1054</v>
      </c>
      <c r="F421" s="53" t="s">
        <v>5051</v>
      </c>
      <c r="G421" s="51" t="s">
        <v>4812</v>
      </c>
      <c r="H421" s="54"/>
      <c r="I421" s="55">
        <v>16</v>
      </c>
      <c r="K421" s="51" t="s">
        <v>5015</v>
      </c>
    </row>
    <row r="422" spans="1:11">
      <c r="A422" s="51">
        <v>406</v>
      </c>
      <c r="B422" s="51" t="s">
        <v>5014</v>
      </c>
      <c r="C422" s="51" t="s">
        <v>5015</v>
      </c>
      <c r="D422" s="52" t="s">
        <v>1055</v>
      </c>
      <c r="E422" s="52" t="s">
        <v>1054</v>
      </c>
      <c r="F422" s="53" t="s">
        <v>5051</v>
      </c>
      <c r="G422" s="51" t="s">
        <v>4812</v>
      </c>
      <c r="H422" s="54"/>
      <c r="I422" s="55">
        <v>16</v>
      </c>
      <c r="K422" s="51" t="s">
        <v>5015</v>
      </c>
    </row>
    <row r="423" spans="1:11">
      <c r="A423" s="51">
        <v>407</v>
      </c>
      <c r="B423" s="51" t="s">
        <v>5014</v>
      </c>
      <c r="C423" s="51" t="s">
        <v>5015</v>
      </c>
      <c r="D423" s="52" t="s">
        <v>1055</v>
      </c>
      <c r="E423" s="52" t="s">
        <v>1054</v>
      </c>
      <c r="F423" s="53" t="s">
        <v>5051</v>
      </c>
      <c r="G423" s="51" t="s">
        <v>4812</v>
      </c>
      <c r="H423" s="54"/>
      <c r="I423" s="55">
        <v>16</v>
      </c>
      <c r="K423" s="51" t="s">
        <v>5015</v>
      </c>
    </row>
    <row r="424" spans="1:11">
      <c r="A424" s="51">
        <v>408</v>
      </c>
      <c r="B424" s="51" t="s">
        <v>5014</v>
      </c>
      <c r="C424" s="51" t="s">
        <v>5015</v>
      </c>
      <c r="D424" s="52" t="s">
        <v>1055</v>
      </c>
      <c r="E424" s="52" t="s">
        <v>1054</v>
      </c>
      <c r="F424" s="53" t="s">
        <v>5051</v>
      </c>
      <c r="G424" s="51" t="s">
        <v>4812</v>
      </c>
      <c r="H424" s="54"/>
      <c r="I424" s="55">
        <v>16</v>
      </c>
      <c r="K424" s="51" t="s">
        <v>5015</v>
      </c>
    </row>
    <row r="425" spans="1:11">
      <c r="A425" s="51">
        <v>409</v>
      </c>
      <c r="B425" s="51" t="s">
        <v>5014</v>
      </c>
      <c r="C425" s="51" t="s">
        <v>5015</v>
      </c>
      <c r="D425" s="52" t="s">
        <v>1055</v>
      </c>
      <c r="E425" s="52" t="s">
        <v>1054</v>
      </c>
      <c r="F425" s="53" t="s">
        <v>5051</v>
      </c>
      <c r="G425" s="51" t="s">
        <v>4812</v>
      </c>
      <c r="H425" s="54"/>
      <c r="I425" s="55">
        <v>16</v>
      </c>
      <c r="K425" s="51" t="s">
        <v>5015</v>
      </c>
    </row>
    <row r="426" spans="1:11">
      <c r="A426" s="51">
        <v>410</v>
      </c>
      <c r="B426" s="51" t="s">
        <v>5014</v>
      </c>
      <c r="C426" s="51" t="s">
        <v>5015</v>
      </c>
      <c r="D426" s="52" t="s">
        <v>1055</v>
      </c>
      <c r="E426" s="52" t="s">
        <v>1054</v>
      </c>
      <c r="F426" s="53" t="s">
        <v>5051</v>
      </c>
      <c r="G426" s="51" t="s">
        <v>4812</v>
      </c>
      <c r="H426" s="54"/>
      <c r="I426" s="55">
        <v>16</v>
      </c>
      <c r="K426" s="51" t="s">
        <v>5015</v>
      </c>
    </row>
    <row r="427" spans="1:11">
      <c r="A427" s="51">
        <v>411</v>
      </c>
      <c r="B427" s="51" t="s">
        <v>5014</v>
      </c>
      <c r="C427" s="51" t="s">
        <v>5015</v>
      </c>
      <c r="D427" s="52" t="s">
        <v>1055</v>
      </c>
      <c r="E427" s="52" t="s">
        <v>1054</v>
      </c>
      <c r="F427" s="53" t="s">
        <v>5051</v>
      </c>
      <c r="G427" s="51" t="s">
        <v>4812</v>
      </c>
      <c r="H427" s="54"/>
      <c r="I427" s="55">
        <v>16</v>
      </c>
      <c r="K427" s="51" t="s">
        <v>5015</v>
      </c>
    </row>
    <row r="428" spans="1:11">
      <c r="A428" s="51">
        <v>412</v>
      </c>
      <c r="B428" s="51" t="s">
        <v>5014</v>
      </c>
      <c r="C428" s="51" t="s">
        <v>5015</v>
      </c>
      <c r="D428" s="52" t="s">
        <v>1055</v>
      </c>
      <c r="E428" s="52" t="s">
        <v>1054</v>
      </c>
      <c r="F428" s="53" t="s">
        <v>5051</v>
      </c>
      <c r="G428" s="51" t="s">
        <v>4812</v>
      </c>
      <c r="H428" s="54"/>
      <c r="I428" s="55">
        <v>16</v>
      </c>
      <c r="K428" s="51" t="s">
        <v>5015</v>
      </c>
    </row>
    <row r="429" spans="1:11">
      <c r="A429" s="51">
        <v>413</v>
      </c>
      <c r="B429" s="51" t="s">
        <v>5014</v>
      </c>
      <c r="C429" s="51" t="s">
        <v>5015</v>
      </c>
      <c r="D429" s="52" t="s">
        <v>1055</v>
      </c>
      <c r="E429" s="52" t="s">
        <v>1054</v>
      </c>
      <c r="F429" s="53" t="s">
        <v>5051</v>
      </c>
      <c r="G429" s="51" t="s">
        <v>4812</v>
      </c>
      <c r="H429" s="54"/>
      <c r="I429" s="55">
        <v>16</v>
      </c>
      <c r="K429" s="51" t="s">
        <v>5015</v>
      </c>
    </row>
    <row r="430" spans="1:11">
      <c r="A430" s="51">
        <v>414</v>
      </c>
      <c r="B430" s="51" t="s">
        <v>5014</v>
      </c>
      <c r="C430" s="51" t="s">
        <v>5015</v>
      </c>
      <c r="D430" s="52" t="s">
        <v>1055</v>
      </c>
      <c r="E430" s="52" t="s">
        <v>1054</v>
      </c>
      <c r="F430" s="53" t="s">
        <v>5051</v>
      </c>
      <c r="G430" s="51" t="s">
        <v>4812</v>
      </c>
      <c r="H430" s="54"/>
      <c r="I430" s="55">
        <v>16</v>
      </c>
      <c r="K430" s="51" t="s">
        <v>5015</v>
      </c>
    </row>
    <row r="431" spans="1:11">
      <c r="A431" s="51">
        <v>415</v>
      </c>
      <c r="B431" s="51" t="s">
        <v>5014</v>
      </c>
      <c r="C431" s="51" t="s">
        <v>5015</v>
      </c>
      <c r="D431" s="52" t="s">
        <v>1055</v>
      </c>
      <c r="E431" s="52" t="s">
        <v>1054</v>
      </c>
      <c r="F431" s="53" t="s">
        <v>5051</v>
      </c>
      <c r="G431" s="51" t="s">
        <v>4812</v>
      </c>
      <c r="H431" s="54"/>
      <c r="I431" s="55">
        <v>0</v>
      </c>
      <c r="K431" s="51" t="s">
        <v>5015</v>
      </c>
    </row>
    <row r="432" spans="1:11">
      <c r="A432" s="51">
        <v>416</v>
      </c>
      <c r="B432" s="51" t="s">
        <v>5014</v>
      </c>
      <c r="C432" s="51" t="s">
        <v>5015</v>
      </c>
      <c r="D432" s="52" t="s">
        <v>1055</v>
      </c>
      <c r="E432" s="52" t="s">
        <v>1054</v>
      </c>
      <c r="F432" s="53" t="s">
        <v>5051</v>
      </c>
      <c r="G432" s="51" t="s">
        <v>4812</v>
      </c>
      <c r="H432" s="54"/>
      <c r="I432" s="55">
        <v>0</v>
      </c>
      <c r="K432" s="51" t="s">
        <v>5015</v>
      </c>
    </row>
    <row r="433" spans="1:11">
      <c r="A433" s="51">
        <v>417</v>
      </c>
      <c r="B433" s="51" t="s">
        <v>5014</v>
      </c>
      <c r="C433" s="51" t="s">
        <v>5015</v>
      </c>
      <c r="D433" s="52" t="s">
        <v>1059</v>
      </c>
      <c r="E433" s="52" t="s">
        <v>1058</v>
      </c>
      <c r="F433" s="53" t="s">
        <v>5051</v>
      </c>
      <c r="G433" s="51" t="s">
        <v>4812</v>
      </c>
      <c r="H433" s="54"/>
      <c r="I433" s="55">
        <v>6</v>
      </c>
      <c r="K433" s="51" t="s">
        <v>5015</v>
      </c>
    </row>
    <row r="434" spans="1:11">
      <c r="A434" s="51">
        <v>418</v>
      </c>
      <c r="B434" s="51" t="s">
        <v>5014</v>
      </c>
      <c r="C434" s="51" t="s">
        <v>5015</v>
      </c>
      <c r="D434" s="52" t="s">
        <v>1059</v>
      </c>
      <c r="E434" s="52" t="s">
        <v>1058</v>
      </c>
      <c r="F434" s="53" t="s">
        <v>5051</v>
      </c>
      <c r="G434" s="51" t="s">
        <v>4812</v>
      </c>
      <c r="H434" s="54"/>
      <c r="I434" s="55">
        <v>16</v>
      </c>
      <c r="K434" s="51" t="s">
        <v>5015</v>
      </c>
    </row>
    <row r="435" spans="1:11">
      <c r="A435" s="51">
        <v>419</v>
      </c>
      <c r="B435" s="51" t="s">
        <v>5014</v>
      </c>
      <c r="C435" s="51" t="s">
        <v>5015</v>
      </c>
      <c r="D435" s="52" t="s">
        <v>1059</v>
      </c>
      <c r="E435" s="52" t="s">
        <v>1058</v>
      </c>
      <c r="F435" s="53" t="s">
        <v>5051</v>
      </c>
      <c r="G435" s="51" t="s">
        <v>4812</v>
      </c>
      <c r="H435" s="54"/>
      <c r="I435" s="55">
        <v>16</v>
      </c>
      <c r="K435" s="51" t="s">
        <v>5015</v>
      </c>
    </row>
    <row r="436" spans="1:11">
      <c r="A436" s="51">
        <v>420</v>
      </c>
      <c r="B436" s="51" t="s">
        <v>5014</v>
      </c>
      <c r="C436" s="51" t="s">
        <v>5015</v>
      </c>
      <c r="D436" s="52" t="s">
        <v>1059</v>
      </c>
      <c r="E436" s="52" t="s">
        <v>1058</v>
      </c>
      <c r="F436" s="53" t="s">
        <v>5051</v>
      </c>
      <c r="G436" s="51" t="s">
        <v>4812</v>
      </c>
      <c r="H436" s="54"/>
      <c r="I436" s="55">
        <v>16</v>
      </c>
      <c r="K436" s="51" t="s">
        <v>5015</v>
      </c>
    </row>
    <row r="437" spans="1:11">
      <c r="A437" s="51">
        <v>421</v>
      </c>
      <c r="B437" s="51" t="s">
        <v>5014</v>
      </c>
      <c r="C437" s="51" t="s">
        <v>5015</v>
      </c>
      <c r="D437" s="52" t="s">
        <v>1059</v>
      </c>
      <c r="E437" s="52" t="s">
        <v>1058</v>
      </c>
      <c r="F437" s="53" t="s">
        <v>5051</v>
      </c>
      <c r="G437" s="51" t="s">
        <v>4812</v>
      </c>
      <c r="H437" s="54"/>
      <c r="I437" s="55">
        <v>16</v>
      </c>
      <c r="K437" s="51" t="s">
        <v>5015</v>
      </c>
    </row>
    <row r="438" spans="1:11">
      <c r="A438" s="51">
        <v>422</v>
      </c>
      <c r="B438" s="51" t="s">
        <v>5014</v>
      </c>
      <c r="C438" s="51" t="s">
        <v>5015</v>
      </c>
      <c r="D438" s="52" t="s">
        <v>1059</v>
      </c>
      <c r="E438" s="52" t="s">
        <v>1058</v>
      </c>
      <c r="F438" s="53" t="s">
        <v>5051</v>
      </c>
      <c r="G438" s="51" t="s">
        <v>4812</v>
      </c>
      <c r="H438" s="54"/>
      <c r="I438" s="55">
        <v>16</v>
      </c>
      <c r="K438" s="51" t="s">
        <v>5015</v>
      </c>
    </row>
    <row r="439" spans="1:11">
      <c r="A439" s="51">
        <v>423</v>
      </c>
      <c r="B439" s="51" t="s">
        <v>5014</v>
      </c>
      <c r="C439" s="51" t="s">
        <v>5015</v>
      </c>
      <c r="D439" s="52" t="s">
        <v>1059</v>
      </c>
      <c r="E439" s="52" t="s">
        <v>1058</v>
      </c>
      <c r="F439" s="53" t="s">
        <v>5051</v>
      </c>
      <c r="G439" s="51" t="s">
        <v>4812</v>
      </c>
      <c r="H439" s="54"/>
      <c r="I439" s="55">
        <v>16</v>
      </c>
      <c r="K439" s="51" t="s">
        <v>5015</v>
      </c>
    </row>
    <row r="440" spans="1:11">
      <c r="A440" s="51">
        <v>424</v>
      </c>
      <c r="B440" s="51" t="s">
        <v>5014</v>
      </c>
      <c r="C440" s="51" t="s">
        <v>5015</v>
      </c>
      <c r="D440" s="52" t="s">
        <v>1059</v>
      </c>
      <c r="E440" s="52" t="s">
        <v>1058</v>
      </c>
      <c r="F440" s="53" t="s">
        <v>5051</v>
      </c>
      <c r="G440" s="51" t="s">
        <v>4812</v>
      </c>
      <c r="H440" s="54"/>
      <c r="I440" s="55">
        <v>16</v>
      </c>
      <c r="K440" s="51" t="s">
        <v>5015</v>
      </c>
    </row>
    <row r="441" spans="1:11">
      <c r="A441" s="51">
        <v>425</v>
      </c>
      <c r="B441" s="51" t="s">
        <v>5014</v>
      </c>
      <c r="C441" s="51" t="s">
        <v>5015</v>
      </c>
      <c r="D441" s="52" t="s">
        <v>1059</v>
      </c>
      <c r="E441" s="52" t="s">
        <v>1058</v>
      </c>
      <c r="F441" s="53" t="s">
        <v>5051</v>
      </c>
      <c r="G441" s="51" t="s">
        <v>4812</v>
      </c>
      <c r="H441" s="54"/>
      <c r="I441" s="55">
        <v>16</v>
      </c>
      <c r="K441" s="51" t="s">
        <v>5015</v>
      </c>
    </row>
    <row r="442" spans="1:11">
      <c r="A442" s="51">
        <v>426</v>
      </c>
      <c r="B442" s="51" t="s">
        <v>5014</v>
      </c>
      <c r="C442" s="51" t="s">
        <v>5015</v>
      </c>
      <c r="D442" s="52" t="s">
        <v>1059</v>
      </c>
      <c r="E442" s="52" t="s">
        <v>1058</v>
      </c>
      <c r="F442" s="53" t="s">
        <v>5051</v>
      </c>
      <c r="G442" s="51" t="s">
        <v>4812</v>
      </c>
      <c r="H442" s="54"/>
      <c r="I442" s="55">
        <v>16</v>
      </c>
      <c r="K442" s="51" t="s">
        <v>5015</v>
      </c>
    </row>
    <row r="443" spans="1:11">
      <c r="A443" s="51">
        <v>427</v>
      </c>
      <c r="B443" s="51" t="s">
        <v>5014</v>
      </c>
      <c r="C443" s="51" t="s">
        <v>5015</v>
      </c>
      <c r="D443" s="52" t="s">
        <v>1059</v>
      </c>
      <c r="E443" s="52" t="s">
        <v>1058</v>
      </c>
      <c r="F443" s="53" t="s">
        <v>5051</v>
      </c>
      <c r="G443" s="51" t="s">
        <v>4812</v>
      </c>
      <c r="H443" s="54"/>
      <c r="I443" s="55">
        <v>0</v>
      </c>
      <c r="K443" s="51" t="s">
        <v>5015</v>
      </c>
    </row>
    <row r="444" spans="1:11">
      <c r="A444" s="51">
        <v>428</v>
      </c>
      <c r="B444" s="51" t="s">
        <v>5014</v>
      </c>
      <c r="C444" s="51" t="s">
        <v>5015</v>
      </c>
      <c r="D444" s="52" t="s">
        <v>1059</v>
      </c>
      <c r="E444" s="52" t="s">
        <v>1058</v>
      </c>
      <c r="F444" s="53" t="s">
        <v>5051</v>
      </c>
      <c r="G444" s="51" t="s">
        <v>4812</v>
      </c>
      <c r="H444" s="54"/>
      <c r="I444" s="55">
        <v>0</v>
      </c>
      <c r="K444" s="51" t="s">
        <v>5015</v>
      </c>
    </row>
    <row r="445" spans="1:11">
      <c r="A445" s="51">
        <v>429</v>
      </c>
      <c r="B445" s="51" t="s">
        <v>5014</v>
      </c>
      <c r="C445" s="51" t="s">
        <v>5015</v>
      </c>
      <c r="D445" s="52" t="s">
        <v>1059</v>
      </c>
      <c r="E445" s="52" t="s">
        <v>1058</v>
      </c>
      <c r="F445" s="53" t="s">
        <v>5051</v>
      </c>
      <c r="G445" s="51" t="s">
        <v>4812</v>
      </c>
      <c r="H445" s="54"/>
      <c r="I445" s="55">
        <v>0</v>
      </c>
      <c r="K445" s="51" t="s">
        <v>5015</v>
      </c>
    </row>
    <row r="446" spans="1:11">
      <c r="A446" s="51">
        <v>430</v>
      </c>
      <c r="B446" s="51" t="s">
        <v>5014</v>
      </c>
      <c r="C446" s="51" t="s">
        <v>5015</v>
      </c>
      <c r="D446" s="52" t="s">
        <v>1059</v>
      </c>
      <c r="E446" s="52" t="s">
        <v>1058</v>
      </c>
      <c r="F446" s="53" t="s">
        <v>5051</v>
      </c>
      <c r="G446" s="51" t="s">
        <v>4812</v>
      </c>
      <c r="H446" s="54"/>
      <c r="I446" s="55">
        <v>0</v>
      </c>
      <c r="K446" s="51" t="s">
        <v>5015</v>
      </c>
    </row>
    <row r="447" spans="1:11">
      <c r="A447" s="51">
        <v>431</v>
      </c>
      <c r="B447" s="51" t="s">
        <v>5014</v>
      </c>
      <c r="C447" s="51" t="s">
        <v>5015</v>
      </c>
      <c r="D447" s="52" t="s">
        <v>1059</v>
      </c>
      <c r="E447" s="52" t="s">
        <v>1058</v>
      </c>
      <c r="F447" s="53" t="s">
        <v>5051</v>
      </c>
      <c r="G447" s="51" t="s">
        <v>4812</v>
      </c>
      <c r="H447" s="54"/>
      <c r="I447" s="55">
        <v>0</v>
      </c>
      <c r="K447" s="51" t="s">
        <v>5015</v>
      </c>
    </row>
    <row r="448" spans="1:11">
      <c r="A448" s="51">
        <v>432</v>
      </c>
      <c r="B448" s="51" t="s">
        <v>5014</v>
      </c>
      <c r="C448" s="51" t="s">
        <v>5015</v>
      </c>
      <c r="D448" s="52" t="s">
        <v>1059</v>
      </c>
      <c r="E448" s="52" t="s">
        <v>1058</v>
      </c>
      <c r="F448" s="53" t="s">
        <v>5051</v>
      </c>
      <c r="G448" s="51" t="s">
        <v>4812</v>
      </c>
      <c r="H448" s="54"/>
      <c r="I448" s="55">
        <v>0</v>
      </c>
      <c r="K448" s="51" t="s">
        <v>5015</v>
      </c>
    </row>
    <row r="449" spans="1:11">
      <c r="A449" s="51">
        <v>433</v>
      </c>
      <c r="B449" s="51" t="s">
        <v>5014</v>
      </c>
      <c r="C449" s="51" t="s">
        <v>5015</v>
      </c>
      <c r="D449" s="52" t="s">
        <v>1059</v>
      </c>
      <c r="E449" s="52" t="s">
        <v>1058</v>
      </c>
      <c r="F449" s="53" t="s">
        <v>5051</v>
      </c>
      <c r="G449" s="51" t="s">
        <v>4812</v>
      </c>
      <c r="H449" s="54"/>
      <c r="I449" s="55">
        <v>0</v>
      </c>
      <c r="K449" s="51" t="s">
        <v>5015</v>
      </c>
    </row>
    <row r="450" spans="1:11">
      <c r="A450" s="51">
        <v>434</v>
      </c>
      <c r="B450" s="51" t="s">
        <v>5014</v>
      </c>
      <c r="C450" s="51" t="s">
        <v>5015</v>
      </c>
      <c r="D450" s="52" t="s">
        <v>1059</v>
      </c>
      <c r="E450" s="52" t="s">
        <v>1058</v>
      </c>
      <c r="F450" s="53" t="s">
        <v>5051</v>
      </c>
      <c r="G450" s="51" t="s">
        <v>4812</v>
      </c>
      <c r="H450" s="54"/>
      <c r="I450" s="55">
        <v>0</v>
      </c>
      <c r="K450" s="51" t="s">
        <v>5015</v>
      </c>
    </row>
    <row r="451" spans="1:11">
      <c r="A451" s="51">
        <v>435</v>
      </c>
      <c r="B451" s="51" t="s">
        <v>5014</v>
      </c>
      <c r="C451" s="51" t="s">
        <v>5015</v>
      </c>
      <c r="D451" s="52" t="s">
        <v>1059</v>
      </c>
      <c r="E451" s="52" t="s">
        <v>1058</v>
      </c>
      <c r="F451" s="53" t="s">
        <v>5051</v>
      </c>
      <c r="G451" s="51" t="s">
        <v>4812</v>
      </c>
      <c r="H451" s="54"/>
      <c r="I451" s="55">
        <v>0</v>
      </c>
      <c r="K451" s="51" t="s">
        <v>5015</v>
      </c>
    </row>
    <row r="452" spans="1:11">
      <c r="A452" s="51">
        <v>436</v>
      </c>
      <c r="B452" s="51" t="s">
        <v>5014</v>
      </c>
      <c r="C452" s="51" t="s">
        <v>5015</v>
      </c>
      <c r="D452" s="52" t="s">
        <v>1059</v>
      </c>
      <c r="E452" s="52" t="s">
        <v>1058</v>
      </c>
      <c r="F452" s="53" t="s">
        <v>5051</v>
      </c>
      <c r="G452" s="51" t="s">
        <v>4812</v>
      </c>
      <c r="H452" s="54"/>
      <c r="I452" s="55">
        <v>0</v>
      </c>
      <c r="K452" s="51" t="s">
        <v>5015</v>
      </c>
    </row>
    <row r="453" spans="1:11">
      <c r="A453" s="51">
        <v>437</v>
      </c>
      <c r="B453" s="51" t="s">
        <v>5014</v>
      </c>
      <c r="C453" s="51" t="s">
        <v>5015</v>
      </c>
      <c r="D453" s="52" t="s">
        <v>1059</v>
      </c>
      <c r="E453" s="52" t="s">
        <v>1058</v>
      </c>
      <c r="F453" s="53" t="s">
        <v>5051</v>
      </c>
      <c r="G453" s="51" t="s">
        <v>4812</v>
      </c>
      <c r="H453" s="54"/>
      <c r="I453" s="55">
        <v>0</v>
      </c>
      <c r="K453" s="51" t="s">
        <v>5015</v>
      </c>
    </row>
    <row r="454" spans="1:11">
      <c r="A454" s="51">
        <v>438</v>
      </c>
      <c r="B454" s="51" t="s">
        <v>5014</v>
      </c>
      <c r="C454" s="51" t="s">
        <v>5015</v>
      </c>
      <c r="D454" s="52" t="s">
        <v>1059</v>
      </c>
      <c r="E454" s="52" t="s">
        <v>1058</v>
      </c>
      <c r="F454" s="53" t="s">
        <v>5051</v>
      </c>
      <c r="G454" s="51" t="s">
        <v>4812</v>
      </c>
      <c r="H454" s="54"/>
      <c r="I454" s="55">
        <v>0</v>
      </c>
      <c r="K454" s="51" t="s">
        <v>5015</v>
      </c>
    </row>
    <row r="455" spans="1:11">
      <c r="A455" s="51">
        <v>439</v>
      </c>
      <c r="B455" s="51" t="s">
        <v>5014</v>
      </c>
      <c r="C455" s="51" t="s">
        <v>5015</v>
      </c>
      <c r="D455" s="52" t="s">
        <v>1059</v>
      </c>
      <c r="E455" s="52" t="s">
        <v>1058</v>
      </c>
      <c r="F455" s="53" t="s">
        <v>5051</v>
      </c>
      <c r="G455" s="51" t="s">
        <v>4812</v>
      </c>
      <c r="H455" s="54"/>
      <c r="I455" s="55">
        <v>0</v>
      </c>
      <c r="K455" s="51" t="s">
        <v>5015</v>
      </c>
    </row>
    <row r="456" spans="1:11">
      <c r="A456" s="51">
        <v>440</v>
      </c>
      <c r="B456" s="51" t="s">
        <v>5014</v>
      </c>
      <c r="C456" s="51" t="s">
        <v>5015</v>
      </c>
      <c r="D456" s="52" t="s">
        <v>1059</v>
      </c>
      <c r="E456" s="52" t="s">
        <v>1058</v>
      </c>
      <c r="F456" s="53" t="s">
        <v>5051</v>
      </c>
      <c r="G456" s="51" t="s">
        <v>4812</v>
      </c>
      <c r="H456" s="54"/>
      <c r="I456" s="55">
        <v>0</v>
      </c>
      <c r="K456" s="51" t="s">
        <v>5015</v>
      </c>
    </row>
    <row r="457" spans="1:11">
      <c r="A457" s="51">
        <v>441</v>
      </c>
      <c r="B457" s="51" t="s">
        <v>5014</v>
      </c>
      <c r="C457" s="51" t="s">
        <v>5015</v>
      </c>
      <c r="D457" s="52" t="s">
        <v>1059</v>
      </c>
      <c r="E457" s="52" t="s">
        <v>1058</v>
      </c>
      <c r="F457" s="53" t="s">
        <v>5051</v>
      </c>
      <c r="G457" s="51" t="s">
        <v>4812</v>
      </c>
      <c r="H457" s="54"/>
      <c r="I457" s="55">
        <v>0</v>
      </c>
      <c r="K457" s="51" t="s">
        <v>5015</v>
      </c>
    </row>
    <row r="458" spans="1:11">
      <c r="A458" s="51">
        <v>442</v>
      </c>
      <c r="B458" s="51" t="s">
        <v>5014</v>
      </c>
      <c r="C458" s="51" t="s">
        <v>5015</v>
      </c>
      <c r="D458" s="52" t="s">
        <v>811</v>
      </c>
      <c r="E458" s="52" t="s">
        <v>810</v>
      </c>
      <c r="F458" s="53" t="s">
        <v>5052</v>
      </c>
      <c r="G458" s="51" t="s">
        <v>4812</v>
      </c>
      <c r="H458" s="54"/>
      <c r="I458" s="55">
        <v>33</v>
      </c>
      <c r="K458" s="51" t="s">
        <v>5015</v>
      </c>
    </row>
    <row r="459" spans="1:11">
      <c r="A459" s="51">
        <v>443</v>
      </c>
      <c r="B459" s="51" t="s">
        <v>5014</v>
      </c>
      <c r="C459" s="51" t="s">
        <v>5015</v>
      </c>
      <c r="D459" s="52" t="s">
        <v>811</v>
      </c>
      <c r="E459" s="52" t="s">
        <v>810</v>
      </c>
      <c r="F459" s="53" t="s">
        <v>5052</v>
      </c>
      <c r="G459" s="51" t="s">
        <v>4812</v>
      </c>
      <c r="H459" s="54"/>
      <c r="I459" s="55">
        <v>0</v>
      </c>
      <c r="K459" s="51" t="s">
        <v>5015</v>
      </c>
    </row>
    <row r="460" spans="1:11">
      <c r="A460" s="51">
        <v>444</v>
      </c>
      <c r="B460" s="51" t="s">
        <v>5014</v>
      </c>
      <c r="C460" s="51" t="s">
        <v>5015</v>
      </c>
      <c r="D460" s="52" t="s">
        <v>811</v>
      </c>
      <c r="E460" s="52" t="s">
        <v>810</v>
      </c>
      <c r="F460" s="53" t="s">
        <v>5052</v>
      </c>
      <c r="G460" s="51" t="s">
        <v>4812</v>
      </c>
      <c r="H460" s="54"/>
      <c r="I460" s="55">
        <v>0</v>
      </c>
      <c r="K460" s="51" t="s">
        <v>5015</v>
      </c>
    </row>
    <row r="461" spans="1:11">
      <c r="A461" s="51">
        <v>445</v>
      </c>
      <c r="B461" s="51" t="s">
        <v>5014</v>
      </c>
      <c r="C461" s="51" t="s">
        <v>5015</v>
      </c>
      <c r="D461" s="52" t="s">
        <v>811</v>
      </c>
      <c r="E461" s="52" t="s">
        <v>810</v>
      </c>
      <c r="F461" s="53" t="s">
        <v>5052</v>
      </c>
      <c r="G461" s="51" t="s">
        <v>4812</v>
      </c>
      <c r="H461" s="54"/>
      <c r="I461" s="55">
        <v>0</v>
      </c>
      <c r="K461" s="51" t="s">
        <v>5015</v>
      </c>
    </row>
    <row r="462" spans="1:11">
      <c r="A462" s="51">
        <v>446</v>
      </c>
      <c r="B462" s="51" t="s">
        <v>5014</v>
      </c>
      <c r="C462" s="51" t="s">
        <v>5015</v>
      </c>
      <c r="D462" s="52" t="s">
        <v>811</v>
      </c>
      <c r="E462" s="52" t="s">
        <v>810</v>
      </c>
      <c r="F462" s="53" t="s">
        <v>5052</v>
      </c>
      <c r="G462" s="51" t="s">
        <v>4812</v>
      </c>
      <c r="H462" s="54"/>
      <c r="I462" s="55">
        <v>0</v>
      </c>
      <c r="K462" s="51" t="s">
        <v>5015</v>
      </c>
    </row>
    <row r="463" spans="1:11">
      <c r="A463" s="51">
        <v>447</v>
      </c>
      <c r="B463" s="51" t="s">
        <v>5014</v>
      </c>
      <c r="C463" s="51" t="s">
        <v>5015</v>
      </c>
      <c r="D463" s="52" t="s">
        <v>811</v>
      </c>
      <c r="E463" s="52" t="s">
        <v>810</v>
      </c>
      <c r="F463" s="53" t="s">
        <v>5052</v>
      </c>
      <c r="G463" s="51" t="s">
        <v>4812</v>
      </c>
      <c r="H463" s="54"/>
      <c r="I463" s="55">
        <v>0</v>
      </c>
      <c r="K463" s="51" t="s">
        <v>5015</v>
      </c>
    </row>
    <row r="464" spans="1:11">
      <c r="A464" s="51">
        <v>448</v>
      </c>
      <c r="B464" s="51" t="s">
        <v>5014</v>
      </c>
      <c r="C464" s="51" t="s">
        <v>5015</v>
      </c>
      <c r="D464" s="52" t="s">
        <v>811</v>
      </c>
      <c r="E464" s="52" t="s">
        <v>810</v>
      </c>
      <c r="F464" s="53" t="s">
        <v>5052</v>
      </c>
      <c r="G464" s="51" t="s">
        <v>4812</v>
      </c>
      <c r="H464" s="54"/>
      <c r="I464" s="55">
        <v>0</v>
      </c>
      <c r="K464" s="51" t="s">
        <v>5015</v>
      </c>
    </row>
    <row r="465" spans="1:11">
      <c r="A465" s="51">
        <v>449</v>
      </c>
      <c r="B465" s="51" t="s">
        <v>5014</v>
      </c>
      <c r="C465" s="51" t="s">
        <v>5015</v>
      </c>
      <c r="D465" s="52" t="s">
        <v>811</v>
      </c>
      <c r="E465" s="52" t="s">
        <v>810</v>
      </c>
      <c r="F465" s="53" t="s">
        <v>5052</v>
      </c>
      <c r="G465" s="51" t="s">
        <v>4812</v>
      </c>
      <c r="H465" s="54"/>
      <c r="I465" s="55">
        <v>0</v>
      </c>
      <c r="K465" s="51" t="s">
        <v>5015</v>
      </c>
    </row>
    <row r="466" spans="1:11">
      <c r="A466" s="51">
        <v>450</v>
      </c>
      <c r="B466" s="51" t="s">
        <v>5014</v>
      </c>
      <c r="C466" s="51" t="s">
        <v>5015</v>
      </c>
      <c r="D466" s="52" t="s">
        <v>811</v>
      </c>
      <c r="E466" s="52" t="s">
        <v>810</v>
      </c>
      <c r="F466" s="53" t="s">
        <v>5052</v>
      </c>
      <c r="G466" s="51" t="s">
        <v>4812</v>
      </c>
      <c r="H466" s="54"/>
      <c r="I466" s="55">
        <v>0</v>
      </c>
      <c r="K466" s="51" t="s">
        <v>5015</v>
      </c>
    </row>
    <row r="467" spans="1:11">
      <c r="A467" s="51">
        <v>451</v>
      </c>
      <c r="B467" s="51" t="s">
        <v>5014</v>
      </c>
      <c r="C467" s="51" t="s">
        <v>5015</v>
      </c>
      <c r="D467" s="52" t="s">
        <v>811</v>
      </c>
      <c r="E467" s="52" t="s">
        <v>810</v>
      </c>
      <c r="F467" s="53" t="s">
        <v>5052</v>
      </c>
      <c r="G467" s="51" t="s">
        <v>4812</v>
      </c>
      <c r="H467" s="54"/>
      <c r="I467" s="55">
        <v>0</v>
      </c>
      <c r="K467" s="51" t="s">
        <v>5015</v>
      </c>
    </row>
    <row r="468" spans="1:11">
      <c r="A468" s="51">
        <v>452</v>
      </c>
      <c r="B468" s="51" t="s">
        <v>5014</v>
      </c>
      <c r="C468" s="51" t="s">
        <v>5015</v>
      </c>
      <c r="D468" s="52" t="s">
        <v>815</v>
      </c>
      <c r="E468" s="52" t="s">
        <v>814</v>
      </c>
      <c r="F468" s="53" t="s">
        <v>5053</v>
      </c>
      <c r="G468" s="51" t="s">
        <v>4812</v>
      </c>
      <c r="H468" s="54"/>
      <c r="I468" s="55">
        <v>49</v>
      </c>
      <c r="K468" s="51" t="s">
        <v>5015</v>
      </c>
    </row>
    <row r="469" spans="1:11">
      <c r="A469" s="51">
        <v>453</v>
      </c>
      <c r="B469" s="51" t="s">
        <v>5014</v>
      </c>
      <c r="C469" s="51" t="s">
        <v>5015</v>
      </c>
      <c r="D469" s="52" t="s">
        <v>815</v>
      </c>
      <c r="E469" s="52" t="s">
        <v>814</v>
      </c>
      <c r="F469" s="53" t="s">
        <v>5053</v>
      </c>
      <c r="G469" s="51" t="s">
        <v>4812</v>
      </c>
      <c r="H469" s="54"/>
      <c r="I469" s="55">
        <v>0</v>
      </c>
      <c r="K469" s="51" t="s">
        <v>5015</v>
      </c>
    </row>
    <row r="470" spans="1:11">
      <c r="A470" s="51">
        <v>454</v>
      </c>
      <c r="B470" s="51" t="s">
        <v>5014</v>
      </c>
      <c r="C470" s="51" t="s">
        <v>5015</v>
      </c>
      <c r="D470" s="52" t="s">
        <v>815</v>
      </c>
      <c r="E470" s="52" t="s">
        <v>814</v>
      </c>
      <c r="F470" s="53" t="s">
        <v>5053</v>
      </c>
      <c r="G470" s="51" t="s">
        <v>4812</v>
      </c>
      <c r="H470" s="54"/>
      <c r="I470" s="55">
        <v>0</v>
      </c>
      <c r="K470" s="51" t="s">
        <v>5015</v>
      </c>
    </row>
    <row r="471" spans="1:11">
      <c r="A471" s="51">
        <v>455</v>
      </c>
      <c r="B471" s="51" t="s">
        <v>5014</v>
      </c>
      <c r="C471" s="51" t="s">
        <v>5015</v>
      </c>
      <c r="D471" s="52" t="s">
        <v>815</v>
      </c>
      <c r="E471" s="52" t="s">
        <v>814</v>
      </c>
      <c r="F471" s="53" t="s">
        <v>5053</v>
      </c>
      <c r="G471" s="51" t="s">
        <v>4812</v>
      </c>
      <c r="H471" s="54"/>
      <c r="I471" s="55">
        <v>0</v>
      </c>
      <c r="K471" s="51" t="s">
        <v>5015</v>
      </c>
    </row>
    <row r="472" spans="1:11">
      <c r="A472" s="51">
        <v>456</v>
      </c>
      <c r="B472" s="51" t="s">
        <v>5014</v>
      </c>
      <c r="C472" s="51" t="s">
        <v>5015</v>
      </c>
      <c r="D472" s="52" t="s">
        <v>815</v>
      </c>
      <c r="E472" s="52" t="s">
        <v>814</v>
      </c>
      <c r="F472" s="53" t="s">
        <v>5053</v>
      </c>
      <c r="G472" s="51" t="s">
        <v>4812</v>
      </c>
      <c r="H472" s="54"/>
      <c r="I472" s="55">
        <v>0</v>
      </c>
      <c r="K472" s="51" t="s">
        <v>5015</v>
      </c>
    </row>
    <row r="473" spans="1:11">
      <c r="A473" s="51">
        <v>457</v>
      </c>
      <c r="B473" s="51" t="s">
        <v>5014</v>
      </c>
      <c r="C473" s="51" t="s">
        <v>5015</v>
      </c>
      <c r="D473" s="52" t="s">
        <v>815</v>
      </c>
      <c r="E473" s="52" t="s">
        <v>814</v>
      </c>
      <c r="F473" s="53" t="s">
        <v>5053</v>
      </c>
      <c r="G473" s="51" t="s">
        <v>4812</v>
      </c>
      <c r="H473" s="54"/>
      <c r="I473" s="55">
        <v>0</v>
      </c>
      <c r="K473" s="51" t="s">
        <v>5015</v>
      </c>
    </row>
    <row r="474" spans="1:11">
      <c r="A474" s="51">
        <v>458</v>
      </c>
      <c r="B474" s="51" t="s">
        <v>5014</v>
      </c>
      <c r="C474" s="51" t="s">
        <v>5015</v>
      </c>
      <c r="D474" s="52" t="s">
        <v>815</v>
      </c>
      <c r="E474" s="52" t="s">
        <v>814</v>
      </c>
      <c r="F474" s="53" t="s">
        <v>5053</v>
      </c>
      <c r="G474" s="51" t="s">
        <v>4812</v>
      </c>
      <c r="H474" s="54"/>
      <c r="I474" s="55">
        <v>0</v>
      </c>
      <c r="K474" s="51" t="s">
        <v>5015</v>
      </c>
    </row>
    <row r="475" spans="1:11">
      <c r="A475" s="51">
        <v>459</v>
      </c>
      <c r="B475" s="51" t="s">
        <v>5014</v>
      </c>
      <c r="C475" s="51" t="s">
        <v>5015</v>
      </c>
      <c r="D475" s="52" t="s">
        <v>815</v>
      </c>
      <c r="E475" s="52" t="s">
        <v>814</v>
      </c>
      <c r="F475" s="53" t="s">
        <v>5053</v>
      </c>
      <c r="G475" s="51" t="s">
        <v>4812</v>
      </c>
      <c r="H475" s="54"/>
      <c r="I475" s="55">
        <v>0</v>
      </c>
      <c r="K475" s="51" t="s">
        <v>5015</v>
      </c>
    </row>
    <row r="476" spans="1:11">
      <c r="A476" s="51">
        <v>460</v>
      </c>
      <c r="B476" s="51" t="s">
        <v>5014</v>
      </c>
      <c r="C476" s="51" t="s">
        <v>5015</v>
      </c>
      <c r="D476" s="52" t="s">
        <v>815</v>
      </c>
      <c r="E476" s="52" t="s">
        <v>814</v>
      </c>
      <c r="F476" s="53" t="s">
        <v>5053</v>
      </c>
      <c r="G476" s="51" t="s">
        <v>4812</v>
      </c>
      <c r="H476" s="54"/>
      <c r="I476" s="55">
        <v>0</v>
      </c>
      <c r="K476" s="51" t="s">
        <v>5015</v>
      </c>
    </row>
    <row r="477" spans="1:11">
      <c r="A477" s="51">
        <v>461</v>
      </c>
      <c r="B477" s="51" t="s">
        <v>5014</v>
      </c>
      <c r="C477" s="51" t="s">
        <v>5015</v>
      </c>
      <c r="D477" s="52" t="s">
        <v>815</v>
      </c>
      <c r="E477" s="52" t="s">
        <v>814</v>
      </c>
      <c r="F477" s="53" t="s">
        <v>5053</v>
      </c>
      <c r="G477" s="51" t="s">
        <v>4812</v>
      </c>
      <c r="H477" s="54"/>
      <c r="I477" s="55">
        <v>0</v>
      </c>
      <c r="K477" s="51" t="s">
        <v>5015</v>
      </c>
    </row>
    <row r="478" spans="1:11">
      <c r="A478" s="51">
        <v>462</v>
      </c>
      <c r="B478" s="51" t="s">
        <v>5014</v>
      </c>
      <c r="C478" s="51" t="s">
        <v>5015</v>
      </c>
      <c r="D478" s="52" t="s">
        <v>873</v>
      </c>
      <c r="E478" s="52" t="s">
        <v>872</v>
      </c>
      <c r="F478" s="53" t="s">
        <v>5054</v>
      </c>
      <c r="G478" s="51" t="s">
        <v>4812</v>
      </c>
      <c r="H478" s="54"/>
      <c r="I478" s="55">
        <v>56</v>
      </c>
      <c r="K478" s="51" t="s">
        <v>5015</v>
      </c>
    </row>
    <row r="479" spans="1:11">
      <c r="A479" s="51">
        <v>463</v>
      </c>
      <c r="B479" s="51" t="s">
        <v>5014</v>
      </c>
      <c r="C479" s="51" t="s">
        <v>5015</v>
      </c>
      <c r="D479" s="52" t="s">
        <v>873</v>
      </c>
      <c r="E479" s="52" t="s">
        <v>872</v>
      </c>
      <c r="F479" s="53" t="s">
        <v>5054</v>
      </c>
      <c r="G479" s="51" t="s">
        <v>4812</v>
      </c>
      <c r="H479" s="54"/>
      <c r="I479" s="55">
        <v>47</v>
      </c>
      <c r="K479" s="51" t="s">
        <v>5015</v>
      </c>
    </row>
    <row r="480" spans="1:11">
      <c r="A480" s="51">
        <v>464</v>
      </c>
      <c r="B480" s="51" t="s">
        <v>5014</v>
      </c>
      <c r="C480" s="51" t="s">
        <v>5015</v>
      </c>
      <c r="D480" s="52" t="s">
        <v>873</v>
      </c>
      <c r="E480" s="52" t="s">
        <v>872</v>
      </c>
      <c r="F480" s="53" t="s">
        <v>5054</v>
      </c>
      <c r="G480" s="51" t="s">
        <v>4812</v>
      </c>
      <c r="H480" s="54"/>
      <c r="I480" s="55">
        <v>0</v>
      </c>
      <c r="K480" s="51" t="s">
        <v>5015</v>
      </c>
    </row>
    <row r="481" spans="1:11">
      <c r="A481" s="51">
        <v>465</v>
      </c>
      <c r="B481" s="51" t="s">
        <v>5014</v>
      </c>
      <c r="C481" s="51" t="s">
        <v>5015</v>
      </c>
      <c r="D481" s="52" t="s">
        <v>873</v>
      </c>
      <c r="E481" s="52" t="s">
        <v>872</v>
      </c>
      <c r="F481" s="53" t="s">
        <v>5054</v>
      </c>
      <c r="G481" s="51" t="s">
        <v>4812</v>
      </c>
      <c r="H481" s="54"/>
      <c r="I481" s="55">
        <v>0</v>
      </c>
      <c r="K481" s="51" t="s">
        <v>5015</v>
      </c>
    </row>
    <row r="482" spans="1:11">
      <c r="A482" s="51">
        <v>466</v>
      </c>
      <c r="B482" s="51" t="s">
        <v>5014</v>
      </c>
      <c r="C482" s="51" t="s">
        <v>5015</v>
      </c>
      <c r="D482" s="52" t="s">
        <v>873</v>
      </c>
      <c r="E482" s="52" t="s">
        <v>872</v>
      </c>
      <c r="F482" s="53" t="s">
        <v>5054</v>
      </c>
      <c r="G482" s="51" t="s">
        <v>4812</v>
      </c>
      <c r="H482" s="54"/>
      <c r="I482" s="55">
        <v>0</v>
      </c>
      <c r="K482" s="51" t="s">
        <v>5015</v>
      </c>
    </row>
    <row r="483" spans="1:11">
      <c r="A483" s="51">
        <v>467</v>
      </c>
      <c r="B483" s="51" t="s">
        <v>5014</v>
      </c>
      <c r="C483" s="51" t="s">
        <v>5015</v>
      </c>
      <c r="D483" s="52" t="s">
        <v>873</v>
      </c>
      <c r="E483" s="52" t="s">
        <v>872</v>
      </c>
      <c r="F483" s="53" t="s">
        <v>5054</v>
      </c>
      <c r="G483" s="51" t="s">
        <v>4812</v>
      </c>
      <c r="H483" s="54"/>
      <c r="I483" s="55">
        <v>0</v>
      </c>
      <c r="K483" s="51" t="s">
        <v>5015</v>
      </c>
    </row>
    <row r="484" spans="1:11">
      <c r="A484" s="51">
        <v>468</v>
      </c>
      <c r="B484" s="51" t="s">
        <v>5014</v>
      </c>
      <c r="C484" s="51" t="s">
        <v>5015</v>
      </c>
      <c r="D484" s="52" t="s">
        <v>873</v>
      </c>
      <c r="E484" s="52" t="s">
        <v>872</v>
      </c>
      <c r="F484" s="53" t="s">
        <v>5054</v>
      </c>
      <c r="G484" s="51" t="s">
        <v>4812</v>
      </c>
      <c r="H484" s="54"/>
      <c r="I484" s="55">
        <v>0</v>
      </c>
      <c r="K484" s="51" t="s">
        <v>5015</v>
      </c>
    </row>
    <row r="485" spans="1:11">
      <c r="A485" s="51">
        <v>469</v>
      </c>
      <c r="B485" s="51" t="s">
        <v>5014</v>
      </c>
      <c r="C485" s="51" t="s">
        <v>5015</v>
      </c>
      <c r="D485" s="52" t="s">
        <v>873</v>
      </c>
      <c r="E485" s="52" t="s">
        <v>872</v>
      </c>
      <c r="F485" s="53" t="s">
        <v>5054</v>
      </c>
      <c r="G485" s="51" t="s">
        <v>4812</v>
      </c>
      <c r="H485" s="54"/>
      <c r="I485" s="55">
        <v>0</v>
      </c>
      <c r="K485" s="51" t="s">
        <v>5015</v>
      </c>
    </row>
    <row r="486" spans="1:11">
      <c r="A486" s="51">
        <v>470</v>
      </c>
      <c r="B486" s="51" t="s">
        <v>5014</v>
      </c>
      <c r="C486" s="51" t="s">
        <v>5015</v>
      </c>
      <c r="D486" s="52" t="s">
        <v>873</v>
      </c>
      <c r="E486" s="52" t="s">
        <v>872</v>
      </c>
      <c r="F486" s="53" t="s">
        <v>5054</v>
      </c>
      <c r="G486" s="51" t="s">
        <v>4812</v>
      </c>
      <c r="H486" s="54"/>
      <c r="I486" s="55">
        <v>0</v>
      </c>
      <c r="K486" s="51" t="s">
        <v>5015</v>
      </c>
    </row>
    <row r="487" spans="1:11">
      <c r="A487" s="51">
        <v>471</v>
      </c>
      <c r="B487" s="51" t="s">
        <v>5014</v>
      </c>
      <c r="C487" s="51" t="s">
        <v>5015</v>
      </c>
      <c r="D487" s="52" t="s">
        <v>873</v>
      </c>
      <c r="E487" s="52" t="s">
        <v>872</v>
      </c>
      <c r="F487" s="53" t="s">
        <v>5054</v>
      </c>
      <c r="G487" s="51" t="s">
        <v>4812</v>
      </c>
      <c r="H487" s="54"/>
      <c r="I487" s="55">
        <v>0</v>
      </c>
      <c r="K487" s="51" t="s">
        <v>5015</v>
      </c>
    </row>
    <row r="488" spans="1:11">
      <c r="A488" s="51">
        <v>472</v>
      </c>
      <c r="B488" s="51" t="s">
        <v>5014</v>
      </c>
      <c r="C488" s="51" t="s">
        <v>5015</v>
      </c>
      <c r="D488" s="52" t="s">
        <v>877</v>
      </c>
      <c r="E488" s="52" t="s">
        <v>876</v>
      </c>
      <c r="F488" s="53" t="s">
        <v>5055</v>
      </c>
      <c r="G488" s="51" t="s">
        <v>4812</v>
      </c>
      <c r="H488" s="54"/>
      <c r="I488" s="55">
        <v>10</v>
      </c>
      <c r="K488" s="51" t="s">
        <v>5015</v>
      </c>
    </row>
    <row r="489" spans="1:11">
      <c r="A489" s="51">
        <v>473</v>
      </c>
      <c r="B489" s="51" t="s">
        <v>5014</v>
      </c>
      <c r="C489" s="51" t="s">
        <v>5015</v>
      </c>
      <c r="D489" s="52" t="s">
        <v>877</v>
      </c>
      <c r="E489" s="52" t="s">
        <v>876</v>
      </c>
      <c r="F489" s="53" t="s">
        <v>5055</v>
      </c>
      <c r="G489" s="51" t="s">
        <v>4812</v>
      </c>
      <c r="H489" s="54"/>
      <c r="I489" s="55">
        <v>56</v>
      </c>
      <c r="K489" s="51" t="s">
        <v>5015</v>
      </c>
    </row>
    <row r="490" spans="1:11">
      <c r="A490" s="51">
        <v>474</v>
      </c>
      <c r="B490" s="51" t="s">
        <v>5014</v>
      </c>
      <c r="C490" s="51" t="s">
        <v>5015</v>
      </c>
      <c r="D490" s="52" t="s">
        <v>877</v>
      </c>
      <c r="E490" s="52" t="s">
        <v>876</v>
      </c>
      <c r="F490" s="53" t="s">
        <v>5055</v>
      </c>
      <c r="G490" s="51" t="s">
        <v>4812</v>
      </c>
      <c r="H490" s="54"/>
      <c r="I490" s="55">
        <v>56</v>
      </c>
      <c r="K490" s="51" t="s">
        <v>5015</v>
      </c>
    </row>
    <row r="491" spans="1:11">
      <c r="A491" s="51">
        <v>475</v>
      </c>
      <c r="B491" s="51" t="s">
        <v>5014</v>
      </c>
      <c r="C491" s="51" t="s">
        <v>5015</v>
      </c>
      <c r="D491" s="52" t="s">
        <v>877</v>
      </c>
      <c r="E491" s="52" t="s">
        <v>876</v>
      </c>
      <c r="F491" s="53" t="s">
        <v>5055</v>
      </c>
      <c r="G491" s="51" t="s">
        <v>4812</v>
      </c>
      <c r="H491" s="54"/>
      <c r="I491" s="55">
        <v>56</v>
      </c>
      <c r="K491" s="51" t="s">
        <v>5015</v>
      </c>
    </row>
    <row r="492" spans="1:11">
      <c r="A492" s="51">
        <v>476</v>
      </c>
      <c r="B492" s="51" t="s">
        <v>5014</v>
      </c>
      <c r="C492" s="51" t="s">
        <v>5015</v>
      </c>
      <c r="D492" s="52" t="s">
        <v>877</v>
      </c>
      <c r="E492" s="52" t="s">
        <v>876</v>
      </c>
      <c r="F492" s="53" t="s">
        <v>5055</v>
      </c>
      <c r="G492" s="51" t="s">
        <v>4812</v>
      </c>
      <c r="H492" s="54"/>
      <c r="I492" s="55">
        <v>0</v>
      </c>
      <c r="K492" s="51" t="s">
        <v>5015</v>
      </c>
    </row>
    <row r="493" spans="1:11">
      <c r="A493" s="51">
        <v>477</v>
      </c>
      <c r="B493" s="51" t="s">
        <v>5014</v>
      </c>
      <c r="C493" s="51" t="s">
        <v>5015</v>
      </c>
      <c r="D493" s="52" t="s">
        <v>877</v>
      </c>
      <c r="E493" s="52" t="s">
        <v>876</v>
      </c>
      <c r="F493" s="53" t="s">
        <v>5055</v>
      </c>
      <c r="G493" s="51" t="s">
        <v>4812</v>
      </c>
      <c r="H493" s="54"/>
      <c r="I493" s="55">
        <v>0</v>
      </c>
      <c r="K493" s="51" t="s">
        <v>5015</v>
      </c>
    </row>
    <row r="494" spans="1:11">
      <c r="A494" s="51">
        <v>478</v>
      </c>
      <c r="B494" s="51" t="s">
        <v>5014</v>
      </c>
      <c r="C494" s="51" t="s">
        <v>5015</v>
      </c>
      <c r="D494" s="52" t="s">
        <v>877</v>
      </c>
      <c r="E494" s="52" t="s">
        <v>876</v>
      </c>
      <c r="F494" s="53" t="s">
        <v>5055</v>
      </c>
      <c r="G494" s="51" t="s">
        <v>4812</v>
      </c>
      <c r="H494" s="54"/>
      <c r="I494" s="55">
        <v>0</v>
      </c>
      <c r="K494" s="51" t="s">
        <v>5015</v>
      </c>
    </row>
    <row r="495" spans="1:11">
      <c r="A495" s="51">
        <v>479</v>
      </c>
      <c r="B495" s="51" t="s">
        <v>5014</v>
      </c>
      <c r="C495" s="51" t="s">
        <v>5015</v>
      </c>
      <c r="D495" s="52" t="s">
        <v>877</v>
      </c>
      <c r="E495" s="52" t="s">
        <v>876</v>
      </c>
      <c r="F495" s="53" t="s">
        <v>5055</v>
      </c>
      <c r="G495" s="51" t="s">
        <v>4812</v>
      </c>
      <c r="H495" s="54"/>
      <c r="I495" s="55">
        <v>0</v>
      </c>
      <c r="K495" s="51" t="s">
        <v>5015</v>
      </c>
    </row>
    <row r="496" spans="1:11">
      <c r="A496" s="51">
        <v>480</v>
      </c>
      <c r="B496" s="51" t="s">
        <v>5014</v>
      </c>
      <c r="C496" s="51" t="s">
        <v>5015</v>
      </c>
      <c r="D496" s="52" t="s">
        <v>877</v>
      </c>
      <c r="E496" s="52" t="s">
        <v>876</v>
      </c>
      <c r="F496" s="53" t="s">
        <v>5055</v>
      </c>
      <c r="G496" s="51" t="s">
        <v>4812</v>
      </c>
      <c r="H496" s="54"/>
      <c r="I496" s="55">
        <v>0</v>
      </c>
      <c r="K496" s="51" t="s">
        <v>5015</v>
      </c>
    </row>
    <row r="497" spans="1:11">
      <c r="A497" s="51">
        <v>481</v>
      </c>
      <c r="B497" s="51" t="s">
        <v>5014</v>
      </c>
      <c r="C497" s="51" t="s">
        <v>5015</v>
      </c>
      <c r="D497" s="52" t="s">
        <v>877</v>
      </c>
      <c r="E497" s="52" t="s">
        <v>876</v>
      </c>
      <c r="F497" s="53" t="s">
        <v>5055</v>
      </c>
      <c r="G497" s="51" t="s">
        <v>4812</v>
      </c>
      <c r="H497" s="54"/>
      <c r="I497" s="55">
        <v>0</v>
      </c>
      <c r="K497" s="51" t="s">
        <v>5015</v>
      </c>
    </row>
    <row r="498" spans="1:11">
      <c r="A498" s="51">
        <v>482</v>
      </c>
      <c r="B498" s="51" t="s">
        <v>5014</v>
      </c>
      <c r="C498" s="51" t="s">
        <v>5015</v>
      </c>
      <c r="D498" s="52" t="s">
        <v>973</v>
      </c>
      <c r="E498" s="52" t="s">
        <v>5056</v>
      </c>
      <c r="F498" s="53" t="s">
        <v>5057</v>
      </c>
      <c r="G498" s="51" t="s">
        <v>4812</v>
      </c>
      <c r="H498" s="54"/>
      <c r="I498" s="55">
        <v>20</v>
      </c>
      <c r="K498" s="51" t="s">
        <v>5015</v>
      </c>
    </row>
    <row r="499" spans="1:11">
      <c r="A499" s="51">
        <v>483</v>
      </c>
      <c r="B499" s="51" t="s">
        <v>5014</v>
      </c>
      <c r="C499" s="51" t="s">
        <v>5015</v>
      </c>
      <c r="D499" s="52" t="s">
        <v>973</v>
      </c>
      <c r="E499" s="52" t="s">
        <v>5056</v>
      </c>
      <c r="F499" s="53" t="s">
        <v>5057</v>
      </c>
      <c r="G499" s="51" t="s">
        <v>4812</v>
      </c>
      <c r="H499" s="54"/>
      <c r="I499" s="55">
        <v>20</v>
      </c>
      <c r="K499" s="51" t="s">
        <v>5015</v>
      </c>
    </row>
    <row r="500" spans="1:11">
      <c r="A500" s="51">
        <v>484</v>
      </c>
      <c r="B500" s="51" t="s">
        <v>5014</v>
      </c>
      <c r="C500" s="51" t="s">
        <v>5015</v>
      </c>
      <c r="D500" s="52" t="s">
        <v>973</v>
      </c>
      <c r="E500" s="52" t="s">
        <v>5056</v>
      </c>
      <c r="F500" s="53" t="s">
        <v>5057</v>
      </c>
      <c r="G500" s="51" t="s">
        <v>4812</v>
      </c>
      <c r="H500" s="54"/>
      <c r="I500" s="55">
        <v>20</v>
      </c>
      <c r="K500" s="51" t="s">
        <v>5015</v>
      </c>
    </row>
    <row r="501" spans="1:11">
      <c r="A501" s="51">
        <v>485</v>
      </c>
      <c r="B501" s="51" t="s">
        <v>5014</v>
      </c>
      <c r="C501" s="51" t="s">
        <v>5015</v>
      </c>
      <c r="D501" s="52" t="s">
        <v>973</v>
      </c>
      <c r="E501" s="52" t="s">
        <v>5056</v>
      </c>
      <c r="F501" s="53" t="s">
        <v>5057</v>
      </c>
      <c r="G501" s="51" t="s">
        <v>4812</v>
      </c>
      <c r="H501" s="54"/>
      <c r="I501" s="55">
        <v>0</v>
      </c>
      <c r="K501" s="51" t="s">
        <v>5015</v>
      </c>
    </row>
    <row r="502" spans="1:11">
      <c r="A502" s="51">
        <v>486</v>
      </c>
      <c r="B502" s="51" t="s">
        <v>5014</v>
      </c>
      <c r="C502" s="51" t="s">
        <v>5015</v>
      </c>
      <c r="D502" s="52" t="s">
        <v>973</v>
      </c>
      <c r="E502" s="52" t="s">
        <v>5056</v>
      </c>
      <c r="F502" s="53" t="s">
        <v>5057</v>
      </c>
      <c r="G502" s="51" t="s">
        <v>4812</v>
      </c>
      <c r="H502" s="54"/>
      <c r="I502" s="55">
        <v>0</v>
      </c>
      <c r="K502" s="51" t="s">
        <v>5015</v>
      </c>
    </row>
    <row r="503" spans="1:11">
      <c r="A503" s="51">
        <v>487</v>
      </c>
      <c r="B503" s="51" t="s">
        <v>5014</v>
      </c>
      <c r="C503" s="51" t="s">
        <v>5015</v>
      </c>
      <c r="D503" s="52" t="s">
        <v>973</v>
      </c>
      <c r="E503" s="52" t="s">
        <v>5056</v>
      </c>
      <c r="F503" s="53" t="s">
        <v>5057</v>
      </c>
      <c r="G503" s="51" t="s">
        <v>4812</v>
      </c>
      <c r="H503" s="54"/>
      <c r="I503" s="55">
        <v>0</v>
      </c>
      <c r="K503" s="51" t="s">
        <v>5015</v>
      </c>
    </row>
    <row r="504" spans="1:11">
      <c r="A504" s="51">
        <v>488</v>
      </c>
      <c r="B504" s="51" t="s">
        <v>5014</v>
      </c>
      <c r="C504" s="51" t="s">
        <v>5015</v>
      </c>
      <c r="D504" s="52" t="s">
        <v>973</v>
      </c>
      <c r="E504" s="52" t="s">
        <v>5056</v>
      </c>
      <c r="F504" s="53" t="s">
        <v>5057</v>
      </c>
      <c r="G504" s="51" t="s">
        <v>4812</v>
      </c>
      <c r="H504" s="54"/>
      <c r="I504" s="55">
        <v>0</v>
      </c>
      <c r="K504" s="51" t="s">
        <v>5015</v>
      </c>
    </row>
    <row r="505" spans="1:11">
      <c r="A505" s="51">
        <v>489</v>
      </c>
      <c r="B505" s="51" t="s">
        <v>5014</v>
      </c>
      <c r="C505" s="51" t="s">
        <v>5015</v>
      </c>
      <c r="D505" s="52" t="s">
        <v>973</v>
      </c>
      <c r="E505" s="52" t="s">
        <v>5056</v>
      </c>
      <c r="F505" s="53" t="s">
        <v>5057</v>
      </c>
      <c r="G505" s="51" t="s">
        <v>4812</v>
      </c>
      <c r="H505" s="54"/>
      <c r="I505" s="55">
        <v>0</v>
      </c>
      <c r="K505" s="51" t="s">
        <v>5015</v>
      </c>
    </row>
    <row r="506" spans="1:11">
      <c r="A506" s="51">
        <v>490</v>
      </c>
      <c r="B506" s="51" t="s">
        <v>5014</v>
      </c>
      <c r="C506" s="51" t="s">
        <v>5015</v>
      </c>
      <c r="D506" s="52" t="s">
        <v>973</v>
      </c>
      <c r="E506" s="52" t="s">
        <v>5056</v>
      </c>
      <c r="F506" s="53" t="s">
        <v>5057</v>
      </c>
      <c r="G506" s="51" t="s">
        <v>4812</v>
      </c>
      <c r="H506" s="54"/>
      <c r="I506" s="55">
        <v>0</v>
      </c>
      <c r="K506" s="51" t="s">
        <v>5015</v>
      </c>
    </row>
    <row r="507" spans="1:11">
      <c r="A507" s="51">
        <v>491</v>
      </c>
      <c r="B507" s="51" t="s">
        <v>5014</v>
      </c>
      <c r="C507" s="51" t="s">
        <v>5015</v>
      </c>
      <c r="D507" s="52" t="s">
        <v>973</v>
      </c>
      <c r="E507" s="52" t="s">
        <v>5056</v>
      </c>
      <c r="F507" s="53" t="s">
        <v>5057</v>
      </c>
      <c r="G507" s="51" t="s">
        <v>4812</v>
      </c>
      <c r="H507" s="54"/>
      <c r="I507" s="55">
        <v>0</v>
      </c>
      <c r="K507" s="51" t="s">
        <v>5015</v>
      </c>
    </row>
    <row r="508" spans="1:11">
      <c r="A508" s="51">
        <v>492</v>
      </c>
      <c r="B508" s="51" t="s">
        <v>5014</v>
      </c>
      <c r="C508" s="51" t="s">
        <v>5015</v>
      </c>
      <c r="D508" s="52" t="s">
        <v>977</v>
      </c>
      <c r="E508" s="52" t="s">
        <v>5058</v>
      </c>
      <c r="F508" s="53" t="s">
        <v>5059</v>
      </c>
      <c r="G508" s="51" t="s">
        <v>4812</v>
      </c>
      <c r="H508" s="54"/>
      <c r="I508" s="55">
        <v>20</v>
      </c>
      <c r="K508" s="51" t="s">
        <v>5015</v>
      </c>
    </row>
    <row r="509" spans="1:11">
      <c r="A509" s="51">
        <v>493</v>
      </c>
      <c r="B509" s="51" t="s">
        <v>5014</v>
      </c>
      <c r="C509" s="51" t="s">
        <v>5015</v>
      </c>
      <c r="D509" s="52" t="s">
        <v>977</v>
      </c>
      <c r="E509" s="52" t="s">
        <v>5058</v>
      </c>
      <c r="F509" s="53" t="s">
        <v>5059</v>
      </c>
      <c r="G509" s="51" t="s">
        <v>4812</v>
      </c>
      <c r="H509" s="54"/>
      <c r="I509" s="55">
        <v>20</v>
      </c>
      <c r="K509" s="51" t="s">
        <v>5015</v>
      </c>
    </row>
    <row r="510" spans="1:11">
      <c r="A510" s="51">
        <v>494</v>
      </c>
      <c r="B510" s="51" t="s">
        <v>5014</v>
      </c>
      <c r="C510" s="51" t="s">
        <v>5015</v>
      </c>
      <c r="D510" s="52" t="s">
        <v>977</v>
      </c>
      <c r="E510" s="52" t="s">
        <v>5058</v>
      </c>
      <c r="F510" s="53" t="s">
        <v>5059</v>
      </c>
      <c r="G510" s="51" t="s">
        <v>4812</v>
      </c>
      <c r="H510" s="54"/>
      <c r="I510" s="55">
        <v>0</v>
      </c>
      <c r="K510" s="51" t="s">
        <v>5015</v>
      </c>
    </row>
    <row r="511" spans="1:11">
      <c r="A511" s="51">
        <v>495</v>
      </c>
      <c r="B511" s="51" t="s">
        <v>5014</v>
      </c>
      <c r="C511" s="51" t="s">
        <v>5015</v>
      </c>
      <c r="D511" s="52" t="s">
        <v>977</v>
      </c>
      <c r="E511" s="52" t="s">
        <v>5058</v>
      </c>
      <c r="F511" s="53" t="s">
        <v>5059</v>
      </c>
      <c r="G511" s="51" t="s">
        <v>4812</v>
      </c>
      <c r="H511" s="54"/>
      <c r="I511" s="55">
        <v>0</v>
      </c>
      <c r="K511" s="51" t="s">
        <v>5015</v>
      </c>
    </row>
    <row r="512" spans="1:11">
      <c r="A512" s="51">
        <v>496</v>
      </c>
      <c r="B512" s="51" t="s">
        <v>5014</v>
      </c>
      <c r="C512" s="51" t="s">
        <v>5015</v>
      </c>
      <c r="D512" s="52" t="s">
        <v>977</v>
      </c>
      <c r="E512" s="52" t="s">
        <v>5058</v>
      </c>
      <c r="F512" s="53" t="s">
        <v>5059</v>
      </c>
      <c r="G512" s="51" t="s">
        <v>4812</v>
      </c>
      <c r="H512" s="54"/>
      <c r="I512" s="55">
        <v>0</v>
      </c>
      <c r="K512" s="51" t="s">
        <v>5015</v>
      </c>
    </row>
    <row r="513" spans="1:11">
      <c r="A513" s="51">
        <v>497</v>
      </c>
      <c r="B513" s="51" t="s">
        <v>5014</v>
      </c>
      <c r="C513" s="51" t="s">
        <v>5015</v>
      </c>
      <c r="D513" s="52" t="s">
        <v>977</v>
      </c>
      <c r="E513" s="52" t="s">
        <v>5058</v>
      </c>
      <c r="F513" s="53" t="s">
        <v>5059</v>
      </c>
      <c r="G513" s="51" t="s">
        <v>4812</v>
      </c>
      <c r="H513" s="54"/>
      <c r="I513" s="55">
        <v>0</v>
      </c>
      <c r="K513" s="51" t="s">
        <v>5015</v>
      </c>
    </row>
    <row r="514" spans="1:11">
      <c r="A514" s="51">
        <v>498</v>
      </c>
      <c r="B514" s="51" t="s">
        <v>5014</v>
      </c>
      <c r="C514" s="51" t="s">
        <v>5015</v>
      </c>
      <c r="D514" s="52" t="s">
        <v>977</v>
      </c>
      <c r="E514" s="52" t="s">
        <v>5058</v>
      </c>
      <c r="F514" s="53" t="s">
        <v>5059</v>
      </c>
      <c r="G514" s="51" t="s">
        <v>4812</v>
      </c>
      <c r="H514" s="54"/>
      <c r="I514" s="55">
        <v>0</v>
      </c>
      <c r="K514" s="51" t="s">
        <v>5015</v>
      </c>
    </row>
    <row r="515" spans="1:11">
      <c r="A515" s="51">
        <v>499</v>
      </c>
      <c r="B515" s="51" t="s">
        <v>5014</v>
      </c>
      <c r="C515" s="51" t="s">
        <v>5015</v>
      </c>
      <c r="D515" s="52" t="s">
        <v>977</v>
      </c>
      <c r="E515" s="52" t="s">
        <v>5058</v>
      </c>
      <c r="F515" s="53" t="s">
        <v>5059</v>
      </c>
      <c r="G515" s="51" t="s">
        <v>4812</v>
      </c>
      <c r="H515" s="54"/>
      <c r="I515" s="55">
        <v>0</v>
      </c>
      <c r="K515" s="51" t="s">
        <v>5015</v>
      </c>
    </row>
    <row r="516" spans="1:11">
      <c r="A516" s="51">
        <v>500</v>
      </c>
      <c r="B516" s="51" t="s">
        <v>5014</v>
      </c>
      <c r="C516" s="51" t="s">
        <v>5015</v>
      </c>
      <c r="D516" s="52" t="s">
        <v>977</v>
      </c>
      <c r="E516" s="52" t="s">
        <v>5058</v>
      </c>
      <c r="F516" s="53" t="s">
        <v>5059</v>
      </c>
      <c r="G516" s="51" t="s">
        <v>4812</v>
      </c>
      <c r="H516" s="54"/>
      <c r="I516" s="55">
        <v>0</v>
      </c>
      <c r="K516" s="51" t="s">
        <v>5015</v>
      </c>
    </row>
    <row r="517" spans="1:11">
      <c r="A517" s="51">
        <v>501</v>
      </c>
      <c r="B517" s="51" t="s">
        <v>5014</v>
      </c>
      <c r="C517" s="51" t="s">
        <v>5015</v>
      </c>
      <c r="D517" s="52" t="s">
        <v>977</v>
      </c>
      <c r="E517" s="52" t="s">
        <v>5058</v>
      </c>
      <c r="F517" s="53" t="s">
        <v>5059</v>
      </c>
      <c r="G517" s="51" t="s">
        <v>4812</v>
      </c>
      <c r="H517" s="54"/>
      <c r="I517" s="55">
        <v>0</v>
      </c>
      <c r="K517" s="51" t="s">
        <v>5015</v>
      </c>
    </row>
    <row r="518" spans="1:11">
      <c r="A518" s="51">
        <v>502</v>
      </c>
      <c r="B518" s="51" t="s">
        <v>5014</v>
      </c>
      <c r="C518" s="51" t="s">
        <v>5015</v>
      </c>
      <c r="D518" s="52" t="s">
        <v>1073</v>
      </c>
      <c r="E518" s="52" t="s">
        <v>5060</v>
      </c>
      <c r="F518" s="53" t="s">
        <v>5061</v>
      </c>
      <c r="G518" s="51" t="s">
        <v>4812</v>
      </c>
      <c r="H518" s="54"/>
      <c r="I518" s="55">
        <v>20</v>
      </c>
      <c r="K518" s="51" t="s">
        <v>5015</v>
      </c>
    </row>
    <row r="519" spans="1:11">
      <c r="A519" s="51">
        <v>503</v>
      </c>
      <c r="B519" s="51" t="s">
        <v>5014</v>
      </c>
      <c r="C519" s="51" t="s">
        <v>5015</v>
      </c>
      <c r="D519" s="52" t="s">
        <v>1073</v>
      </c>
      <c r="E519" s="52" t="s">
        <v>5060</v>
      </c>
      <c r="F519" s="53" t="s">
        <v>5061</v>
      </c>
      <c r="G519" s="51" t="s">
        <v>4812</v>
      </c>
      <c r="H519" s="54"/>
      <c r="I519" s="55">
        <v>20</v>
      </c>
      <c r="K519" s="51" t="s">
        <v>5015</v>
      </c>
    </row>
    <row r="520" spans="1:11">
      <c r="A520" s="51">
        <v>504</v>
      </c>
      <c r="B520" s="51" t="s">
        <v>5014</v>
      </c>
      <c r="C520" s="51" t="s">
        <v>5015</v>
      </c>
      <c r="D520" s="52" t="s">
        <v>1073</v>
      </c>
      <c r="E520" s="52" t="s">
        <v>5060</v>
      </c>
      <c r="F520" s="53" t="s">
        <v>5061</v>
      </c>
      <c r="G520" s="51" t="s">
        <v>4812</v>
      </c>
      <c r="H520" s="54"/>
      <c r="I520" s="55">
        <v>12</v>
      </c>
      <c r="K520" s="51" t="s">
        <v>5015</v>
      </c>
    </row>
    <row r="521" spans="1:11">
      <c r="A521" s="51">
        <v>505</v>
      </c>
      <c r="B521" s="51" t="s">
        <v>5014</v>
      </c>
      <c r="C521" s="51" t="s">
        <v>5015</v>
      </c>
      <c r="D521" s="52" t="s">
        <v>1073</v>
      </c>
      <c r="E521" s="52" t="s">
        <v>5060</v>
      </c>
      <c r="F521" s="53" t="s">
        <v>5061</v>
      </c>
      <c r="G521" s="51" t="s">
        <v>4812</v>
      </c>
      <c r="H521" s="54"/>
      <c r="I521" s="55">
        <v>0</v>
      </c>
      <c r="K521" s="51" t="s">
        <v>5015</v>
      </c>
    </row>
    <row r="522" spans="1:11">
      <c r="A522" s="51">
        <v>506</v>
      </c>
      <c r="B522" s="51" t="s">
        <v>5014</v>
      </c>
      <c r="C522" s="51" t="s">
        <v>5015</v>
      </c>
      <c r="D522" s="52" t="s">
        <v>1073</v>
      </c>
      <c r="E522" s="52" t="s">
        <v>5060</v>
      </c>
      <c r="F522" s="53" t="s">
        <v>5061</v>
      </c>
      <c r="G522" s="51" t="s">
        <v>4812</v>
      </c>
      <c r="H522" s="54"/>
      <c r="I522" s="55">
        <v>0</v>
      </c>
      <c r="K522" s="51" t="s">
        <v>5015</v>
      </c>
    </row>
    <row r="523" spans="1:11">
      <c r="A523" s="51">
        <v>507</v>
      </c>
      <c r="B523" s="51" t="s">
        <v>5014</v>
      </c>
      <c r="C523" s="51" t="s">
        <v>5015</v>
      </c>
      <c r="D523" s="52" t="s">
        <v>1073</v>
      </c>
      <c r="E523" s="52" t="s">
        <v>5060</v>
      </c>
      <c r="F523" s="53" t="s">
        <v>5061</v>
      </c>
      <c r="G523" s="51" t="s">
        <v>4812</v>
      </c>
      <c r="H523" s="54"/>
      <c r="I523" s="55">
        <v>0</v>
      </c>
      <c r="K523" s="51" t="s">
        <v>5015</v>
      </c>
    </row>
    <row r="524" spans="1:11">
      <c r="A524" s="51">
        <v>508</v>
      </c>
      <c r="B524" s="51" t="s">
        <v>5014</v>
      </c>
      <c r="C524" s="51" t="s">
        <v>5015</v>
      </c>
      <c r="D524" s="52" t="s">
        <v>1073</v>
      </c>
      <c r="E524" s="52" t="s">
        <v>5060</v>
      </c>
      <c r="F524" s="53" t="s">
        <v>5061</v>
      </c>
      <c r="G524" s="51" t="s">
        <v>4812</v>
      </c>
      <c r="H524" s="54"/>
      <c r="I524" s="55">
        <v>0</v>
      </c>
      <c r="K524" s="51" t="s">
        <v>5015</v>
      </c>
    </row>
    <row r="525" spans="1:11">
      <c r="A525" s="51">
        <v>509</v>
      </c>
      <c r="B525" s="51" t="s">
        <v>5014</v>
      </c>
      <c r="C525" s="51" t="s">
        <v>5015</v>
      </c>
      <c r="D525" s="52" t="s">
        <v>1073</v>
      </c>
      <c r="E525" s="52" t="s">
        <v>5060</v>
      </c>
      <c r="F525" s="53" t="s">
        <v>5061</v>
      </c>
      <c r="G525" s="51" t="s">
        <v>4812</v>
      </c>
      <c r="H525" s="54"/>
      <c r="I525" s="55">
        <v>0</v>
      </c>
      <c r="K525" s="51" t="s">
        <v>5015</v>
      </c>
    </row>
    <row r="526" spans="1:11">
      <c r="A526" s="51">
        <v>510</v>
      </c>
      <c r="B526" s="51" t="s">
        <v>5014</v>
      </c>
      <c r="C526" s="51" t="s">
        <v>5015</v>
      </c>
      <c r="D526" s="52" t="s">
        <v>1073</v>
      </c>
      <c r="E526" s="52" t="s">
        <v>5060</v>
      </c>
      <c r="F526" s="53" t="s">
        <v>5061</v>
      </c>
      <c r="G526" s="51" t="s">
        <v>4812</v>
      </c>
      <c r="H526" s="54"/>
      <c r="I526" s="55">
        <v>0</v>
      </c>
      <c r="K526" s="51" t="s">
        <v>5015</v>
      </c>
    </row>
    <row r="527" spans="1:11">
      <c r="A527" s="51">
        <v>511</v>
      </c>
      <c r="B527" s="51" t="s">
        <v>5014</v>
      </c>
      <c r="C527" s="51" t="s">
        <v>5015</v>
      </c>
      <c r="D527" s="52" t="s">
        <v>1073</v>
      </c>
      <c r="E527" s="52" t="s">
        <v>5060</v>
      </c>
      <c r="F527" s="53" t="s">
        <v>5061</v>
      </c>
      <c r="G527" s="51" t="s">
        <v>4812</v>
      </c>
      <c r="H527" s="54"/>
      <c r="I527" s="55">
        <v>0</v>
      </c>
      <c r="K527" s="51" t="s">
        <v>5015</v>
      </c>
    </row>
    <row r="528" spans="1:11">
      <c r="A528" s="51">
        <v>512</v>
      </c>
      <c r="B528" s="51" t="s">
        <v>5014</v>
      </c>
      <c r="C528" s="51" t="s">
        <v>5015</v>
      </c>
      <c r="D528" s="52" t="s">
        <v>981</v>
      </c>
      <c r="E528" s="52" t="s">
        <v>5062</v>
      </c>
      <c r="F528" s="53" t="s">
        <v>98</v>
      </c>
      <c r="G528" s="51" t="s">
        <v>4812</v>
      </c>
      <c r="H528" s="54"/>
      <c r="I528" s="55">
        <v>20</v>
      </c>
      <c r="K528" s="51" t="s">
        <v>5015</v>
      </c>
    </row>
    <row r="529" spans="1:11">
      <c r="A529" s="51">
        <v>513</v>
      </c>
      <c r="B529" s="51" t="s">
        <v>5014</v>
      </c>
      <c r="C529" s="51" t="s">
        <v>5015</v>
      </c>
      <c r="D529" s="52" t="s">
        <v>981</v>
      </c>
      <c r="E529" s="52" t="s">
        <v>5062</v>
      </c>
      <c r="F529" s="53" t="s">
        <v>98</v>
      </c>
      <c r="G529" s="51" t="s">
        <v>4812</v>
      </c>
      <c r="H529" s="54"/>
      <c r="I529" s="55">
        <v>0</v>
      </c>
      <c r="K529" s="51" t="s">
        <v>5015</v>
      </c>
    </row>
    <row r="530" spans="1:11">
      <c r="A530" s="51">
        <v>514</v>
      </c>
      <c r="B530" s="51" t="s">
        <v>5014</v>
      </c>
      <c r="C530" s="51" t="s">
        <v>5015</v>
      </c>
      <c r="D530" s="52" t="s">
        <v>981</v>
      </c>
      <c r="E530" s="52" t="s">
        <v>5062</v>
      </c>
      <c r="F530" s="53" t="s">
        <v>98</v>
      </c>
      <c r="G530" s="51" t="s">
        <v>4812</v>
      </c>
      <c r="H530" s="54"/>
      <c r="I530" s="55">
        <v>0</v>
      </c>
      <c r="K530" s="51" t="s">
        <v>5015</v>
      </c>
    </row>
    <row r="531" spans="1:11">
      <c r="A531" s="51">
        <v>515</v>
      </c>
      <c r="B531" s="51" t="s">
        <v>5014</v>
      </c>
      <c r="C531" s="51" t="s">
        <v>5015</v>
      </c>
      <c r="D531" s="52" t="s">
        <v>981</v>
      </c>
      <c r="E531" s="52" t="s">
        <v>5062</v>
      </c>
      <c r="F531" s="53" t="s">
        <v>98</v>
      </c>
      <c r="G531" s="51" t="s">
        <v>4812</v>
      </c>
      <c r="H531" s="54"/>
      <c r="I531" s="55">
        <v>0</v>
      </c>
      <c r="K531" s="51" t="s">
        <v>5015</v>
      </c>
    </row>
    <row r="532" spans="1:11">
      <c r="A532" s="51">
        <v>516</v>
      </c>
      <c r="B532" s="51" t="s">
        <v>5014</v>
      </c>
      <c r="C532" s="51" t="s">
        <v>5015</v>
      </c>
      <c r="D532" s="52" t="s">
        <v>981</v>
      </c>
      <c r="E532" s="52" t="s">
        <v>5062</v>
      </c>
      <c r="F532" s="53" t="s">
        <v>98</v>
      </c>
      <c r="G532" s="51" t="s">
        <v>4812</v>
      </c>
      <c r="H532" s="54"/>
      <c r="I532" s="55">
        <v>0</v>
      </c>
      <c r="K532" s="51" t="s">
        <v>5015</v>
      </c>
    </row>
    <row r="533" spans="1:11">
      <c r="A533" s="51">
        <v>517</v>
      </c>
      <c r="B533" s="51" t="s">
        <v>5014</v>
      </c>
      <c r="C533" s="51" t="s">
        <v>5015</v>
      </c>
      <c r="D533" s="52" t="s">
        <v>981</v>
      </c>
      <c r="E533" s="52" t="s">
        <v>5062</v>
      </c>
      <c r="F533" s="53" t="s">
        <v>98</v>
      </c>
      <c r="G533" s="51" t="s">
        <v>4812</v>
      </c>
      <c r="H533" s="54"/>
      <c r="I533" s="55">
        <v>0</v>
      </c>
      <c r="K533" s="51" t="s">
        <v>5015</v>
      </c>
    </row>
    <row r="534" spans="1:11">
      <c r="A534" s="51">
        <v>518</v>
      </c>
      <c r="B534" s="51" t="s">
        <v>5014</v>
      </c>
      <c r="C534" s="51" t="s">
        <v>5015</v>
      </c>
      <c r="D534" s="52" t="s">
        <v>981</v>
      </c>
      <c r="E534" s="52" t="s">
        <v>5062</v>
      </c>
      <c r="F534" s="53" t="s">
        <v>98</v>
      </c>
      <c r="G534" s="51" t="s">
        <v>4812</v>
      </c>
      <c r="H534" s="54"/>
      <c r="I534" s="55">
        <v>0</v>
      </c>
      <c r="K534" s="51" t="s">
        <v>5015</v>
      </c>
    </row>
    <row r="535" spans="1:11">
      <c r="A535" s="51">
        <v>519</v>
      </c>
      <c r="B535" s="51" t="s">
        <v>5014</v>
      </c>
      <c r="C535" s="51" t="s">
        <v>5015</v>
      </c>
      <c r="D535" s="52" t="s">
        <v>981</v>
      </c>
      <c r="E535" s="52" t="s">
        <v>5062</v>
      </c>
      <c r="F535" s="53" t="s">
        <v>98</v>
      </c>
      <c r="G535" s="51" t="s">
        <v>4812</v>
      </c>
      <c r="H535" s="54"/>
      <c r="I535" s="55">
        <v>0</v>
      </c>
      <c r="K535" s="51" t="s">
        <v>5015</v>
      </c>
    </row>
    <row r="536" spans="1:11">
      <c r="A536" s="51">
        <v>520</v>
      </c>
      <c r="B536" s="51" t="s">
        <v>5014</v>
      </c>
      <c r="C536" s="51" t="s">
        <v>5015</v>
      </c>
      <c r="D536" s="52" t="s">
        <v>981</v>
      </c>
      <c r="E536" s="52" t="s">
        <v>5062</v>
      </c>
      <c r="F536" s="53" t="s">
        <v>98</v>
      </c>
      <c r="G536" s="51" t="s">
        <v>4812</v>
      </c>
      <c r="H536" s="54"/>
      <c r="I536" s="55">
        <v>0</v>
      </c>
      <c r="K536" s="51" t="s">
        <v>5015</v>
      </c>
    </row>
    <row r="537" spans="1:11">
      <c r="A537" s="51">
        <v>521</v>
      </c>
      <c r="B537" s="51" t="s">
        <v>5014</v>
      </c>
      <c r="C537" s="51" t="s">
        <v>5015</v>
      </c>
      <c r="D537" s="52" t="s">
        <v>981</v>
      </c>
      <c r="E537" s="52" t="s">
        <v>5062</v>
      </c>
      <c r="F537" s="53" t="s">
        <v>98</v>
      </c>
      <c r="G537" s="51" t="s">
        <v>4812</v>
      </c>
      <c r="H537" s="54"/>
      <c r="I537" s="55">
        <v>0</v>
      </c>
      <c r="K537" s="51" t="s">
        <v>5015</v>
      </c>
    </row>
    <row r="538" spans="1:11">
      <c r="A538" s="51">
        <v>522</v>
      </c>
      <c r="B538" s="51" t="s">
        <v>5014</v>
      </c>
      <c r="C538" s="51" t="s">
        <v>5015</v>
      </c>
      <c r="D538" s="52" t="s">
        <v>985</v>
      </c>
      <c r="E538" s="52" t="s">
        <v>5063</v>
      </c>
      <c r="F538" s="53" t="s">
        <v>5059</v>
      </c>
      <c r="G538" s="51" t="s">
        <v>4812</v>
      </c>
      <c r="H538" s="54"/>
      <c r="I538" s="55">
        <v>20</v>
      </c>
      <c r="K538" s="51" t="s">
        <v>5015</v>
      </c>
    </row>
    <row r="539" spans="1:11">
      <c r="A539" s="51">
        <v>523</v>
      </c>
      <c r="B539" s="51" t="s">
        <v>5014</v>
      </c>
      <c r="C539" s="51" t="s">
        <v>5015</v>
      </c>
      <c r="D539" s="52" t="s">
        <v>985</v>
      </c>
      <c r="E539" s="52" t="s">
        <v>5063</v>
      </c>
      <c r="F539" s="53" t="s">
        <v>5059</v>
      </c>
      <c r="G539" s="51" t="s">
        <v>4812</v>
      </c>
      <c r="H539" s="54"/>
      <c r="I539" s="55">
        <v>20</v>
      </c>
      <c r="K539" s="51" t="s">
        <v>5015</v>
      </c>
    </row>
    <row r="540" spans="1:11">
      <c r="A540" s="51">
        <v>524</v>
      </c>
      <c r="B540" s="51" t="s">
        <v>5014</v>
      </c>
      <c r="C540" s="51" t="s">
        <v>5015</v>
      </c>
      <c r="D540" s="52" t="s">
        <v>985</v>
      </c>
      <c r="E540" s="52" t="s">
        <v>5063</v>
      </c>
      <c r="F540" s="53" t="s">
        <v>5059</v>
      </c>
      <c r="G540" s="51" t="s">
        <v>4812</v>
      </c>
      <c r="H540" s="54"/>
      <c r="I540" s="55">
        <v>20</v>
      </c>
      <c r="K540" s="51" t="s">
        <v>5015</v>
      </c>
    </row>
    <row r="541" spans="1:11">
      <c r="A541" s="51">
        <v>525</v>
      </c>
      <c r="B541" s="51" t="s">
        <v>5014</v>
      </c>
      <c r="C541" s="51" t="s">
        <v>5015</v>
      </c>
      <c r="D541" s="52" t="s">
        <v>985</v>
      </c>
      <c r="E541" s="52" t="s">
        <v>5063</v>
      </c>
      <c r="F541" s="53" t="s">
        <v>5059</v>
      </c>
      <c r="G541" s="51" t="s">
        <v>4812</v>
      </c>
      <c r="H541" s="54"/>
      <c r="I541" s="55">
        <v>20</v>
      </c>
      <c r="K541" s="51" t="s">
        <v>5015</v>
      </c>
    </row>
    <row r="542" spans="1:11">
      <c r="A542" s="51">
        <v>526</v>
      </c>
      <c r="B542" s="51" t="s">
        <v>5014</v>
      </c>
      <c r="C542" s="51" t="s">
        <v>5015</v>
      </c>
      <c r="D542" s="52" t="s">
        <v>985</v>
      </c>
      <c r="E542" s="52" t="s">
        <v>5063</v>
      </c>
      <c r="F542" s="53" t="s">
        <v>5059</v>
      </c>
      <c r="G542" s="51" t="s">
        <v>4812</v>
      </c>
      <c r="H542" s="54"/>
      <c r="I542" s="55">
        <v>20</v>
      </c>
      <c r="K542" s="51" t="s">
        <v>5015</v>
      </c>
    </row>
    <row r="543" spans="1:11">
      <c r="A543" s="51">
        <v>527</v>
      </c>
      <c r="B543" s="51" t="s">
        <v>5014</v>
      </c>
      <c r="C543" s="51" t="s">
        <v>5015</v>
      </c>
      <c r="D543" s="52" t="s">
        <v>985</v>
      </c>
      <c r="E543" s="52" t="s">
        <v>5063</v>
      </c>
      <c r="F543" s="53" t="s">
        <v>5059</v>
      </c>
      <c r="G543" s="51" t="s">
        <v>4812</v>
      </c>
      <c r="H543" s="54"/>
      <c r="I543" s="55">
        <v>0</v>
      </c>
      <c r="K543" s="51" t="s">
        <v>5015</v>
      </c>
    </row>
    <row r="544" spans="1:11">
      <c r="A544" s="51">
        <v>528</v>
      </c>
      <c r="B544" s="51" t="s">
        <v>5014</v>
      </c>
      <c r="C544" s="51" t="s">
        <v>5015</v>
      </c>
      <c r="D544" s="52" t="s">
        <v>985</v>
      </c>
      <c r="E544" s="52" t="s">
        <v>5063</v>
      </c>
      <c r="F544" s="53" t="s">
        <v>5059</v>
      </c>
      <c r="G544" s="51" t="s">
        <v>4812</v>
      </c>
      <c r="H544" s="54"/>
      <c r="I544" s="55">
        <v>0</v>
      </c>
      <c r="K544" s="51" t="s">
        <v>5015</v>
      </c>
    </row>
    <row r="545" spans="1:11">
      <c r="A545" s="51">
        <v>529</v>
      </c>
      <c r="B545" s="51" t="s">
        <v>5014</v>
      </c>
      <c r="C545" s="51" t="s">
        <v>5015</v>
      </c>
      <c r="D545" s="52" t="s">
        <v>985</v>
      </c>
      <c r="E545" s="52" t="s">
        <v>5063</v>
      </c>
      <c r="F545" s="53" t="s">
        <v>5059</v>
      </c>
      <c r="G545" s="51" t="s">
        <v>4812</v>
      </c>
      <c r="H545" s="54"/>
      <c r="I545" s="55">
        <v>0</v>
      </c>
      <c r="K545" s="51" t="s">
        <v>5015</v>
      </c>
    </row>
    <row r="546" spans="1:11">
      <c r="A546" s="51">
        <v>530</v>
      </c>
      <c r="B546" s="51" t="s">
        <v>5014</v>
      </c>
      <c r="C546" s="51" t="s">
        <v>5015</v>
      </c>
      <c r="D546" s="52" t="s">
        <v>985</v>
      </c>
      <c r="E546" s="52" t="s">
        <v>5063</v>
      </c>
      <c r="F546" s="53" t="s">
        <v>5059</v>
      </c>
      <c r="G546" s="51" t="s">
        <v>4812</v>
      </c>
      <c r="H546" s="54"/>
      <c r="I546" s="55">
        <v>0</v>
      </c>
      <c r="K546" s="51" t="s">
        <v>5015</v>
      </c>
    </row>
    <row r="547" spans="1:11">
      <c r="A547" s="51">
        <v>531</v>
      </c>
      <c r="B547" s="51" t="s">
        <v>5014</v>
      </c>
      <c r="C547" s="51" t="s">
        <v>5015</v>
      </c>
      <c r="D547" s="52" t="s">
        <v>985</v>
      </c>
      <c r="E547" s="52" t="s">
        <v>5063</v>
      </c>
      <c r="F547" s="53" t="s">
        <v>5059</v>
      </c>
      <c r="G547" s="51" t="s">
        <v>4812</v>
      </c>
      <c r="H547" s="54"/>
      <c r="I547" s="55">
        <v>0</v>
      </c>
      <c r="K547" s="51" t="s">
        <v>5015</v>
      </c>
    </row>
    <row r="548" spans="1:11">
      <c r="A548" s="51">
        <v>532</v>
      </c>
      <c r="B548" s="51" t="s">
        <v>5014</v>
      </c>
      <c r="C548" s="51" t="s">
        <v>5015</v>
      </c>
      <c r="D548" s="52" t="s">
        <v>1077</v>
      </c>
      <c r="E548" s="52" t="s">
        <v>5064</v>
      </c>
      <c r="F548" s="53" t="s">
        <v>5061</v>
      </c>
      <c r="G548" s="51" t="s">
        <v>4812</v>
      </c>
      <c r="H548" s="54"/>
      <c r="I548" s="55">
        <v>20</v>
      </c>
      <c r="K548" s="51" t="s">
        <v>5015</v>
      </c>
    </row>
    <row r="549" spans="1:11">
      <c r="A549" s="51">
        <v>533</v>
      </c>
      <c r="B549" s="51" t="s">
        <v>5014</v>
      </c>
      <c r="C549" s="51" t="s">
        <v>5015</v>
      </c>
      <c r="D549" s="52" t="s">
        <v>1077</v>
      </c>
      <c r="E549" s="52" t="s">
        <v>5064</v>
      </c>
      <c r="F549" s="53" t="s">
        <v>5061</v>
      </c>
      <c r="G549" s="51" t="s">
        <v>4812</v>
      </c>
      <c r="H549" s="54"/>
      <c r="I549" s="55">
        <v>20</v>
      </c>
      <c r="K549" s="51" t="s">
        <v>5015</v>
      </c>
    </row>
    <row r="550" spans="1:11">
      <c r="A550" s="51">
        <v>534</v>
      </c>
      <c r="B550" s="51" t="s">
        <v>5014</v>
      </c>
      <c r="C550" s="51" t="s">
        <v>5015</v>
      </c>
      <c r="D550" s="52" t="s">
        <v>1077</v>
      </c>
      <c r="E550" s="52" t="s">
        <v>5064</v>
      </c>
      <c r="F550" s="53" t="s">
        <v>5061</v>
      </c>
      <c r="G550" s="51" t="s">
        <v>4812</v>
      </c>
      <c r="H550" s="54"/>
      <c r="I550" s="55">
        <v>0</v>
      </c>
      <c r="K550" s="51" t="s">
        <v>5015</v>
      </c>
    </row>
    <row r="551" spans="1:11">
      <c r="A551" s="51">
        <v>535</v>
      </c>
      <c r="B551" s="51" t="s">
        <v>5014</v>
      </c>
      <c r="C551" s="51" t="s">
        <v>5015</v>
      </c>
      <c r="D551" s="52" t="s">
        <v>1077</v>
      </c>
      <c r="E551" s="52" t="s">
        <v>5064</v>
      </c>
      <c r="F551" s="53" t="s">
        <v>5061</v>
      </c>
      <c r="G551" s="51" t="s">
        <v>4812</v>
      </c>
      <c r="H551" s="54"/>
      <c r="I551" s="55">
        <v>0</v>
      </c>
      <c r="K551" s="51" t="s">
        <v>5015</v>
      </c>
    </row>
    <row r="552" spans="1:11">
      <c r="A552" s="51">
        <v>536</v>
      </c>
      <c r="B552" s="51" t="s">
        <v>5014</v>
      </c>
      <c r="C552" s="51" t="s">
        <v>5015</v>
      </c>
      <c r="D552" s="52" t="s">
        <v>1077</v>
      </c>
      <c r="E552" s="52" t="s">
        <v>5064</v>
      </c>
      <c r="F552" s="53" t="s">
        <v>5061</v>
      </c>
      <c r="G552" s="51" t="s">
        <v>4812</v>
      </c>
      <c r="H552" s="54"/>
      <c r="I552" s="55">
        <v>0</v>
      </c>
      <c r="K552" s="51" t="s">
        <v>5015</v>
      </c>
    </row>
    <row r="553" spans="1:11">
      <c r="A553" s="51">
        <v>537</v>
      </c>
      <c r="B553" s="51" t="s">
        <v>5014</v>
      </c>
      <c r="C553" s="51" t="s">
        <v>5015</v>
      </c>
      <c r="D553" s="52" t="s">
        <v>1077</v>
      </c>
      <c r="E553" s="52" t="s">
        <v>5064</v>
      </c>
      <c r="F553" s="53" t="s">
        <v>5061</v>
      </c>
      <c r="G553" s="51" t="s">
        <v>4812</v>
      </c>
      <c r="H553" s="54"/>
      <c r="I553" s="55">
        <v>0</v>
      </c>
      <c r="K553" s="51" t="s">
        <v>5015</v>
      </c>
    </row>
    <row r="554" spans="1:11">
      <c r="A554" s="51">
        <v>538</v>
      </c>
      <c r="B554" s="51" t="s">
        <v>5014</v>
      </c>
      <c r="C554" s="51" t="s">
        <v>5015</v>
      </c>
      <c r="D554" s="52" t="s">
        <v>1077</v>
      </c>
      <c r="E554" s="52" t="s">
        <v>5064</v>
      </c>
      <c r="F554" s="53" t="s">
        <v>5061</v>
      </c>
      <c r="G554" s="51" t="s">
        <v>4812</v>
      </c>
      <c r="H554" s="54"/>
      <c r="I554" s="55">
        <v>0</v>
      </c>
      <c r="K554" s="51" t="s">
        <v>5015</v>
      </c>
    </row>
    <row r="555" spans="1:11">
      <c r="A555" s="51">
        <v>539</v>
      </c>
      <c r="B555" s="51" t="s">
        <v>5014</v>
      </c>
      <c r="C555" s="51" t="s">
        <v>5015</v>
      </c>
      <c r="D555" s="52" t="s">
        <v>1077</v>
      </c>
      <c r="E555" s="52" t="s">
        <v>5064</v>
      </c>
      <c r="F555" s="53" t="s">
        <v>5061</v>
      </c>
      <c r="G555" s="51" t="s">
        <v>4812</v>
      </c>
      <c r="H555" s="54"/>
      <c r="I555" s="55">
        <v>0</v>
      </c>
      <c r="K555" s="51" t="s">
        <v>5015</v>
      </c>
    </row>
    <row r="556" spans="1:11">
      <c r="A556" s="51">
        <v>540</v>
      </c>
      <c r="B556" s="51" t="s">
        <v>5014</v>
      </c>
      <c r="C556" s="51" t="s">
        <v>5015</v>
      </c>
      <c r="D556" s="52" t="s">
        <v>1077</v>
      </c>
      <c r="E556" s="52" t="s">
        <v>5064</v>
      </c>
      <c r="F556" s="53" t="s">
        <v>5061</v>
      </c>
      <c r="G556" s="51" t="s">
        <v>4812</v>
      </c>
      <c r="H556" s="54"/>
      <c r="I556" s="55">
        <v>0</v>
      </c>
      <c r="K556" s="51" t="s">
        <v>5015</v>
      </c>
    </row>
    <row r="557" spans="1:11">
      <c r="A557" s="51">
        <v>541</v>
      </c>
      <c r="B557" s="51" t="s">
        <v>5014</v>
      </c>
      <c r="C557" s="51" t="s">
        <v>5015</v>
      </c>
      <c r="D557" s="52" t="s">
        <v>1077</v>
      </c>
      <c r="E557" s="52" t="s">
        <v>5064</v>
      </c>
      <c r="F557" s="53" t="s">
        <v>5061</v>
      </c>
      <c r="G557" s="51" t="s">
        <v>4812</v>
      </c>
      <c r="H557" s="54"/>
      <c r="I557" s="55">
        <v>0</v>
      </c>
      <c r="K557" s="51" t="s">
        <v>5015</v>
      </c>
    </row>
    <row r="558" spans="1:11">
      <c r="A558" s="51">
        <v>542</v>
      </c>
      <c r="B558" s="51" t="s">
        <v>5014</v>
      </c>
      <c r="C558" s="51" t="s">
        <v>5015</v>
      </c>
      <c r="D558" s="52" t="s">
        <v>3547</v>
      </c>
      <c r="E558" s="52" t="s">
        <v>5065</v>
      </c>
      <c r="F558" s="53" t="s">
        <v>5066</v>
      </c>
      <c r="G558" s="51" t="s">
        <v>4812</v>
      </c>
      <c r="H558" s="54"/>
      <c r="I558" s="55">
        <v>30</v>
      </c>
      <c r="K558" s="51" t="s">
        <v>5015</v>
      </c>
    </row>
    <row r="559" spans="1:11">
      <c r="A559" s="51">
        <v>543</v>
      </c>
      <c r="B559" s="51" t="s">
        <v>5014</v>
      </c>
      <c r="C559" s="51" t="s">
        <v>5015</v>
      </c>
      <c r="D559" s="52" t="s">
        <v>3547</v>
      </c>
      <c r="E559" s="52" t="s">
        <v>5065</v>
      </c>
      <c r="F559" s="53" t="s">
        <v>5066</v>
      </c>
      <c r="G559" s="51" t="s">
        <v>4812</v>
      </c>
      <c r="H559" s="54"/>
      <c r="I559" s="55">
        <v>30</v>
      </c>
      <c r="K559" s="51" t="s">
        <v>5015</v>
      </c>
    </row>
    <row r="560" spans="1:11">
      <c r="A560" s="51">
        <v>544</v>
      </c>
      <c r="B560" s="51" t="s">
        <v>5014</v>
      </c>
      <c r="C560" s="51" t="s">
        <v>5015</v>
      </c>
      <c r="D560" s="52" t="s">
        <v>3547</v>
      </c>
      <c r="E560" s="52" t="s">
        <v>5065</v>
      </c>
      <c r="F560" s="53" t="s">
        <v>5066</v>
      </c>
      <c r="G560" s="51" t="s">
        <v>4812</v>
      </c>
      <c r="H560" s="54"/>
      <c r="I560" s="55">
        <v>30</v>
      </c>
      <c r="K560" s="51" t="s">
        <v>5015</v>
      </c>
    </row>
    <row r="561" spans="1:11">
      <c r="A561" s="51">
        <v>545</v>
      </c>
      <c r="B561" s="51" t="s">
        <v>5014</v>
      </c>
      <c r="C561" s="51" t="s">
        <v>5015</v>
      </c>
      <c r="D561" s="52" t="s">
        <v>3547</v>
      </c>
      <c r="E561" s="52" t="s">
        <v>5065</v>
      </c>
      <c r="F561" s="53" t="s">
        <v>5066</v>
      </c>
      <c r="G561" s="51" t="s">
        <v>4812</v>
      </c>
      <c r="H561" s="54"/>
      <c r="I561" s="55">
        <v>30</v>
      </c>
      <c r="K561" s="51" t="s">
        <v>5015</v>
      </c>
    </row>
    <row r="562" spans="1:11">
      <c r="A562" s="51">
        <v>546</v>
      </c>
      <c r="B562" s="51" t="s">
        <v>5014</v>
      </c>
      <c r="C562" s="51" t="s">
        <v>5015</v>
      </c>
      <c r="D562" s="52" t="s">
        <v>3547</v>
      </c>
      <c r="E562" s="52" t="s">
        <v>5065</v>
      </c>
      <c r="F562" s="53" t="s">
        <v>5066</v>
      </c>
      <c r="G562" s="51" t="s">
        <v>4812</v>
      </c>
      <c r="H562" s="54"/>
      <c r="I562" s="55">
        <v>30</v>
      </c>
      <c r="K562" s="51" t="s">
        <v>5015</v>
      </c>
    </row>
    <row r="563" spans="1:11">
      <c r="A563" s="51">
        <v>547</v>
      </c>
      <c r="B563" s="51" t="s">
        <v>5014</v>
      </c>
      <c r="C563" s="51" t="s">
        <v>5015</v>
      </c>
      <c r="D563" s="52" t="s">
        <v>3547</v>
      </c>
      <c r="E563" s="52" t="s">
        <v>5065</v>
      </c>
      <c r="F563" s="53" t="s">
        <v>5066</v>
      </c>
      <c r="G563" s="51" t="s">
        <v>4812</v>
      </c>
      <c r="H563" s="54"/>
      <c r="I563" s="55">
        <v>30</v>
      </c>
      <c r="K563" s="51" t="s">
        <v>5015</v>
      </c>
    </row>
    <row r="564" spans="1:11">
      <c r="A564" s="51">
        <v>548</v>
      </c>
      <c r="B564" s="51" t="s">
        <v>5014</v>
      </c>
      <c r="C564" s="51" t="s">
        <v>5015</v>
      </c>
      <c r="D564" s="52" t="s">
        <v>3547</v>
      </c>
      <c r="E564" s="52" t="s">
        <v>5065</v>
      </c>
      <c r="F564" s="53" t="s">
        <v>5066</v>
      </c>
      <c r="G564" s="51" t="s">
        <v>4812</v>
      </c>
      <c r="H564" s="54"/>
      <c r="I564" s="55">
        <v>9</v>
      </c>
      <c r="K564" s="51" t="s">
        <v>5015</v>
      </c>
    </row>
    <row r="565" spans="1:11">
      <c r="A565" s="51">
        <v>549</v>
      </c>
      <c r="B565" s="51" t="s">
        <v>5014</v>
      </c>
      <c r="C565" s="51" t="s">
        <v>5015</v>
      </c>
      <c r="D565" s="52" t="s">
        <v>3547</v>
      </c>
      <c r="E565" s="52" t="s">
        <v>5065</v>
      </c>
      <c r="F565" s="53" t="s">
        <v>5066</v>
      </c>
      <c r="G565" s="51" t="s">
        <v>4812</v>
      </c>
      <c r="H565" s="54"/>
      <c r="I565" s="55">
        <v>0</v>
      </c>
      <c r="K565" s="51" t="s">
        <v>5015</v>
      </c>
    </row>
    <row r="566" spans="1:11">
      <c r="A566" s="51">
        <v>550</v>
      </c>
      <c r="B566" s="51" t="s">
        <v>5014</v>
      </c>
      <c r="C566" s="51" t="s">
        <v>5015</v>
      </c>
      <c r="D566" s="52" t="s">
        <v>3547</v>
      </c>
      <c r="E566" s="52" t="s">
        <v>5065</v>
      </c>
      <c r="F566" s="53" t="s">
        <v>5066</v>
      </c>
      <c r="G566" s="51" t="s">
        <v>4812</v>
      </c>
      <c r="H566" s="54"/>
      <c r="I566" s="55">
        <v>0</v>
      </c>
      <c r="K566" s="51" t="s">
        <v>5015</v>
      </c>
    </row>
    <row r="567" spans="1:11">
      <c r="A567" s="51">
        <v>551</v>
      </c>
      <c r="B567" s="51" t="s">
        <v>5014</v>
      </c>
      <c r="C567" s="51" t="s">
        <v>5015</v>
      </c>
      <c r="D567" s="52" t="s">
        <v>3547</v>
      </c>
      <c r="E567" s="52" t="s">
        <v>5065</v>
      </c>
      <c r="F567" s="53" t="s">
        <v>5066</v>
      </c>
      <c r="G567" s="51" t="s">
        <v>4812</v>
      </c>
      <c r="H567" s="54"/>
      <c r="I567" s="55">
        <v>0</v>
      </c>
      <c r="K567" s="51" t="s">
        <v>5015</v>
      </c>
    </row>
    <row r="568" spans="1:11">
      <c r="A568" s="51">
        <v>552</v>
      </c>
      <c r="B568" s="51" t="s">
        <v>5014</v>
      </c>
      <c r="C568" s="51" t="s">
        <v>5015</v>
      </c>
      <c r="D568" s="52" t="s">
        <v>3556</v>
      </c>
      <c r="E568" s="52" t="s">
        <v>3555</v>
      </c>
      <c r="F568" s="53" t="s">
        <v>5067</v>
      </c>
      <c r="G568" s="51" t="s">
        <v>4812</v>
      </c>
      <c r="H568" s="54"/>
      <c r="I568" s="55">
        <v>30</v>
      </c>
      <c r="K568" s="51" t="s">
        <v>5015</v>
      </c>
    </row>
    <row r="569" spans="1:11">
      <c r="A569" s="51">
        <v>553</v>
      </c>
      <c r="B569" s="51" t="s">
        <v>5014</v>
      </c>
      <c r="C569" s="51" t="s">
        <v>5015</v>
      </c>
      <c r="D569" s="52" t="s">
        <v>3556</v>
      </c>
      <c r="E569" s="52" t="s">
        <v>3555</v>
      </c>
      <c r="F569" s="53" t="s">
        <v>5067</v>
      </c>
      <c r="G569" s="51" t="s">
        <v>4812</v>
      </c>
      <c r="H569" s="54"/>
      <c r="I569" s="55">
        <v>30</v>
      </c>
      <c r="K569" s="51" t="s">
        <v>5015</v>
      </c>
    </row>
    <row r="570" spans="1:11">
      <c r="A570" s="51">
        <v>554</v>
      </c>
      <c r="B570" s="51" t="s">
        <v>5014</v>
      </c>
      <c r="C570" s="51" t="s">
        <v>5015</v>
      </c>
      <c r="D570" s="52" t="s">
        <v>3556</v>
      </c>
      <c r="E570" s="52" t="s">
        <v>3555</v>
      </c>
      <c r="F570" s="53" t="s">
        <v>5067</v>
      </c>
      <c r="G570" s="51" t="s">
        <v>4812</v>
      </c>
      <c r="H570" s="54"/>
      <c r="I570" s="55">
        <v>30</v>
      </c>
      <c r="K570" s="51" t="s">
        <v>5015</v>
      </c>
    </row>
    <row r="571" spans="1:11">
      <c r="A571" s="51">
        <v>555</v>
      </c>
      <c r="B571" s="51" t="s">
        <v>5014</v>
      </c>
      <c r="C571" s="51" t="s">
        <v>5015</v>
      </c>
      <c r="D571" s="52" t="s">
        <v>3556</v>
      </c>
      <c r="E571" s="52" t="s">
        <v>3555</v>
      </c>
      <c r="F571" s="53" t="s">
        <v>5067</v>
      </c>
      <c r="G571" s="51" t="s">
        <v>4812</v>
      </c>
      <c r="H571" s="54"/>
      <c r="I571" s="55">
        <v>26</v>
      </c>
      <c r="K571" s="51" t="s">
        <v>5015</v>
      </c>
    </row>
    <row r="572" spans="1:11">
      <c r="A572" s="51">
        <v>556</v>
      </c>
      <c r="B572" s="51" t="s">
        <v>5014</v>
      </c>
      <c r="C572" s="51" t="s">
        <v>5015</v>
      </c>
      <c r="D572" s="52" t="s">
        <v>3556</v>
      </c>
      <c r="E572" s="52" t="s">
        <v>3555</v>
      </c>
      <c r="F572" s="53" t="s">
        <v>5067</v>
      </c>
      <c r="G572" s="51" t="s">
        <v>4812</v>
      </c>
      <c r="H572" s="54"/>
      <c r="I572" s="55">
        <v>0</v>
      </c>
      <c r="K572" s="51" t="s">
        <v>5015</v>
      </c>
    </row>
    <row r="573" spans="1:11">
      <c r="A573" s="51">
        <v>557</v>
      </c>
      <c r="B573" s="51" t="s">
        <v>5014</v>
      </c>
      <c r="C573" s="51" t="s">
        <v>5015</v>
      </c>
      <c r="D573" s="52" t="s">
        <v>3556</v>
      </c>
      <c r="E573" s="52" t="s">
        <v>3555</v>
      </c>
      <c r="F573" s="53" t="s">
        <v>5067</v>
      </c>
      <c r="G573" s="51" t="s">
        <v>4812</v>
      </c>
      <c r="H573" s="54"/>
      <c r="I573" s="55">
        <v>0</v>
      </c>
      <c r="K573" s="51" t="s">
        <v>5015</v>
      </c>
    </row>
    <row r="574" spans="1:11">
      <c r="A574" s="51">
        <v>558</v>
      </c>
      <c r="B574" s="51" t="s">
        <v>5014</v>
      </c>
      <c r="C574" s="51" t="s">
        <v>5015</v>
      </c>
      <c r="D574" s="52" t="s">
        <v>3556</v>
      </c>
      <c r="E574" s="52" t="s">
        <v>3555</v>
      </c>
      <c r="F574" s="53" t="s">
        <v>5067</v>
      </c>
      <c r="G574" s="51" t="s">
        <v>4812</v>
      </c>
      <c r="H574" s="54"/>
      <c r="I574" s="55">
        <v>0</v>
      </c>
      <c r="K574" s="51" t="s">
        <v>5015</v>
      </c>
    </row>
    <row r="575" spans="1:11">
      <c r="A575" s="51">
        <v>559</v>
      </c>
      <c r="B575" s="51" t="s">
        <v>5014</v>
      </c>
      <c r="C575" s="51" t="s">
        <v>5015</v>
      </c>
      <c r="D575" s="52" t="s">
        <v>3556</v>
      </c>
      <c r="E575" s="52" t="s">
        <v>3555</v>
      </c>
      <c r="F575" s="53" t="s">
        <v>5067</v>
      </c>
      <c r="G575" s="51" t="s">
        <v>4812</v>
      </c>
      <c r="H575" s="54"/>
      <c r="I575" s="55">
        <v>0</v>
      </c>
      <c r="K575" s="51" t="s">
        <v>5015</v>
      </c>
    </row>
    <row r="576" spans="1:11">
      <c r="A576" s="51">
        <v>560</v>
      </c>
      <c r="B576" s="51" t="s">
        <v>5014</v>
      </c>
      <c r="C576" s="51" t="s">
        <v>5015</v>
      </c>
      <c r="D576" s="52" t="s">
        <v>3556</v>
      </c>
      <c r="E576" s="52" t="s">
        <v>3555</v>
      </c>
      <c r="F576" s="53" t="s">
        <v>5067</v>
      </c>
      <c r="G576" s="51" t="s">
        <v>4812</v>
      </c>
      <c r="H576" s="54"/>
      <c r="I576" s="55">
        <v>0</v>
      </c>
      <c r="K576" s="51" t="s">
        <v>5015</v>
      </c>
    </row>
    <row r="577" spans="1:11">
      <c r="A577" s="51">
        <v>561</v>
      </c>
      <c r="B577" s="51" t="s">
        <v>5014</v>
      </c>
      <c r="C577" s="51" t="s">
        <v>5015</v>
      </c>
      <c r="D577" s="52" t="s">
        <v>3556</v>
      </c>
      <c r="E577" s="52" t="s">
        <v>3555</v>
      </c>
      <c r="F577" s="53" t="s">
        <v>5067</v>
      </c>
      <c r="G577" s="51" t="s">
        <v>4812</v>
      </c>
      <c r="H577" s="54"/>
      <c r="I577" s="55">
        <v>0</v>
      </c>
      <c r="K577" s="51" t="s">
        <v>5015</v>
      </c>
    </row>
    <row r="578" spans="1:11">
      <c r="A578" s="51">
        <v>562</v>
      </c>
      <c r="B578" s="51" t="s">
        <v>5014</v>
      </c>
      <c r="C578" s="51" t="s">
        <v>5015</v>
      </c>
      <c r="D578" s="52" t="s">
        <v>1360</v>
      </c>
      <c r="E578" s="52" t="s">
        <v>5068</v>
      </c>
      <c r="F578" s="53" t="s">
        <v>101</v>
      </c>
      <c r="G578" s="51" t="s">
        <v>4812</v>
      </c>
      <c r="H578" s="54"/>
      <c r="I578" s="55">
        <v>40</v>
      </c>
      <c r="K578" s="51" t="s">
        <v>5015</v>
      </c>
    </row>
    <row r="579" spans="1:11">
      <c r="A579" s="51">
        <v>563</v>
      </c>
      <c r="B579" s="51" t="s">
        <v>5014</v>
      </c>
      <c r="C579" s="51" t="s">
        <v>5015</v>
      </c>
      <c r="D579" s="52" t="s">
        <v>1360</v>
      </c>
      <c r="E579" s="52" t="s">
        <v>5068</v>
      </c>
      <c r="F579" s="53" t="s">
        <v>101</v>
      </c>
      <c r="G579" s="51" t="s">
        <v>4812</v>
      </c>
      <c r="H579" s="54"/>
      <c r="I579" s="55">
        <v>40</v>
      </c>
      <c r="K579" s="51" t="s">
        <v>5015</v>
      </c>
    </row>
    <row r="580" spans="1:11">
      <c r="A580" s="51">
        <v>564</v>
      </c>
      <c r="B580" s="51" t="s">
        <v>5014</v>
      </c>
      <c r="C580" s="51" t="s">
        <v>5015</v>
      </c>
      <c r="D580" s="52" t="s">
        <v>1360</v>
      </c>
      <c r="E580" s="52" t="s">
        <v>5068</v>
      </c>
      <c r="F580" s="53" t="s">
        <v>101</v>
      </c>
      <c r="G580" s="51" t="s">
        <v>4812</v>
      </c>
      <c r="H580" s="54"/>
      <c r="I580" s="55">
        <v>40</v>
      </c>
      <c r="K580" s="51" t="s">
        <v>5015</v>
      </c>
    </row>
    <row r="581" spans="1:11">
      <c r="A581" s="51">
        <v>565</v>
      </c>
      <c r="B581" s="51" t="s">
        <v>5014</v>
      </c>
      <c r="C581" s="51" t="s">
        <v>5015</v>
      </c>
      <c r="D581" s="52" t="s">
        <v>1360</v>
      </c>
      <c r="E581" s="52" t="s">
        <v>5068</v>
      </c>
      <c r="F581" s="53" t="s">
        <v>101</v>
      </c>
      <c r="G581" s="51" t="s">
        <v>4812</v>
      </c>
      <c r="H581" s="54"/>
      <c r="I581" s="55">
        <v>40</v>
      </c>
      <c r="K581" s="51" t="s">
        <v>5015</v>
      </c>
    </row>
    <row r="582" spans="1:11">
      <c r="A582" s="51">
        <v>566</v>
      </c>
      <c r="B582" s="51" t="s">
        <v>5014</v>
      </c>
      <c r="C582" s="51" t="s">
        <v>5015</v>
      </c>
      <c r="D582" s="52" t="s">
        <v>1360</v>
      </c>
      <c r="E582" s="52" t="s">
        <v>5068</v>
      </c>
      <c r="F582" s="53" t="s">
        <v>101</v>
      </c>
      <c r="G582" s="51" t="s">
        <v>4812</v>
      </c>
      <c r="H582" s="54"/>
      <c r="I582" s="55">
        <v>40</v>
      </c>
      <c r="K582" s="51" t="s">
        <v>5015</v>
      </c>
    </row>
    <row r="583" spans="1:11">
      <c r="A583" s="51">
        <v>567</v>
      </c>
      <c r="B583" s="51" t="s">
        <v>5014</v>
      </c>
      <c r="C583" s="51" t="s">
        <v>5015</v>
      </c>
      <c r="D583" s="52" t="s">
        <v>1360</v>
      </c>
      <c r="E583" s="52" t="s">
        <v>5068</v>
      </c>
      <c r="F583" s="53" t="s">
        <v>101</v>
      </c>
      <c r="G583" s="51" t="s">
        <v>4812</v>
      </c>
      <c r="H583" s="54"/>
      <c r="I583" s="55">
        <v>40</v>
      </c>
      <c r="K583" s="51" t="s">
        <v>5015</v>
      </c>
    </row>
    <row r="584" spans="1:11">
      <c r="A584" s="51">
        <v>568</v>
      </c>
      <c r="B584" s="51" t="s">
        <v>5014</v>
      </c>
      <c r="C584" s="51" t="s">
        <v>5015</v>
      </c>
      <c r="D584" s="52" t="s">
        <v>1360</v>
      </c>
      <c r="E584" s="52" t="s">
        <v>5068</v>
      </c>
      <c r="F584" s="53" t="s">
        <v>101</v>
      </c>
      <c r="G584" s="51" t="s">
        <v>4812</v>
      </c>
      <c r="H584" s="54"/>
      <c r="I584" s="55">
        <v>40</v>
      </c>
      <c r="K584" s="51" t="s">
        <v>5015</v>
      </c>
    </row>
    <row r="585" spans="1:11">
      <c r="A585" s="51">
        <v>569</v>
      </c>
      <c r="B585" s="51" t="s">
        <v>5014</v>
      </c>
      <c r="C585" s="51" t="s">
        <v>5015</v>
      </c>
      <c r="D585" s="52" t="s">
        <v>1360</v>
      </c>
      <c r="E585" s="52" t="s">
        <v>5068</v>
      </c>
      <c r="F585" s="53" t="s">
        <v>101</v>
      </c>
      <c r="G585" s="51" t="s">
        <v>4812</v>
      </c>
      <c r="H585" s="54"/>
      <c r="I585" s="55">
        <v>40</v>
      </c>
      <c r="K585" s="51" t="s">
        <v>5015</v>
      </c>
    </row>
    <row r="586" spans="1:11">
      <c r="A586" s="51">
        <v>570</v>
      </c>
      <c r="B586" s="51" t="s">
        <v>5014</v>
      </c>
      <c r="C586" s="51" t="s">
        <v>5015</v>
      </c>
      <c r="D586" s="52" t="s">
        <v>1360</v>
      </c>
      <c r="E586" s="52" t="s">
        <v>5068</v>
      </c>
      <c r="F586" s="53" t="s">
        <v>101</v>
      </c>
      <c r="G586" s="51" t="s">
        <v>4812</v>
      </c>
      <c r="H586" s="54"/>
      <c r="I586" s="55">
        <v>24</v>
      </c>
      <c r="K586" s="51" t="s">
        <v>5015</v>
      </c>
    </row>
    <row r="587" spans="1:11">
      <c r="A587" s="51">
        <v>571</v>
      </c>
      <c r="B587" s="51" t="s">
        <v>5014</v>
      </c>
      <c r="C587" s="51" t="s">
        <v>5015</v>
      </c>
      <c r="D587" s="52" t="s">
        <v>1360</v>
      </c>
      <c r="E587" s="52" t="s">
        <v>5068</v>
      </c>
      <c r="F587" s="53" t="s">
        <v>101</v>
      </c>
      <c r="G587" s="51" t="s">
        <v>4812</v>
      </c>
      <c r="H587" s="54"/>
      <c r="I587" s="55">
        <v>0</v>
      </c>
      <c r="K587" s="51" t="s">
        <v>5015</v>
      </c>
    </row>
    <row r="588" spans="1:11">
      <c r="A588" s="51">
        <v>572</v>
      </c>
      <c r="B588" s="51" t="s">
        <v>5014</v>
      </c>
      <c r="C588" s="51" t="s">
        <v>5015</v>
      </c>
      <c r="D588" s="52" t="s">
        <v>5069</v>
      </c>
      <c r="E588" s="52" t="s">
        <v>5070</v>
      </c>
      <c r="F588" s="53" t="s">
        <v>5071</v>
      </c>
      <c r="G588" s="51" t="s">
        <v>4812</v>
      </c>
      <c r="H588" s="54"/>
      <c r="I588" s="55">
        <v>18</v>
      </c>
      <c r="K588" s="51" t="s">
        <v>5015</v>
      </c>
    </row>
    <row r="589" spans="1:11">
      <c r="A589" s="51">
        <v>573</v>
      </c>
      <c r="B589" s="51" t="s">
        <v>5014</v>
      </c>
      <c r="C589" s="51" t="s">
        <v>5015</v>
      </c>
      <c r="D589" s="52" t="s">
        <v>5069</v>
      </c>
      <c r="E589" s="52" t="s">
        <v>5070</v>
      </c>
      <c r="F589" s="53" t="s">
        <v>5071</v>
      </c>
      <c r="G589" s="51" t="s">
        <v>4812</v>
      </c>
      <c r="H589" s="54"/>
      <c r="I589" s="55">
        <v>20</v>
      </c>
      <c r="K589" s="51" t="s">
        <v>5015</v>
      </c>
    </row>
    <row r="590" spans="1:11">
      <c r="A590" s="51">
        <v>574</v>
      </c>
      <c r="B590" s="51" t="s">
        <v>5014</v>
      </c>
      <c r="C590" s="51" t="s">
        <v>5015</v>
      </c>
      <c r="D590" s="52" t="s">
        <v>5069</v>
      </c>
      <c r="E590" s="52" t="s">
        <v>5070</v>
      </c>
      <c r="F590" s="53" t="s">
        <v>5071</v>
      </c>
      <c r="G590" s="51" t="s">
        <v>4812</v>
      </c>
      <c r="H590" s="54"/>
      <c r="I590" s="55">
        <v>20</v>
      </c>
      <c r="K590" s="51" t="s">
        <v>5015</v>
      </c>
    </row>
    <row r="591" spans="1:11">
      <c r="A591" s="51">
        <v>575</v>
      </c>
      <c r="B591" s="51" t="s">
        <v>5014</v>
      </c>
      <c r="C591" s="51" t="s">
        <v>5015</v>
      </c>
      <c r="D591" s="52" t="s">
        <v>5069</v>
      </c>
      <c r="E591" s="52" t="s">
        <v>5070</v>
      </c>
      <c r="F591" s="53" t="s">
        <v>5071</v>
      </c>
      <c r="G591" s="51" t="s">
        <v>4812</v>
      </c>
      <c r="H591" s="54"/>
      <c r="I591" s="55">
        <v>20</v>
      </c>
      <c r="K591" s="51" t="s">
        <v>5015</v>
      </c>
    </row>
    <row r="592" spans="1:11">
      <c r="A592" s="51">
        <v>576</v>
      </c>
      <c r="B592" s="51" t="s">
        <v>5014</v>
      </c>
      <c r="C592" s="51" t="s">
        <v>5015</v>
      </c>
      <c r="D592" s="52" t="s">
        <v>5069</v>
      </c>
      <c r="E592" s="52" t="s">
        <v>5070</v>
      </c>
      <c r="F592" s="53" t="s">
        <v>5071</v>
      </c>
      <c r="G592" s="51" t="s">
        <v>4812</v>
      </c>
      <c r="H592" s="54"/>
      <c r="I592" s="55">
        <v>20</v>
      </c>
      <c r="K592" s="51" t="s">
        <v>5015</v>
      </c>
    </row>
    <row r="593" spans="1:11">
      <c r="A593" s="51">
        <v>577</v>
      </c>
      <c r="B593" s="51" t="s">
        <v>5014</v>
      </c>
      <c r="C593" s="51" t="s">
        <v>5015</v>
      </c>
      <c r="D593" s="52" t="s">
        <v>5069</v>
      </c>
      <c r="E593" s="52" t="s">
        <v>5070</v>
      </c>
      <c r="F593" s="53" t="s">
        <v>5071</v>
      </c>
      <c r="G593" s="51" t="s">
        <v>4812</v>
      </c>
      <c r="H593" s="54"/>
      <c r="I593" s="55">
        <v>20</v>
      </c>
      <c r="K593" s="51" t="s">
        <v>5015</v>
      </c>
    </row>
    <row r="594" spans="1:11">
      <c r="A594" s="51">
        <v>578</v>
      </c>
      <c r="B594" s="51" t="s">
        <v>5014</v>
      </c>
      <c r="C594" s="51" t="s">
        <v>5015</v>
      </c>
      <c r="D594" s="52" t="s">
        <v>5069</v>
      </c>
      <c r="E594" s="52" t="s">
        <v>5070</v>
      </c>
      <c r="F594" s="53" t="s">
        <v>5071</v>
      </c>
      <c r="G594" s="51" t="s">
        <v>4812</v>
      </c>
      <c r="H594" s="54"/>
      <c r="I594" s="55">
        <v>20</v>
      </c>
      <c r="K594" s="51" t="s">
        <v>5015</v>
      </c>
    </row>
    <row r="595" spans="1:11">
      <c r="A595" s="51">
        <v>579</v>
      </c>
      <c r="B595" s="51" t="s">
        <v>5014</v>
      </c>
      <c r="C595" s="51" t="s">
        <v>5015</v>
      </c>
      <c r="D595" s="52" t="s">
        <v>5069</v>
      </c>
      <c r="E595" s="52" t="s">
        <v>5070</v>
      </c>
      <c r="F595" s="53" t="s">
        <v>5071</v>
      </c>
      <c r="G595" s="51" t="s">
        <v>4812</v>
      </c>
      <c r="H595" s="54"/>
      <c r="I595" s="55">
        <v>20</v>
      </c>
      <c r="K595" s="51" t="s">
        <v>5015</v>
      </c>
    </row>
    <row r="596" spans="1:11">
      <c r="A596" s="51">
        <v>580</v>
      </c>
      <c r="B596" s="51" t="s">
        <v>5014</v>
      </c>
      <c r="C596" s="51" t="s">
        <v>5015</v>
      </c>
      <c r="D596" s="52" t="s">
        <v>5069</v>
      </c>
      <c r="E596" s="52" t="s">
        <v>5070</v>
      </c>
      <c r="F596" s="53" t="s">
        <v>5071</v>
      </c>
      <c r="G596" s="51" t="s">
        <v>4812</v>
      </c>
      <c r="H596" s="54"/>
      <c r="I596" s="55">
        <v>20</v>
      </c>
      <c r="K596" s="51" t="s">
        <v>5015</v>
      </c>
    </row>
    <row r="597" spans="1:11">
      <c r="A597" s="51">
        <v>581</v>
      </c>
      <c r="B597" s="51" t="s">
        <v>5014</v>
      </c>
      <c r="C597" s="51" t="s">
        <v>5015</v>
      </c>
      <c r="D597" s="52" t="s">
        <v>5069</v>
      </c>
      <c r="E597" s="52" t="s">
        <v>5070</v>
      </c>
      <c r="F597" s="53" t="s">
        <v>5071</v>
      </c>
      <c r="G597" s="51" t="s">
        <v>4812</v>
      </c>
      <c r="H597" s="54"/>
      <c r="I597" s="55">
        <v>20</v>
      </c>
      <c r="K597" s="51" t="s">
        <v>5015</v>
      </c>
    </row>
    <row r="598" spans="1:11">
      <c r="A598" s="57" t="s">
        <v>5072</v>
      </c>
      <c r="B598" s="51"/>
      <c r="C598" s="51" t="s">
        <v>5015</v>
      </c>
      <c r="D598" s="52" t="s">
        <v>5069</v>
      </c>
      <c r="E598" s="52" t="s">
        <v>5070</v>
      </c>
      <c r="F598" s="53" t="s">
        <v>5071</v>
      </c>
      <c r="G598" s="51" t="s">
        <v>4812</v>
      </c>
      <c r="H598" s="54"/>
      <c r="I598" s="55">
        <v>20</v>
      </c>
      <c r="K598" s="51" t="s">
        <v>5015</v>
      </c>
    </row>
    <row r="599" spans="1:11">
      <c r="A599" s="57" t="s">
        <v>5073</v>
      </c>
      <c r="B599" s="51"/>
      <c r="C599" s="51" t="s">
        <v>5015</v>
      </c>
      <c r="D599" s="52" t="s">
        <v>5069</v>
      </c>
      <c r="E599" s="52" t="s">
        <v>5070</v>
      </c>
      <c r="F599" s="53" t="s">
        <v>5071</v>
      </c>
      <c r="G599" s="51" t="s">
        <v>4812</v>
      </c>
      <c r="H599" s="54"/>
      <c r="I599" s="55">
        <v>20</v>
      </c>
      <c r="K599" s="51" t="s">
        <v>5015</v>
      </c>
    </row>
    <row r="600" spans="1:11">
      <c r="A600" s="57" t="s">
        <v>5074</v>
      </c>
      <c r="B600" s="51"/>
      <c r="C600" s="51" t="s">
        <v>5015</v>
      </c>
      <c r="D600" s="52" t="s">
        <v>5069</v>
      </c>
      <c r="E600" s="52" t="s">
        <v>5070</v>
      </c>
      <c r="F600" s="53" t="s">
        <v>5071</v>
      </c>
      <c r="G600" s="51" t="s">
        <v>4812</v>
      </c>
      <c r="H600" s="54"/>
      <c r="I600" s="55">
        <v>20</v>
      </c>
      <c r="K600" s="51" t="s">
        <v>5015</v>
      </c>
    </row>
    <row r="601" spans="1:11">
      <c r="A601" s="57" t="s">
        <v>5075</v>
      </c>
      <c r="B601" s="51"/>
      <c r="C601" s="51" t="s">
        <v>5015</v>
      </c>
      <c r="D601" s="52" t="s">
        <v>5069</v>
      </c>
      <c r="E601" s="52" t="s">
        <v>5070</v>
      </c>
      <c r="F601" s="53" t="s">
        <v>5071</v>
      </c>
      <c r="G601" s="51" t="s">
        <v>4812</v>
      </c>
      <c r="H601" s="54"/>
      <c r="I601" s="55">
        <v>20</v>
      </c>
      <c r="K601" s="51" t="s">
        <v>5015</v>
      </c>
    </row>
    <row r="602" spans="1:11">
      <c r="A602" s="57" t="s">
        <v>5076</v>
      </c>
      <c r="B602" s="51"/>
      <c r="C602" s="51" t="s">
        <v>5015</v>
      </c>
      <c r="D602" s="52" t="s">
        <v>5069</v>
      </c>
      <c r="E602" s="52" t="s">
        <v>5070</v>
      </c>
      <c r="F602" s="53" t="s">
        <v>5071</v>
      </c>
      <c r="G602" s="51" t="s">
        <v>4812</v>
      </c>
      <c r="H602" s="54"/>
      <c r="I602" s="55">
        <v>20</v>
      </c>
      <c r="K602" s="51" t="s">
        <v>5015</v>
      </c>
    </row>
    <row r="603" spans="1:11">
      <c r="A603" s="57" t="s">
        <v>5077</v>
      </c>
      <c r="B603" s="51"/>
      <c r="C603" s="51" t="s">
        <v>5015</v>
      </c>
      <c r="D603" s="52" t="s">
        <v>5069</v>
      </c>
      <c r="E603" s="52" t="s">
        <v>5070</v>
      </c>
      <c r="F603" s="53" t="s">
        <v>5071</v>
      </c>
      <c r="G603" s="51" t="s">
        <v>4812</v>
      </c>
      <c r="H603" s="54"/>
      <c r="I603" s="55">
        <v>20</v>
      </c>
      <c r="K603" s="51" t="s">
        <v>5015</v>
      </c>
    </row>
    <row r="604" spans="1:11">
      <c r="A604" s="57" t="s">
        <v>5078</v>
      </c>
      <c r="B604" s="51"/>
      <c r="C604" s="51" t="s">
        <v>5015</v>
      </c>
      <c r="D604" s="52" t="s">
        <v>5069</v>
      </c>
      <c r="E604" s="52" t="s">
        <v>5070</v>
      </c>
      <c r="F604" s="53" t="s">
        <v>5071</v>
      </c>
      <c r="G604" s="51" t="s">
        <v>4812</v>
      </c>
      <c r="H604" s="54"/>
      <c r="I604" s="55">
        <v>20</v>
      </c>
      <c r="K604" s="51" t="s">
        <v>5015</v>
      </c>
    </row>
    <row r="605" spans="1:11">
      <c r="A605" s="57" t="s">
        <v>5079</v>
      </c>
      <c r="B605" s="51"/>
      <c r="C605" s="51" t="s">
        <v>5015</v>
      </c>
      <c r="D605" s="52" t="s">
        <v>5069</v>
      </c>
      <c r="E605" s="52" t="s">
        <v>5070</v>
      </c>
      <c r="F605" s="53" t="s">
        <v>5071</v>
      </c>
      <c r="G605" s="51" t="s">
        <v>4812</v>
      </c>
      <c r="H605" s="54"/>
      <c r="I605" s="55">
        <v>20</v>
      </c>
      <c r="K605" s="51" t="s">
        <v>5015</v>
      </c>
    </row>
    <row r="606" spans="1:11">
      <c r="A606" s="51">
        <v>582</v>
      </c>
      <c r="B606" s="51" t="s">
        <v>5014</v>
      </c>
      <c r="C606" s="51" t="s">
        <v>5015</v>
      </c>
      <c r="D606" s="52" t="s">
        <v>5080</v>
      </c>
      <c r="E606" s="52" t="s">
        <v>1401</v>
      </c>
      <c r="F606" s="53" t="s">
        <v>5081</v>
      </c>
      <c r="G606" s="51" t="s">
        <v>4812</v>
      </c>
      <c r="H606" s="54"/>
      <c r="I606" s="55">
        <v>18</v>
      </c>
      <c r="K606" s="51" t="s">
        <v>5015</v>
      </c>
    </row>
    <row r="607" spans="1:11">
      <c r="A607" s="51">
        <v>583</v>
      </c>
      <c r="B607" s="51" t="s">
        <v>5014</v>
      </c>
      <c r="C607" s="51" t="s">
        <v>5015</v>
      </c>
      <c r="D607" s="52" t="s">
        <v>5080</v>
      </c>
      <c r="E607" s="52" t="s">
        <v>1401</v>
      </c>
      <c r="F607" s="53" t="s">
        <v>5081</v>
      </c>
      <c r="G607" s="51" t="s">
        <v>4812</v>
      </c>
      <c r="H607" s="54"/>
      <c r="I607" s="55">
        <v>20</v>
      </c>
      <c r="K607" s="51" t="s">
        <v>5015</v>
      </c>
    </row>
    <row r="608" spans="1:11">
      <c r="A608" s="51">
        <v>584</v>
      </c>
      <c r="B608" s="51" t="s">
        <v>5014</v>
      </c>
      <c r="C608" s="51" t="s">
        <v>5015</v>
      </c>
      <c r="D608" s="52" t="s">
        <v>5080</v>
      </c>
      <c r="E608" s="52" t="s">
        <v>1401</v>
      </c>
      <c r="F608" s="53" t="s">
        <v>5081</v>
      </c>
      <c r="G608" s="51" t="s">
        <v>4812</v>
      </c>
      <c r="H608" s="54"/>
      <c r="I608" s="55">
        <v>20</v>
      </c>
      <c r="K608" s="51" t="s">
        <v>5015</v>
      </c>
    </row>
    <row r="609" spans="1:11">
      <c r="A609" s="51">
        <v>585</v>
      </c>
      <c r="B609" s="51" t="s">
        <v>5014</v>
      </c>
      <c r="C609" s="51" t="s">
        <v>5015</v>
      </c>
      <c r="D609" s="52" t="s">
        <v>5080</v>
      </c>
      <c r="E609" s="52" t="s">
        <v>1401</v>
      </c>
      <c r="F609" s="53" t="s">
        <v>5081</v>
      </c>
      <c r="G609" s="51" t="s">
        <v>4812</v>
      </c>
      <c r="H609" s="54"/>
      <c r="I609" s="55">
        <v>20</v>
      </c>
      <c r="K609" s="51" t="s">
        <v>5015</v>
      </c>
    </row>
    <row r="610" spans="1:11">
      <c r="A610" s="51">
        <v>586</v>
      </c>
      <c r="B610" s="51" t="s">
        <v>5014</v>
      </c>
      <c r="C610" s="51" t="s">
        <v>5015</v>
      </c>
      <c r="D610" s="52" t="s">
        <v>5080</v>
      </c>
      <c r="E610" s="52" t="s">
        <v>1401</v>
      </c>
      <c r="F610" s="53" t="s">
        <v>5081</v>
      </c>
      <c r="G610" s="51" t="s">
        <v>4812</v>
      </c>
      <c r="H610" s="54"/>
      <c r="I610" s="55">
        <v>20</v>
      </c>
      <c r="K610" s="51" t="s">
        <v>5015</v>
      </c>
    </row>
    <row r="611" spans="1:11">
      <c r="A611" s="51">
        <v>587</v>
      </c>
      <c r="B611" s="51" t="s">
        <v>5014</v>
      </c>
      <c r="C611" s="51" t="s">
        <v>5015</v>
      </c>
      <c r="D611" s="52" t="s">
        <v>5080</v>
      </c>
      <c r="E611" s="52" t="s">
        <v>1401</v>
      </c>
      <c r="F611" s="53" t="s">
        <v>5081</v>
      </c>
      <c r="G611" s="51" t="s">
        <v>4812</v>
      </c>
      <c r="H611" s="54"/>
      <c r="I611" s="55">
        <v>20</v>
      </c>
      <c r="K611" s="51" t="s">
        <v>5015</v>
      </c>
    </row>
    <row r="612" spans="1:11">
      <c r="A612" s="51">
        <v>588</v>
      </c>
      <c r="B612" s="51" t="s">
        <v>5014</v>
      </c>
      <c r="C612" s="51" t="s">
        <v>5015</v>
      </c>
      <c r="D612" s="52" t="s">
        <v>5080</v>
      </c>
      <c r="E612" s="52" t="s">
        <v>1401</v>
      </c>
      <c r="F612" s="53" t="s">
        <v>5081</v>
      </c>
      <c r="G612" s="51" t="s">
        <v>4812</v>
      </c>
      <c r="H612" s="54"/>
      <c r="I612" s="55">
        <v>20</v>
      </c>
      <c r="K612" s="51" t="s">
        <v>5015</v>
      </c>
    </row>
    <row r="613" spans="1:11">
      <c r="A613" s="51">
        <v>589</v>
      </c>
      <c r="B613" s="51" t="s">
        <v>5014</v>
      </c>
      <c r="C613" s="51" t="s">
        <v>5015</v>
      </c>
      <c r="D613" s="52" t="s">
        <v>5080</v>
      </c>
      <c r="E613" s="52" t="s">
        <v>1401</v>
      </c>
      <c r="F613" s="53" t="s">
        <v>5081</v>
      </c>
      <c r="G613" s="51" t="s">
        <v>4812</v>
      </c>
      <c r="H613" s="54"/>
      <c r="I613" s="55">
        <v>20</v>
      </c>
      <c r="K613" s="51" t="s">
        <v>5015</v>
      </c>
    </row>
    <row r="614" spans="1:11">
      <c r="A614" s="51">
        <v>590</v>
      </c>
      <c r="B614" s="51" t="s">
        <v>5014</v>
      </c>
      <c r="C614" s="51" t="s">
        <v>5015</v>
      </c>
      <c r="D614" s="52" t="s">
        <v>5080</v>
      </c>
      <c r="E614" s="52" t="s">
        <v>1401</v>
      </c>
      <c r="F614" s="53" t="s">
        <v>5081</v>
      </c>
      <c r="G614" s="51" t="s">
        <v>4812</v>
      </c>
      <c r="H614" s="54"/>
      <c r="I614" s="55">
        <v>20</v>
      </c>
      <c r="K614" s="51" t="s">
        <v>5015</v>
      </c>
    </row>
    <row r="615" spans="1:11">
      <c r="A615" s="51">
        <v>591</v>
      </c>
      <c r="B615" s="51" t="s">
        <v>5014</v>
      </c>
      <c r="C615" s="51" t="s">
        <v>5015</v>
      </c>
      <c r="D615" s="52" t="s">
        <v>5080</v>
      </c>
      <c r="E615" s="52" t="s">
        <v>1401</v>
      </c>
      <c r="F615" s="53" t="s">
        <v>5081</v>
      </c>
      <c r="G615" s="51" t="s">
        <v>4812</v>
      </c>
      <c r="H615" s="54"/>
      <c r="I615" s="55">
        <v>20</v>
      </c>
      <c r="K615" s="51" t="s">
        <v>5015</v>
      </c>
    </row>
    <row r="616" spans="1:11">
      <c r="A616" s="51">
        <v>592</v>
      </c>
      <c r="B616" s="51" t="s">
        <v>5014</v>
      </c>
      <c r="C616" s="51" t="s">
        <v>5015</v>
      </c>
      <c r="D616" s="52" t="s">
        <v>1611</v>
      </c>
      <c r="E616" s="52" t="s">
        <v>5082</v>
      </c>
      <c r="F616" s="53" t="s">
        <v>106</v>
      </c>
      <c r="G616" s="51" t="s">
        <v>4812</v>
      </c>
      <c r="H616" s="54"/>
      <c r="I616" s="55">
        <v>20</v>
      </c>
      <c r="K616" s="51" t="s">
        <v>5015</v>
      </c>
    </row>
    <row r="617" spans="1:11" ht="12.5">
      <c r="A617" s="57" t="s">
        <v>5083</v>
      </c>
      <c r="B617" s="51"/>
      <c r="C617" s="51" t="s">
        <v>5015</v>
      </c>
      <c r="D617" s="26" t="s">
        <v>1402</v>
      </c>
      <c r="E617" s="52" t="s">
        <v>1401</v>
      </c>
      <c r="F617" s="26" t="s">
        <v>5084</v>
      </c>
      <c r="G617" s="51" t="s">
        <v>4812</v>
      </c>
      <c r="H617" s="54"/>
      <c r="I617" s="55">
        <v>20</v>
      </c>
      <c r="K617" s="51" t="s">
        <v>5015</v>
      </c>
    </row>
    <row r="618" spans="1:11" ht="12.5">
      <c r="A618" s="57" t="s">
        <v>5085</v>
      </c>
      <c r="B618" s="51"/>
      <c r="C618" s="51" t="s">
        <v>5015</v>
      </c>
      <c r="D618" s="26" t="s">
        <v>1402</v>
      </c>
      <c r="E618" s="52" t="s">
        <v>1401</v>
      </c>
      <c r="F618" s="26" t="s">
        <v>5084</v>
      </c>
      <c r="G618" s="51" t="s">
        <v>4812</v>
      </c>
      <c r="H618" s="54"/>
      <c r="I618" s="55">
        <v>20</v>
      </c>
      <c r="K618" s="51" t="s">
        <v>5015</v>
      </c>
    </row>
    <row r="619" spans="1:11" ht="12.5">
      <c r="A619" s="57" t="s">
        <v>5086</v>
      </c>
      <c r="B619" s="51"/>
      <c r="C619" s="51" t="s">
        <v>5015</v>
      </c>
      <c r="D619" s="26" t="s">
        <v>1402</v>
      </c>
      <c r="E619" s="52" t="s">
        <v>1401</v>
      </c>
      <c r="F619" s="26" t="s">
        <v>5084</v>
      </c>
      <c r="G619" s="51" t="s">
        <v>4812</v>
      </c>
      <c r="H619" s="54"/>
      <c r="I619" s="55">
        <v>20</v>
      </c>
      <c r="K619" s="51" t="s">
        <v>5015</v>
      </c>
    </row>
    <row r="620" spans="1:11" ht="12.5">
      <c r="A620" s="57" t="s">
        <v>5087</v>
      </c>
      <c r="B620" s="51"/>
      <c r="C620" s="51" t="s">
        <v>5015</v>
      </c>
      <c r="D620" s="26" t="s">
        <v>1402</v>
      </c>
      <c r="E620" s="52" t="s">
        <v>1401</v>
      </c>
      <c r="F620" s="26" t="s">
        <v>5084</v>
      </c>
      <c r="G620" s="51" t="s">
        <v>4812</v>
      </c>
      <c r="H620" s="54"/>
      <c r="I620" s="55">
        <v>20</v>
      </c>
      <c r="K620" s="51" t="s">
        <v>5015</v>
      </c>
    </row>
    <row r="621" spans="1:11" ht="12.5">
      <c r="A621" s="57" t="s">
        <v>5088</v>
      </c>
      <c r="B621" s="51"/>
      <c r="C621" s="51" t="s">
        <v>5015</v>
      </c>
      <c r="D621" s="26" t="s">
        <v>1402</v>
      </c>
      <c r="E621" s="52" t="s">
        <v>1401</v>
      </c>
      <c r="F621" s="26" t="s">
        <v>5084</v>
      </c>
      <c r="G621" s="51" t="s">
        <v>4812</v>
      </c>
      <c r="H621" s="54"/>
      <c r="I621" s="55">
        <v>20</v>
      </c>
      <c r="K621" s="51" t="s">
        <v>5015</v>
      </c>
    </row>
    <row r="622" spans="1:11">
      <c r="A622" s="51">
        <v>593</v>
      </c>
      <c r="B622" s="51" t="s">
        <v>5014</v>
      </c>
      <c r="C622" s="51" t="s">
        <v>5015</v>
      </c>
      <c r="D622" s="52" t="s">
        <v>1611</v>
      </c>
      <c r="E622" s="52" t="s">
        <v>5082</v>
      </c>
      <c r="F622" s="53" t="s">
        <v>106</v>
      </c>
      <c r="G622" s="51" t="s">
        <v>4812</v>
      </c>
      <c r="H622" s="54"/>
      <c r="I622" s="55">
        <v>0</v>
      </c>
      <c r="K622" s="51" t="s">
        <v>5015</v>
      </c>
    </row>
    <row r="623" spans="1:11">
      <c r="A623" s="51">
        <v>594</v>
      </c>
      <c r="B623" s="51" t="s">
        <v>5014</v>
      </c>
      <c r="C623" s="51" t="s">
        <v>5015</v>
      </c>
      <c r="D623" s="52" t="s">
        <v>1611</v>
      </c>
      <c r="E623" s="52" t="s">
        <v>5082</v>
      </c>
      <c r="F623" s="53" t="s">
        <v>106</v>
      </c>
      <c r="G623" s="51" t="s">
        <v>4812</v>
      </c>
      <c r="H623" s="54"/>
      <c r="I623" s="55">
        <v>0</v>
      </c>
      <c r="K623" s="51" t="s">
        <v>5015</v>
      </c>
    </row>
    <row r="624" spans="1:11">
      <c r="A624" s="51">
        <v>595</v>
      </c>
      <c r="B624" s="51" t="s">
        <v>5014</v>
      </c>
      <c r="C624" s="51" t="s">
        <v>5015</v>
      </c>
      <c r="D624" s="52" t="s">
        <v>1611</v>
      </c>
      <c r="E624" s="52" t="s">
        <v>5082</v>
      </c>
      <c r="F624" s="53" t="s">
        <v>106</v>
      </c>
      <c r="G624" s="51" t="s">
        <v>4812</v>
      </c>
      <c r="H624" s="54"/>
      <c r="I624" s="55">
        <v>0</v>
      </c>
      <c r="K624" s="51" t="s">
        <v>5015</v>
      </c>
    </row>
    <row r="625" spans="1:11">
      <c r="A625" s="51">
        <v>596</v>
      </c>
      <c r="B625" s="51" t="s">
        <v>5014</v>
      </c>
      <c r="C625" s="51" t="s">
        <v>5015</v>
      </c>
      <c r="D625" s="52" t="s">
        <v>1611</v>
      </c>
      <c r="E625" s="52" t="s">
        <v>5082</v>
      </c>
      <c r="F625" s="53" t="s">
        <v>106</v>
      </c>
      <c r="G625" s="51" t="s">
        <v>4812</v>
      </c>
      <c r="H625" s="54"/>
      <c r="I625" s="55">
        <v>0</v>
      </c>
      <c r="K625" s="51" t="s">
        <v>5015</v>
      </c>
    </row>
    <row r="626" spans="1:11">
      <c r="A626" s="51">
        <v>597</v>
      </c>
      <c r="B626" s="51" t="s">
        <v>5014</v>
      </c>
      <c r="C626" s="51" t="s">
        <v>5015</v>
      </c>
      <c r="D626" s="52" t="s">
        <v>1611</v>
      </c>
      <c r="E626" s="52" t="s">
        <v>5082</v>
      </c>
      <c r="F626" s="53" t="s">
        <v>106</v>
      </c>
      <c r="G626" s="51" t="s">
        <v>4812</v>
      </c>
      <c r="H626" s="54"/>
      <c r="I626" s="55">
        <v>0</v>
      </c>
      <c r="K626" s="51" t="s">
        <v>5015</v>
      </c>
    </row>
    <row r="627" spans="1:11">
      <c r="A627" s="51">
        <v>598</v>
      </c>
      <c r="B627" s="51" t="s">
        <v>5014</v>
      </c>
      <c r="C627" s="51" t="s">
        <v>5015</v>
      </c>
      <c r="D627" s="52" t="s">
        <v>1611</v>
      </c>
      <c r="E627" s="52" t="s">
        <v>5082</v>
      </c>
      <c r="F627" s="53" t="s">
        <v>106</v>
      </c>
      <c r="G627" s="51" t="s">
        <v>4812</v>
      </c>
      <c r="H627" s="54"/>
      <c r="I627" s="55">
        <v>0</v>
      </c>
      <c r="K627" s="51" t="s">
        <v>5015</v>
      </c>
    </row>
    <row r="628" spans="1:11">
      <c r="A628" s="51">
        <v>599</v>
      </c>
      <c r="B628" s="51" t="s">
        <v>5014</v>
      </c>
      <c r="C628" s="51" t="s">
        <v>5015</v>
      </c>
      <c r="D628" s="52" t="s">
        <v>1611</v>
      </c>
      <c r="E628" s="52" t="s">
        <v>5082</v>
      </c>
      <c r="F628" s="53" t="s">
        <v>106</v>
      </c>
      <c r="G628" s="51" t="s">
        <v>4812</v>
      </c>
      <c r="H628" s="54"/>
      <c r="I628" s="55">
        <v>0</v>
      </c>
      <c r="K628" s="51" t="s">
        <v>5015</v>
      </c>
    </row>
    <row r="629" spans="1:11">
      <c r="A629" s="51">
        <v>600</v>
      </c>
      <c r="B629" s="51" t="s">
        <v>5014</v>
      </c>
      <c r="C629" s="51" t="s">
        <v>5015</v>
      </c>
      <c r="D629" s="52" t="s">
        <v>1611</v>
      </c>
      <c r="E629" s="52" t="s">
        <v>5082</v>
      </c>
      <c r="F629" s="53" t="s">
        <v>106</v>
      </c>
      <c r="G629" s="51" t="s">
        <v>4812</v>
      </c>
      <c r="H629" s="54"/>
      <c r="I629" s="55">
        <v>0</v>
      </c>
      <c r="K629" s="51" t="s">
        <v>5015</v>
      </c>
    </row>
    <row r="630" spans="1:11">
      <c r="A630" s="51">
        <v>601</v>
      </c>
      <c r="B630" s="51" t="s">
        <v>5014</v>
      </c>
      <c r="C630" s="51" t="s">
        <v>5015</v>
      </c>
      <c r="D630" s="52" t="s">
        <v>1611</v>
      </c>
      <c r="E630" s="52" t="s">
        <v>5082</v>
      </c>
      <c r="F630" s="53" t="s">
        <v>106</v>
      </c>
      <c r="G630" s="51" t="s">
        <v>4812</v>
      </c>
      <c r="H630" s="54"/>
      <c r="I630" s="55">
        <v>0</v>
      </c>
      <c r="K630" s="51" t="s">
        <v>5015</v>
      </c>
    </row>
    <row r="631" spans="1:11">
      <c r="A631" s="51">
        <v>602</v>
      </c>
      <c r="B631" s="51" t="s">
        <v>5014</v>
      </c>
      <c r="C631" s="51" t="s">
        <v>5015</v>
      </c>
      <c r="D631" s="52" t="s">
        <v>1647</v>
      </c>
      <c r="E631" s="52" t="s">
        <v>5089</v>
      </c>
      <c r="F631" s="53" t="s">
        <v>4865</v>
      </c>
      <c r="G631" s="51" t="s">
        <v>4812</v>
      </c>
      <c r="H631" s="54"/>
      <c r="I631" s="55">
        <v>0</v>
      </c>
      <c r="K631" s="51" t="s">
        <v>5015</v>
      </c>
    </row>
    <row r="632" spans="1:11">
      <c r="A632" s="51">
        <v>603</v>
      </c>
      <c r="B632" s="51" t="s">
        <v>5014</v>
      </c>
      <c r="C632" s="51" t="s">
        <v>5015</v>
      </c>
      <c r="D632" s="52" t="s">
        <v>1647</v>
      </c>
      <c r="E632" s="52" t="s">
        <v>5089</v>
      </c>
      <c r="F632" s="53" t="s">
        <v>4865</v>
      </c>
      <c r="G632" s="51" t="s">
        <v>4812</v>
      </c>
      <c r="H632" s="54"/>
      <c r="I632" s="55">
        <v>0</v>
      </c>
      <c r="K632" s="51" t="s">
        <v>5015</v>
      </c>
    </row>
    <row r="633" spans="1:11">
      <c r="A633" s="51">
        <v>604</v>
      </c>
      <c r="B633" s="51" t="s">
        <v>5014</v>
      </c>
      <c r="C633" s="51" t="s">
        <v>5015</v>
      </c>
      <c r="D633" s="52" t="s">
        <v>1647</v>
      </c>
      <c r="E633" s="52" t="s">
        <v>5089</v>
      </c>
      <c r="F633" s="53" t="s">
        <v>4865</v>
      </c>
      <c r="G633" s="51" t="s">
        <v>4812</v>
      </c>
      <c r="H633" s="54"/>
      <c r="I633" s="55">
        <v>0</v>
      </c>
      <c r="K633" s="51" t="s">
        <v>5015</v>
      </c>
    </row>
    <row r="634" spans="1:11">
      <c r="A634" s="51">
        <v>605</v>
      </c>
      <c r="B634" s="51" t="s">
        <v>5014</v>
      </c>
      <c r="C634" s="51" t="s">
        <v>5015</v>
      </c>
      <c r="D634" s="52" t="s">
        <v>1647</v>
      </c>
      <c r="E634" s="52" t="s">
        <v>5089</v>
      </c>
      <c r="F634" s="53" t="s">
        <v>4865</v>
      </c>
      <c r="G634" s="51" t="s">
        <v>4812</v>
      </c>
      <c r="H634" s="54"/>
      <c r="I634" s="55">
        <v>0</v>
      </c>
      <c r="K634" s="51" t="s">
        <v>5015</v>
      </c>
    </row>
    <row r="635" spans="1:11">
      <c r="A635" s="51">
        <v>606</v>
      </c>
      <c r="B635" s="51" t="s">
        <v>5014</v>
      </c>
      <c r="C635" s="51" t="s">
        <v>5015</v>
      </c>
      <c r="D635" s="52" t="s">
        <v>1647</v>
      </c>
      <c r="E635" s="52" t="s">
        <v>5089</v>
      </c>
      <c r="F635" s="53" t="s">
        <v>4865</v>
      </c>
      <c r="G635" s="51" t="s">
        <v>4812</v>
      </c>
      <c r="H635" s="54"/>
      <c r="I635" s="55">
        <v>0</v>
      </c>
      <c r="K635" s="51" t="s">
        <v>5015</v>
      </c>
    </row>
    <row r="636" spans="1:11">
      <c r="A636" s="51">
        <v>607</v>
      </c>
      <c r="B636" s="51" t="s">
        <v>5014</v>
      </c>
      <c r="C636" s="51" t="s">
        <v>5015</v>
      </c>
      <c r="D636" s="52" t="s">
        <v>1647</v>
      </c>
      <c r="E636" s="52" t="s">
        <v>5089</v>
      </c>
      <c r="F636" s="53" t="s">
        <v>4865</v>
      </c>
      <c r="G636" s="51" t="s">
        <v>4812</v>
      </c>
      <c r="H636" s="54"/>
      <c r="I636" s="55">
        <v>0</v>
      </c>
      <c r="K636" s="51" t="s">
        <v>5015</v>
      </c>
    </row>
    <row r="637" spans="1:11">
      <c r="A637" s="51">
        <v>608</v>
      </c>
      <c r="B637" s="51" t="s">
        <v>5014</v>
      </c>
      <c r="C637" s="51" t="s">
        <v>5015</v>
      </c>
      <c r="D637" s="52" t="s">
        <v>1647</v>
      </c>
      <c r="E637" s="52" t="s">
        <v>5089</v>
      </c>
      <c r="F637" s="53" t="s">
        <v>4865</v>
      </c>
      <c r="G637" s="51" t="s">
        <v>4812</v>
      </c>
      <c r="H637" s="54"/>
      <c r="I637" s="55">
        <v>0</v>
      </c>
      <c r="K637" s="51" t="s">
        <v>5015</v>
      </c>
    </row>
    <row r="638" spans="1:11">
      <c r="A638" s="51">
        <v>609</v>
      </c>
      <c r="B638" s="51" t="s">
        <v>5014</v>
      </c>
      <c r="C638" s="51" t="s">
        <v>5015</v>
      </c>
      <c r="D638" s="52" t="s">
        <v>1647</v>
      </c>
      <c r="E638" s="52" t="s">
        <v>5089</v>
      </c>
      <c r="F638" s="53" t="s">
        <v>4865</v>
      </c>
      <c r="G638" s="51" t="s">
        <v>4812</v>
      </c>
      <c r="H638" s="54"/>
      <c r="I638" s="55">
        <v>0</v>
      </c>
      <c r="K638" s="51" t="s">
        <v>5015</v>
      </c>
    </row>
    <row r="639" spans="1:11">
      <c r="A639" s="51">
        <v>610</v>
      </c>
      <c r="B639" s="51" t="s">
        <v>5014</v>
      </c>
      <c r="C639" s="51" t="s">
        <v>5015</v>
      </c>
      <c r="D639" s="52" t="s">
        <v>1647</v>
      </c>
      <c r="E639" s="52" t="s">
        <v>5089</v>
      </c>
      <c r="F639" s="53" t="s">
        <v>4865</v>
      </c>
      <c r="G639" s="51" t="s">
        <v>4812</v>
      </c>
      <c r="H639" s="54"/>
      <c r="I639" s="55">
        <v>0</v>
      </c>
      <c r="K639" s="51" t="s">
        <v>5015</v>
      </c>
    </row>
    <row r="640" spans="1:11">
      <c r="A640" s="51">
        <v>611</v>
      </c>
      <c r="B640" s="51" t="s">
        <v>5014</v>
      </c>
      <c r="C640" s="51" t="s">
        <v>5015</v>
      </c>
      <c r="D640" s="52" t="s">
        <v>1647</v>
      </c>
      <c r="E640" s="52" t="s">
        <v>5089</v>
      </c>
      <c r="F640" s="53" t="s">
        <v>4865</v>
      </c>
      <c r="G640" s="51" t="s">
        <v>4812</v>
      </c>
      <c r="H640" s="54"/>
      <c r="I640" s="55">
        <v>0</v>
      </c>
      <c r="K640" s="51" t="s">
        <v>5015</v>
      </c>
    </row>
    <row r="641" spans="1:11">
      <c r="A641" s="51">
        <v>612</v>
      </c>
      <c r="B641" s="51" t="s">
        <v>5014</v>
      </c>
      <c r="C641" s="51" t="s">
        <v>5015</v>
      </c>
      <c r="D641" s="52" t="s">
        <v>823</v>
      </c>
      <c r="E641" s="52" t="s">
        <v>822</v>
      </c>
      <c r="F641" s="53" t="s">
        <v>4867</v>
      </c>
      <c r="G641" s="51" t="s">
        <v>4812</v>
      </c>
      <c r="H641" s="54"/>
      <c r="I641" s="55">
        <v>0</v>
      </c>
      <c r="K641" s="51" t="s">
        <v>5015</v>
      </c>
    </row>
    <row r="642" spans="1:11">
      <c r="A642" s="51">
        <v>613</v>
      </c>
      <c r="B642" s="51" t="s">
        <v>5014</v>
      </c>
      <c r="C642" s="51" t="s">
        <v>5015</v>
      </c>
      <c r="D642" s="52" t="s">
        <v>823</v>
      </c>
      <c r="E642" s="52" t="s">
        <v>822</v>
      </c>
      <c r="F642" s="53" t="s">
        <v>4867</v>
      </c>
      <c r="G642" s="51" t="s">
        <v>4812</v>
      </c>
      <c r="H642" s="54"/>
      <c r="I642" s="55">
        <v>0</v>
      </c>
      <c r="K642" s="51" t="s">
        <v>5015</v>
      </c>
    </row>
    <row r="643" spans="1:11">
      <c r="A643" s="51">
        <v>614</v>
      </c>
      <c r="B643" s="51" t="s">
        <v>5014</v>
      </c>
      <c r="C643" s="51" t="s">
        <v>5015</v>
      </c>
      <c r="D643" s="52" t="s">
        <v>823</v>
      </c>
      <c r="E643" s="52" t="s">
        <v>822</v>
      </c>
      <c r="F643" s="53" t="s">
        <v>4867</v>
      </c>
      <c r="G643" s="51" t="s">
        <v>4812</v>
      </c>
      <c r="H643" s="54"/>
      <c r="I643" s="55">
        <v>0</v>
      </c>
      <c r="K643" s="51" t="s">
        <v>5015</v>
      </c>
    </row>
    <row r="644" spans="1:11">
      <c r="A644" s="51">
        <v>615</v>
      </c>
      <c r="B644" s="51" t="s">
        <v>5014</v>
      </c>
      <c r="C644" s="51" t="s">
        <v>5015</v>
      </c>
      <c r="D644" s="52" t="s">
        <v>823</v>
      </c>
      <c r="E644" s="52" t="s">
        <v>822</v>
      </c>
      <c r="F644" s="53" t="s">
        <v>4867</v>
      </c>
      <c r="G644" s="51" t="s">
        <v>4812</v>
      </c>
      <c r="H644" s="54"/>
      <c r="I644" s="55">
        <v>0</v>
      </c>
      <c r="K644" s="51" t="s">
        <v>5015</v>
      </c>
    </row>
    <row r="645" spans="1:11">
      <c r="A645" s="51">
        <v>616</v>
      </c>
      <c r="B645" s="51" t="s">
        <v>5014</v>
      </c>
      <c r="C645" s="51" t="s">
        <v>5015</v>
      </c>
      <c r="D645" s="52" t="s">
        <v>823</v>
      </c>
      <c r="E645" s="52" t="s">
        <v>822</v>
      </c>
      <c r="F645" s="53" t="s">
        <v>4867</v>
      </c>
      <c r="G645" s="51" t="s">
        <v>4812</v>
      </c>
      <c r="H645" s="54"/>
      <c r="I645" s="55">
        <v>56</v>
      </c>
      <c r="K645" s="51" t="s">
        <v>5015</v>
      </c>
    </row>
    <row r="646" spans="1:11">
      <c r="A646" s="51">
        <v>617</v>
      </c>
      <c r="B646" s="51" t="s">
        <v>5014</v>
      </c>
      <c r="C646" s="51" t="s">
        <v>5015</v>
      </c>
      <c r="D646" s="52" t="s">
        <v>823</v>
      </c>
      <c r="E646" s="52" t="s">
        <v>822</v>
      </c>
      <c r="F646" s="53" t="s">
        <v>4867</v>
      </c>
      <c r="G646" s="51" t="s">
        <v>4812</v>
      </c>
      <c r="H646" s="54"/>
      <c r="I646" s="55">
        <v>56</v>
      </c>
      <c r="K646" s="51" t="s">
        <v>5015</v>
      </c>
    </row>
    <row r="647" spans="1:11">
      <c r="A647" s="51">
        <v>618</v>
      </c>
      <c r="B647" s="51" t="s">
        <v>5014</v>
      </c>
      <c r="C647" s="51" t="s">
        <v>5015</v>
      </c>
      <c r="D647" s="52" t="s">
        <v>823</v>
      </c>
      <c r="E647" s="52" t="s">
        <v>822</v>
      </c>
      <c r="F647" s="53" t="s">
        <v>4867</v>
      </c>
      <c r="G647" s="51" t="s">
        <v>4812</v>
      </c>
      <c r="H647" s="54"/>
      <c r="I647" s="55">
        <v>56</v>
      </c>
      <c r="K647" s="51" t="s">
        <v>5015</v>
      </c>
    </row>
    <row r="648" spans="1:11">
      <c r="A648" s="51">
        <v>619</v>
      </c>
      <c r="B648" s="51" t="s">
        <v>5014</v>
      </c>
      <c r="C648" s="51" t="s">
        <v>5015</v>
      </c>
      <c r="D648" s="52" t="s">
        <v>823</v>
      </c>
      <c r="E648" s="52" t="s">
        <v>822</v>
      </c>
      <c r="F648" s="53" t="s">
        <v>4867</v>
      </c>
      <c r="G648" s="51" t="s">
        <v>4812</v>
      </c>
      <c r="H648" s="54"/>
      <c r="I648" s="55">
        <v>56</v>
      </c>
      <c r="K648" s="51" t="s">
        <v>5015</v>
      </c>
    </row>
    <row r="649" spans="1:11">
      <c r="A649" s="51">
        <v>620</v>
      </c>
      <c r="B649" s="51" t="s">
        <v>5014</v>
      </c>
      <c r="C649" s="51" t="s">
        <v>5015</v>
      </c>
      <c r="D649" s="52" t="s">
        <v>823</v>
      </c>
      <c r="E649" s="52" t="s">
        <v>822</v>
      </c>
      <c r="F649" s="53" t="s">
        <v>4867</v>
      </c>
      <c r="G649" s="51" t="s">
        <v>4812</v>
      </c>
      <c r="H649" s="54"/>
      <c r="I649" s="55">
        <v>42</v>
      </c>
      <c r="K649" s="51" t="s">
        <v>5015</v>
      </c>
    </row>
    <row r="650" spans="1:11">
      <c r="A650" s="51">
        <v>621</v>
      </c>
      <c r="B650" s="51" t="s">
        <v>5014</v>
      </c>
      <c r="C650" s="51" t="s">
        <v>5015</v>
      </c>
      <c r="D650" s="52" t="s">
        <v>823</v>
      </c>
      <c r="E650" s="52" t="s">
        <v>822</v>
      </c>
      <c r="F650" s="53" t="s">
        <v>4867</v>
      </c>
      <c r="G650" s="51" t="s">
        <v>4812</v>
      </c>
      <c r="H650" s="54"/>
      <c r="I650" s="55">
        <v>0</v>
      </c>
      <c r="K650" s="51" t="s">
        <v>5015</v>
      </c>
    </row>
    <row r="651" spans="1:11">
      <c r="A651" s="51">
        <v>622</v>
      </c>
      <c r="B651" s="51" t="s">
        <v>5014</v>
      </c>
      <c r="C651" s="51" t="s">
        <v>5015</v>
      </c>
      <c r="D651" s="52" t="s">
        <v>885</v>
      </c>
      <c r="E651" s="52" t="s">
        <v>884</v>
      </c>
      <c r="F651" s="53" t="s">
        <v>4869</v>
      </c>
      <c r="G651" s="51" t="s">
        <v>4812</v>
      </c>
      <c r="H651" s="54"/>
      <c r="I651" s="55">
        <v>56</v>
      </c>
      <c r="K651" s="51" t="s">
        <v>5015</v>
      </c>
    </row>
    <row r="652" spans="1:11">
      <c r="A652" s="51">
        <v>623</v>
      </c>
      <c r="B652" s="51" t="s">
        <v>5014</v>
      </c>
      <c r="C652" s="51" t="s">
        <v>5015</v>
      </c>
      <c r="D652" s="52" t="s">
        <v>885</v>
      </c>
      <c r="E652" s="52" t="s">
        <v>884</v>
      </c>
      <c r="F652" s="53" t="s">
        <v>4869</v>
      </c>
      <c r="G652" s="51" t="s">
        <v>4812</v>
      </c>
      <c r="H652" s="54"/>
      <c r="I652" s="55">
        <v>56</v>
      </c>
      <c r="K652" s="51" t="s">
        <v>5015</v>
      </c>
    </row>
    <row r="653" spans="1:11">
      <c r="A653" s="51">
        <v>624</v>
      </c>
      <c r="B653" s="51" t="s">
        <v>5014</v>
      </c>
      <c r="C653" s="51" t="s">
        <v>5015</v>
      </c>
      <c r="D653" s="52" t="s">
        <v>885</v>
      </c>
      <c r="E653" s="52" t="s">
        <v>884</v>
      </c>
      <c r="F653" s="53" t="s">
        <v>4869</v>
      </c>
      <c r="G653" s="51" t="s">
        <v>4812</v>
      </c>
      <c r="H653" s="54"/>
      <c r="I653" s="55">
        <v>56</v>
      </c>
      <c r="K653" s="51" t="s">
        <v>5015</v>
      </c>
    </row>
    <row r="654" spans="1:11">
      <c r="A654" s="51">
        <v>625</v>
      </c>
      <c r="B654" s="51" t="s">
        <v>5014</v>
      </c>
      <c r="C654" s="51" t="s">
        <v>5015</v>
      </c>
      <c r="D654" s="52" t="s">
        <v>885</v>
      </c>
      <c r="E654" s="52" t="s">
        <v>884</v>
      </c>
      <c r="F654" s="53" t="s">
        <v>4869</v>
      </c>
      <c r="G654" s="51" t="s">
        <v>4812</v>
      </c>
      <c r="H654" s="54"/>
      <c r="I654" s="55">
        <v>45</v>
      </c>
      <c r="K654" s="51" t="s">
        <v>5015</v>
      </c>
    </row>
    <row r="655" spans="1:11">
      <c r="A655" s="51">
        <v>626</v>
      </c>
      <c r="B655" s="51" t="s">
        <v>5014</v>
      </c>
      <c r="C655" s="51" t="s">
        <v>5015</v>
      </c>
      <c r="D655" s="52" t="s">
        <v>885</v>
      </c>
      <c r="E655" s="52" t="s">
        <v>884</v>
      </c>
      <c r="F655" s="53" t="s">
        <v>4869</v>
      </c>
      <c r="G655" s="51" t="s">
        <v>4812</v>
      </c>
      <c r="H655" s="54"/>
      <c r="I655" s="55">
        <v>0</v>
      </c>
      <c r="K655" s="51" t="s">
        <v>5015</v>
      </c>
    </row>
    <row r="656" spans="1:11">
      <c r="A656" s="51">
        <v>627</v>
      </c>
      <c r="B656" s="51" t="s">
        <v>5014</v>
      </c>
      <c r="C656" s="51" t="s">
        <v>5015</v>
      </c>
      <c r="D656" s="52" t="s">
        <v>885</v>
      </c>
      <c r="E656" s="52" t="s">
        <v>884</v>
      </c>
      <c r="F656" s="53" t="s">
        <v>4869</v>
      </c>
      <c r="G656" s="51" t="s">
        <v>4812</v>
      </c>
      <c r="H656" s="54"/>
      <c r="I656" s="55">
        <v>0</v>
      </c>
      <c r="K656" s="51" t="s">
        <v>5015</v>
      </c>
    </row>
    <row r="657" spans="1:11">
      <c r="A657" s="51">
        <v>628</v>
      </c>
      <c r="B657" s="51" t="s">
        <v>5014</v>
      </c>
      <c r="C657" s="51" t="s">
        <v>5015</v>
      </c>
      <c r="D657" s="52" t="s">
        <v>885</v>
      </c>
      <c r="E657" s="52" t="s">
        <v>884</v>
      </c>
      <c r="F657" s="53" t="s">
        <v>4869</v>
      </c>
      <c r="G657" s="51" t="s">
        <v>4812</v>
      </c>
      <c r="H657" s="54"/>
      <c r="I657" s="55">
        <v>0</v>
      </c>
      <c r="K657" s="51" t="s">
        <v>5015</v>
      </c>
    </row>
    <row r="658" spans="1:11">
      <c r="A658" s="51">
        <v>629</v>
      </c>
      <c r="B658" s="51" t="s">
        <v>5014</v>
      </c>
      <c r="C658" s="51" t="s">
        <v>5015</v>
      </c>
      <c r="D658" s="52" t="s">
        <v>885</v>
      </c>
      <c r="E658" s="52" t="s">
        <v>884</v>
      </c>
      <c r="F658" s="53" t="s">
        <v>4869</v>
      </c>
      <c r="G658" s="51" t="s">
        <v>4812</v>
      </c>
      <c r="H658" s="54"/>
      <c r="I658" s="55">
        <v>0</v>
      </c>
      <c r="K658" s="51" t="s">
        <v>5015</v>
      </c>
    </row>
    <row r="659" spans="1:11">
      <c r="A659" s="51">
        <v>630</v>
      </c>
      <c r="B659" s="51" t="s">
        <v>5014</v>
      </c>
      <c r="C659" s="51" t="s">
        <v>5015</v>
      </c>
      <c r="D659" s="52" t="s">
        <v>885</v>
      </c>
      <c r="E659" s="52" t="s">
        <v>884</v>
      </c>
      <c r="F659" s="53" t="s">
        <v>4869</v>
      </c>
      <c r="G659" s="51" t="s">
        <v>4812</v>
      </c>
      <c r="H659" s="54"/>
      <c r="I659" s="55">
        <v>0</v>
      </c>
      <c r="K659" s="51" t="s">
        <v>5015</v>
      </c>
    </row>
    <row r="660" spans="1:11">
      <c r="A660" s="51">
        <v>631</v>
      </c>
      <c r="B660" s="51" t="s">
        <v>5014</v>
      </c>
      <c r="C660" s="51" t="s">
        <v>5015</v>
      </c>
      <c r="D660" s="52" t="s">
        <v>885</v>
      </c>
      <c r="E660" s="52" t="s">
        <v>884</v>
      </c>
      <c r="F660" s="53" t="s">
        <v>4869</v>
      </c>
      <c r="G660" s="51" t="s">
        <v>4812</v>
      </c>
      <c r="H660" s="54"/>
      <c r="I660" s="55">
        <v>0</v>
      </c>
      <c r="K660" s="51" t="s">
        <v>5015</v>
      </c>
    </row>
    <row r="661" spans="1:11">
      <c r="A661" s="51">
        <v>632</v>
      </c>
      <c r="B661" s="51" t="s">
        <v>5014</v>
      </c>
      <c r="C661" s="51" t="s">
        <v>5015</v>
      </c>
      <c r="D661" s="52" t="s">
        <v>827</v>
      </c>
      <c r="E661" s="52" t="s">
        <v>826</v>
      </c>
      <c r="F661" s="53" t="s">
        <v>4871</v>
      </c>
      <c r="G661" s="51" t="s">
        <v>4812</v>
      </c>
      <c r="H661" s="54"/>
      <c r="I661" s="55">
        <v>56</v>
      </c>
      <c r="K661" s="51" t="s">
        <v>5015</v>
      </c>
    </row>
    <row r="662" spans="1:11">
      <c r="A662" s="51">
        <v>633</v>
      </c>
      <c r="B662" s="51" t="s">
        <v>5014</v>
      </c>
      <c r="C662" s="51" t="s">
        <v>5015</v>
      </c>
      <c r="D662" s="52" t="s">
        <v>827</v>
      </c>
      <c r="E662" s="52" t="s">
        <v>826</v>
      </c>
      <c r="F662" s="53" t="s">
        <v>4871</v>
      </c>
      <c r="G662" s="51" t="s">
        <v>4812</v>
      </c>
      <c r="H662" s="54"/>
      <c r="I662" s="55">
        <v>56</v>
      </c>
      <c r="K662" s="51" t="s">
        <v>5015</v>
      </c>
    </row>
    <row r="663" spans="1:11">
      <c r="A663" s="51">
        <v>634</v>
      </c>
      <c r="B663" s="51" t="s">
        <v>5014</v>
      </c>
      <c r="C663" s="51" t="s">
        <v>5015</v>
      </c>
      <c r="D663" s="52" t="s">
        <v>827</v>
      </c>
      <c r="E663" s="52" t="s">
        <v>826</v>
      </c>
      <c r="F663" s="53" t="s">
        <v>4871</v>
      </c>
      <c r="G663" s="51" t="s">
        <v>4812</v>
      </c>
      <c r="H663" s="54"/>
      <c r="I663" s="55">
        <v>56</v>
      </c>
      <c r="K663" s="51" t="s">
        <v>5015</v>
      </c>
    </row>
    <row r="664" spans="1:11">
      <c r="A664" s="51">
        <v>635</v>
      </c>
      <c r="B664" s="51" t="s">
        <v>5014</v>
      </c>
      <c r="C664" s="51" t="s">
        <v>5015</v>
      </c>
      <c r="D664" s="52" t="s">
        <v>827</v>
      </c>
      <c r="E664" s="52" t="s">
        <v>826</v>
      </c>
      <c r="F664" s="53" t="s">
        <v>4871</v>
      </c>
      <c r="G664" s="51" t="s">
        <v>4812</v>
      </c>
      <c r="H664" s="54"/>
      <c r="I664" s="55">
        <v>56</v>
      </c>
      <c r="K664" s="51" t="s">
        <v>5015</v>
      </c>
    </row>
    <row r="665" spans="1:11">
      <c r="A665" s="51">
        <v>636</v>
      </c>
      <c r="B665" s="51" t="s">
        <v>5014</v>
      </c>
      <c r="C665" s="51" t="s">
        <v>5015</v>
      </c>
      <c r="D665" s="52" t="s">
        <v>827</v>
      </c>
      <c r="E665" s="52" t="s">
        <v>826</v>
      </c>
      <c r="F665" s="53" t="s">
        <v>4871</v>
      </c>
      <c r="G665" s="51" t="s">
        <v>4812</v>
      </c>
      <c r="H665" s="54"/>
      <c r="I665" s="55">
        <v>37</v>
      </c>
      <c r="K665" s="51" t="s">
        <v>5015</v>
      </c>
    </row>
    <row r="666" spans="1:11">
      <c r="A666" s="51">
        <v>637</v>
      </c>
      <c r="B666" s="51" t="s">
        <v>5014</v>
      </c>
      <c r="C666" s="51" t="s">
        <v>5015</v>
      </c>
      <c r="D666" s="52" t="s">
        <v>827</v>
      </c>
      <c r="E666" s="52" t="s">
        <v>826</v>
      </c>
      <c r="F666" s="53" t="s">
        <v>4871</v>
      </c>
      <c r="G666" s="51" t="s">
        <v>4812</v>
      </c>
      <c r="H666" s="54"/>
      <c r="I666" s="55">
        <v>0</v>
      </c>
      <c r="K666" s="51" t="s">
        <v>5015</v>
      </c>
    </row>
    <row r="667" spans="1:11">
      <c r="A667" s="51">
        <v>638</v>
      </c>
      <c r="B667" s="51" t="s">
        <v>5014</v>
      </c>
      <c r="C667" s="51" t="s">
        <v>5015</v>
      </c>
      <c r="D667" s="52" t="s">
        <v>827</v>
      </c>
      <c r="E667" s="52" t="s">
        <v>826</v>
      </c>
      <c r="F667" s="53" t="s">
        <v>4871</v>
      </c>
      <c r="G667" s="51" t="s">
        <v>4812</v>
      </c>
      <c r="H667" s="54"/>
      <c r="I667" s="55">
        <v>0</v>
      </c>
      <c r="K667" s="51" t="s">
        <v>5015</v>
      </c>
    </row>
    <row r="668" spans="1:11">
      <c r="A668" s="51">
        <v>639</v>
      </c>
      <c r="B668" s="51" t="s">
        <v>5014</v>
      </c>
      <c r="C668" s="51" t="s">
        <v>5015</v>
      </c>
      <c r="D668" s="52" t="s">
        <v>827</v>
      </c>
      <c r="E668" s="52" t="s">
        <v>826</v>
      </c>
      <c r="F668" s="53" t="s">
        <v>4871</v>
      </c>
      <c r="G668" s="51" t="s">
        <v>4812</v>
      </c>
      <c r="H668" s="54"/>
      <c r="I668" s="55">
        <v>0</v>
      </c>
      <c r="K668" s="51" t="s">
        <v>5015</v>
      </c>
    </row>
    <row r="669" spans="1:11">
      <c r="A669" s="51">
        <v>640</v>
      </c>
      <c r="B669" s="51" t="s">
        <v>5014</v>
      </c>
      <c r="C669" s="51" t="s">
        <v>5015</v>
      </c>
      <c r="D669" s="52" t="s">
        <v>827</v>
      </c>
      <c r="E669" s="52" t="s">
        <v>826</v>
      </c>
      <c r="F669" s="53" t="s">
        <v>4871</v>
      </c>
      <c r="G669" s="51" t="s">
        <v>4812</v>
      </c>
      <c r="H669" s="54"/>
      <c r="I669" s="55">
        <v>0</v>
      </c>
      <c r="K669" s="51" t="s">
        <v>5015</v>
      </c>
    </row>
    <row r="670" spans="1:11">
      <c r="A670" s="51">
        <v>641</v>
      </c>
      <c r="B670" s="51" t="s">
        <v>5014</v>
      </c>
      <c r="C670" s="51" t="s">
        <v>5015</v>
      </c>
      <c r="D670" s="52" t="s">
        <v>827</v>
      </c>
      <c r="E670" s="52" t="s">
        <v>826</v>
      </c>
      <c r="F670" s="53" t="s">
        <v>4871</v>
      </c>
      <c r="G670" s="51" t="s">
        <v>4812</v>
      </c>
      <c r="H670" s="54"/>
      <c r="I670" s="55">
        <v>0</v>
      </c>
      <c r="K670" s="51" t="s">
        <v>5015</v>
      </c>
    </row>
    <row r="671" spans="1:11">
      <c r="A671" s="51">
        <v>642</v>
      </c>
      <c r="B671" s="51" t="s">
        <v>5014</v>
      </c>
      <c r="C671" s="51" t="s">
        <v>5015</v>
      </c>
      <c r="D671" s="52" t="s">
        <v>889</v>
      </c>
      <c r="E671" s="52" t="s">
        <v>888</v>
      </c>
      <c r="F671" s="53" t="s">
        <v>4873</v>
      </c>
      <c r="G671" s="51" t="s">
        <v>4812</v>
      </c>
      <c r="H671" s="54"/>
      <c r="I671" s="55">
        <v>56</v>
      </c>
      <c r="K671" s="51" t="s">
        <v>5015</v>
      </c>
    </row>
    <row r="672" spans="1:11">
      <c r="A672" s="51">
        <v>643</v>
      </c>
      <c r="B672" s="51" t="s">
        <v>5014</v>
      </c>
      <c r="C672" s="51" t="s">
        <v>5015</v>
      </c>
      <c r="D672" s="52" t="s">
        <v>889</v>
      </c>
      <c r="E672" s="52" t="s">
        <v>888</v>
      </c>
      <c r="F672" s="53" t="s">
        <v>4873</v>
      </c>
      <c r="G672" s="51" t="s">
        <v>4812</v>
      </c>
      <c r="H672" s="54"/>
      <c r="I672" s="55">
        <v>56</v>
      </c>
      <c r="K672" s="51" t="s">
        <v>5015</v>
      </c>
    </row>
    <row r="673" spans="1:11">
      <c r="A673" s="51">
        <v>644</v>
      </c>
      <c r="B673" s="51" t="s">
        <v>5014</v>
      </c>
      <c r="C673" s="51" t="s">
        <v>5015</v>
      </c>
      <c r="D673" s="52" t="s">
        <v>889</v>
      </c>
      <c r="E673" s="52" t="s">
        <v>888</v>
      </c>
      <c r="F673" s="53" t="s">
        <v>4873</v>
      </c>
      <c r="G673" s="51" t="s">
        <v>4812</v>
      </c>
      <c r="H673" s="54"/>
      <c r="I673" s="55">
        <v>56</v>
      </c>
      <c r="K673" s="51" t="s">
        <v>5015</v>
      </c>
    </row>
    <row r="674" spans="1:11">
      <c r="A674" s="51">
        <v>645</v>
      </c>
      <c r="B674" s="51" t="s">
        <v>5014</v>
      </c>
      <c r="C674" s="51" t="s">
        <v>5015</v>
      </c>
      <c r="D674" s="52" t="s">
        <v>889</v>
      </c>
      <c r="E674" s="52" t="s">
        <v>888</v>
      </c>
      <c r="F674" s="53" t="s">
        <v>4873</v>
      </c>
      <c r="G674" s="51" t="s">
        <v>4812</v>
      </c>
      <c r="H674" s="54"/>
      <c r="I674" s="55">
        <v>56</v>
      </c>
      <c r="K674" s="51" t="s">
        <v>5015</v>
      </c>
    </row>
    <row r="675" spans="1:11">
      <c r="A675" s="51">
        <v>646</v>
      </c>
      <c r="B675" s="51" t="s">
        <v>5014</v>
      </c>
      <c r="C675" s="51" t="s">
        <v>5015</v>
      </c>
      <c r="D675" s="52" t="s">
        <v>889</v>
      </c>
      <c r="E675" s="52" t="s">
        <v>888</v>
      </c>
      <c r="F675" s="53" t="s">
        <v>4873</v>
      </c>
      <c r="G675" s="51" t="s">
        <v>4812</v>
      </c>
      <c r="H675" s="54"/>
      <c r="I675" s="55">
        <v>28</v>
      </c>
      <c r="K675" s="51" t="s">
        <v>5015</v>
      </c>
    </row>
    <row r="676" spans="1:11">
      <c r="A676" s="51">
        <v>647</v>
      </c>
      <c r="B676" s="51" t="s">
        <v>5014</v>
      </c>
      <c r="C676" s="51" t="s">
        <v>5015</v>
      </c>
      <c r="D676" s="52" t="s">
        <v>889</v>
      </c>
      <c r="E676" s="52" t="s">
        <v>888</v>
      </c>
      <c r="F676" s="53" t="s">
        <v>4873</v>
      </c>
      <c r="G676" s="51" t="s">
        <v>4812</v>
      </c>
      <c r="H676" s="54"/>
      <c r="I676" s="55">
        <v>0</v>
      </c>
      <c r="K676" s="51" t="s">
        <v>5015</v>
      </c>
    </row>
    <row r="677" spans="1:11">
      <c r="A677" s="51">
        <v>648</v>
      </c>
      <c r="B677" s="51" t="s">
        <v>5014</v>
      </c>
      <c r="C677" s="51" t="s">
        <v>5015</v>
      </c>
      <c r="D677" s="52" t="s">
        <v>889</v>
      </c>
      <c r="E677" s="52" t="s">
        <v>888</v>
      </c>
      <c r="F677" s="53" t="s">
        <v>4873</v>
      </c>
      <c r="G677" s="51" t="s">
        <v>4812</v>
      </c>
      <c r="H677" s="54"/>
      <c r="I677" s="55">
        <v>0</v>
      </c>
      <c r="K677" s="51" t="s">
        <v>5015</v>
      </c>
    </row>
    <row r="678" spans="1:11">
      <c r="A678" s="51">
        <v>649</v>
      </c>
      <c r="B678" s="51" t="s">
        <v>5014</v>
      </c>
      <c r="C678" s="51" t="s">
        <v>5015</v>
      </c>
      <c r="D678" s="52" t="s">
        <v>889</v>
      </c>
      <c r="E678" s="52" t="s">
        <v>888</v>
      </c>
      <c r="F678" s="53" t="s">
        <v>4873</v>
      </c>
      <c r="G678" s="51" t="s">
        <v>4812</v>
      </c>
      <c r="H678" s="54"/>
      <c r="I678" s="55">
        <v>0</v>
      </c>
      <c r="K678" s="51" t="s">
        <v>5015</v>
      </c>
    </row>
    <row r="679" spans="1:11">
      <c r="A679" s="51">
        <v>650</v>
      </c>
      <c r="B679" s="51" t="s">
        <v>5014</v>
      </c>
      <c r="C679" s="51" t="s">
        <v>5015</v>
      </c>
      <c r="D679" s="52" t="s">
        <v>889</v>
      </c>
      <c r="E679" s="52" t="s">
        <v>888</v>
      </c>
      <c r="F679" s="53" t="s">
        <v>4873</v>
      </c>
      <c r="G679" s="51" t="s">
        <v>4812</v>
      </c>
      <c r="H679" s="54"/>
      <c r="I679" s="55">
        <v>0</v>
      </c>
      <c r="K679" s="51" t="s">
        <v>5015</v>
      </c>
    </row>
    <row r="680" spans="1:11">
      <c r="A680" s="51">
        <v>651</v>
      </c>
      <c r="B680" s="51" t="s">
        <v>5014</v>
      </c>
      <c r="C680" s="51" t="s">
        <v>5015</v>
      </c>
      <c r="D680" s="52" t="s">
        <v>889</v>
      </c>
      <c r="E680" s="52" t="s">
        <v>888</v>
      </c>
      <c r="F680" s="53" t="s">
        <v>4873</v>
      </c>
      <c r="G680" s="51" t="s">
        <v>4812</v>
      </c>
      <c r="H680" s="54"/>
      <c r="I680" s="55">
        <v>0</v>
      </c>
      <c r="K680" s="51" t="s">
        <v>5015</v>
      </c>
    </row>
    <row r="681" spans="1:11">
      <c r="A681" s="51">
        <v>652</v>
      </c>
      <c r="B681" s="51" t="s">
        <v>5014</v>
      </c>
      <c r="C681" s="51" t="s">
        <v>5015</v>
      </c>
      <c r="D681" s="52" t="s">
        <v>1027</v>
      </c>
      <c r="E681" s="52" t="s">
        <v>1026</v>
      </c>
      <c r="F681" s="53" t="s">
        <v>4859</v>
      </c>
      <c r="G681" s="51" t="s">
        <v>4812</v>
      </c>
      <c r="H681" s="54"/>
      <c r="I681" s="55">
        <v>40</v>
      </c>
      <c r="K681" s="51" t="s">
        <v>5015</v>
      </c>
    </row>
    <row r="682" spans="1:11">
      <c r="A682" s="51">
        <v>653</v>
      </c>
      <c r="B682" s="51" t="s">
        <v>5014</v>
      </c>
      <c r="C682" s="51" t="s">
        <v>5015</v>
      </c>
      <c r="D682" s="52" t="s">
        <v>1027</v>
      </c>
      <c r="E682" s="52" t="s">
        <v>1026</v>
      </c>
      <c r="F682" s="53" t="s">
        <v>4859</v>
      </c>
      <c r="G682" s="51" t="s">
        <v>4812</v>
      </c>
      <c r="H682" s="54"/>
      <c r="I682" s="55">
        <v>40</v>
      </c>
      <c r="K682" s="51" t="s">
        <v>5015</v>
      </c>
    </row>
    <row r="683" spans="1:11">
      <c r="A683" s="51">
        <v>654</v>
      </c>
      <c r="B683" s="51" t="s">
        <v>5014</v>
      </c>
      <c r="C683" s="51" t="s">
        <v>5015</v>
      </c>
      <c r="D683" s="52" t="s">
        <v>1027</v>
      </c>
      <c r="E683" s="52" t="s">
        <v>1026</v>
      </c>
      <c r="F683" s="53" t="s">
        <v>4859</v>
      </c>
      <c r="G683" s="51" t="s">
        <v>4812</v>
      </c>
      <c r="H683" s="54"/>
      <c r="I683" s="55">
        <v>40</v>
      </c>
      <c r="K683" s="51" t="s">
        <v>5015</v>
      </c>
    </row>
    <row r="684" spans="1:11">
      <c r="A684" s="51">
        <v>655</v>
      </c>
      <c r="B684" s="51" t="s">
        <v>5014</v>
      </c>
      <c r="C684" s="51" t="s">
        <v>5015</v>
      </c>
      <c r="D684" s="52" t="s">
        <v>1027</v>
      </c>
      <c r="E684" s="52" t="s">
        <v>1026</v>
      </c>
      <c r="F684" s="53" t="s">
        <v>4859</v>
      </c>
      <c r="G684" s="51" t="s">
        <v>4812</v>
      </c>
      <c r="H684" s="54"/>
      <c r="I684" s="55">
        <v>40</v>
      </c>
      <c r="K684" s="51" t="s">
        <v>5015</v>
      </c>
    </row>
    <row r="685" spans="1:11">
      <c r="A685" s="51">
        <v>656</v>
      </c>
      <c r="B685" s="51" t="s">
        <v>5014</v>
      </c>
      <c r="C685" s="51" t="s">
        <v>5015</v>
      </c>
      <c r="D685" s="52" t="s">
        <v>1027</v>
      </c>
      <c r="E685" s="52" t="s">
        <v>1026</v>
      </c>
      <c r="F685" s="53" t="s">
        <v>4859</v>
      </c>
      <c r="G685" s="51" t="s">
        <v>4812</v>
      </c>
      <c r="H685" s="54"/>
      <c r="I685" s="55">
        <v>27</v>
      </c>
      <c r="K685" s="51" t="s">
        <v>5015</v>
      </c>
    </row>
    <row r="686" spans="1:11">
      <c r="A686" s="51">
        <v>657</v>
      </c>
      <c r="B686" s="51" t="s">
        <v>5014</v>
      </c>
      <c r="C686" s="51" t="s">
        <v>5015</v>
      </c>
      <c r="D686" s="52" t="s">
        <v>1027</v>
      </c>
      <c r="E686" s="52" t="s">
        <v>1026</v>
      </c>
      <c r="F686" s="53" t="s">
        <v>4859</v>
      </c>
      <c r="G686" s="51" t="s">
        <v>4812</v>
      </c>
      <c r="H686" s="54"/>
      <c r="I686" s="55">
        <v>0</v>
      </c>
      <c r="K686" s="51" t="s">
        <v>5015</v>
      </c>
    </row>
    <row r="687" spans="1:11">
      <c r="A687" s="51">
        <v>658</v>
      </c>
      <c r="B687" s="51" t="s">
        <v>5014</v>
      </c>
      <c r="C687" s="51" t="s">
        <v>5015</v>
      </c>
      <c r="D687" s="52" t="s">
        <v>1027</v>
      </c>
      <c r="E687" s="52" t="s">
        <v>1026</v>
      </c>
      <c r="F687" s="53" t="s">
        <v>4859</v>
      </c>
      <c r="G687" s="51" t="s">
        <v>4812</v>
      </c>
      <c r="H687" s="54"/>
      <c r="I687" s="55">
        <v>0</v>
      </c>
      <c r="K687" s="51" t="s">
        <v>5015</v>
      </c>
    </row>
    <row r="688" spans="1:11">
      <c r="A688" s="51">
        <v>659</v>
      </c>
      <c r="B688" s="51" t="s">
        <v>5014</v>
      </c>
      <c r="C688" s="51" t="s">
        <v>5015</v>
      </c>
      <c r="D688" s="52" t="s">
        <v>1027</v>
      </c>
      <c r="E688" s="52" t="s">
        <v>1026</v>
      </c>
      <c r="F688" s="53" t="s">
        <v>4859</v>
      </c>
      <c r="G688" s="51" t="s">
        <v>4812</v>
      </c>
      <c r="H688" s="54"/>
      <c r="I688" s="55">
        <v>0</v>
      </c>
      <c r="K688" s="51" t="s">
        <v>5015</v>
      </c>
    </row>
    <row r="689" spans="1:11">
      <c r="A689" s="51">
        <v>660</v>
      </c>
      <c r="B689" s="51" t="s">
        <v>5014</v>
      </c>
      <c r="C689" s="51" t="s">
        <v>5015</v>
      </c>
      <c r="D689" s="52" t="s">
        <v>1027</v>
      </c>
      <c r="E689" s="52" t="s">
        <v>1026</v>
      </c>
      <c r="F689" s="53" t="s">
        <v>4859</v>
      </c>
      <c r="G689" s="51" t="s">
        <v>4812</v>
      </c>
      <c r="H689" s="54"/>
      <c r="I689" s="55">
        <v>0</v>
      </c>
      <c r="K689" s="51" t="s">
        <v>5015</v>
      </c>
    </row>
    <row r="690" spans="1:11">
      <c r="A690" s="51">
        <v>661</v>
      </c>
      <c r="B690" s="51" t="s">
        <v>5014</v>
      </c>
      <c r="C690" s="51" t="s">
        <v>5015</v>
      </c>
      <c r="D690" s="52" t="s">
        <v>1027</v>
      </c>
      <c r="E690" s="52" t="s">
        <v>1026</v>
      </c>
      <c r="F690" s="53" t="s">
        <v>4859</v>
      </c>
      <c r="G690" s="51" t="s">
        <v>4812</v>
      </c>
      <c r="H690" s="54"/>
      <c r="I690" s="55">
        <v>0</v>
      </c>
      <c r="K690" s="51" t="s">
        <v>5015</v>
      </c>
    </row>
    <row r="691" spans="1:11">
      <c r="A691" s="51">
        <v>662</v>
      </c>
      <c r="B691" s="51" t="s">
        <v>5014</v>
      </c>
      <c r="C691" s="51" t="s">
        <v>5015</v>
      </c>
      <c r="D691" s="52" t="s">
        <v>5090</v>
      </c>
      <c r="E691" s="52" t="s">
        <v>5091</v>
      </c>
      <c r="F691" s="53"/>
      <c r="G691" s="51" t="s">
        <v>4812</v>
      </c>
      <c r="H691" s="54"/>
      <c r="I691" s="55">
        <v>15</v>
      </c>
      <c r="K691" s="51" t="s">
        <v>5015</v>
      </c>
    </row>
    <row r="692" spans="1:11">
      <c r="A692" s="51">
        <v>663</v>
      </c>
      <c r="B692" s="51" t="s">
        <v>5014</v>
      </c>
      <c r="C692" s="51" t="s">
        <v>5015</v>
      </c>
      <c r="D692" s="52" t="s">
        <v>5090</v>
      </c>
      <c r="E692" s="52" t="s">
        <v>5091</v>
      </c>
      <c r="F692" s="53"/>
      <c r="G692" s="51" t="s">
        <v>4812</v>
      </c>
      <c r="H692" s="54"/>
      <c r="I692" s="55">
        <v>18</v>
      </c>
      <c r="K692" s="51" t="s">
        <v>5015</v>
      </c>
    </row>
    <row r="693" spans="1:11">
      <c r="A693" s="51">
        <v>664</v>
      </c>
      <c r="B693" s="51" t="s">
        <v>5014</v>
      </c>
      <c r="C693" s="51" t="s">
        <v>5015</v>
      </c>
      <c r="D693" s="52" t="s">
        <v>5090</v>
      </c>
      <c r="E693" s="52" t="s">
        <v>5091</v>
      </c>
      <c r="F693" s="53"/>
      <c r="G693" s="51" t="s">
        <v>4812</v>
      </c>
      <c r="H693" s="54"/>
      <c r="I693" s="55">
        <v>18</v>
      </c>
      <c r="K693" s="51" t="s">
        <v>5015</v>
      </c>
    </row>
    <row r="694" spans="1:11">
      <c r="A694" s="51">
        <v>665</v>
      </c>
      <c r="B694" s="51" t="s">
        <v>5014</v>
      </c>
      <c r="C694" s="51" t="s">
        <v>5015</v>
      </c>
      <c r="D694" s="52" t="s">
        <v>5090</v>
      </c>
      <c r="E694" s="52" t="s">
        <v>5091</v>
      </c>
      <c r="F694" s="53"/>
      <c r="G694" s="51" t="s">
        <v>4812</v>
      </c>
      <c r="H694" s="54"/>
      <c r="I694" s="55">
        <v>18</v>
      </c>
      <c r="K694" s="51" t="s">
        <v>5015</v>
      </c>
    </row>
    <row r="695" spans="1:11">
      <c r="A695" s="51">
        <v>666</v>
      </c>
      <c r="B695" s="51" t="s">
        <v>5014</v>
      </c>
      <c r="C695" s="51" t="s">
        <v>5015</v>
      </c>
      <c r="D695" s="52" t="s">
        <v>5090</v>
      </c>
      <c r="E695" s="52" t="s">
        <v>5091</v>
      </c>
      <c r="F695" s="53"/>
      <c r="G695" s="51" t="s">
        <v>4812</v>
      </c>
      <c r="H695" s="54"/>
      <c r="I695" s="55">
        <v>18</v>
      </c>
      <c r="K695" s="51" t="s">
        <v>5015</v>
      </c>
    </row>
    <row r="696" spans="1:11">
      <c r="A696" s="51">
        <v>667</v>
      </c>
      <c r="B696" s="51" t="s">
        <v>5014</v>
      </c>
      <c r="C696" s="51" t="s">
        <v>5015</v>
      </c>
      <c r="D696" s="52" t="s">
        <v>5090</v>
      </c>
      <c r="E696" s="52" t="s">
        <v>5091</v>
      </c>
      <c r="F696" s="53"/>
      <c r="G696" s="51" t="s">
        <v>4812</v>
      </c>
      <c r="H696" s="54"/>
      <c r="I696" s="55">
        <v>18</v>
      </c>
      <c r="K696" s="51" t="s">
        <v>5015</v>
      </c>
    </row>
    <row r="697" spans="1:11">
      <c r="A697" s="51">
        <v>668</v>
      </c>
      <c r="B697" s="51" t="s">
        <v>5014</v>
      </c>
      <c r="C697" s="51" t="s">
        <v>5015</v>
      </c>
      <c r="D697" s="52" t="s">
        <v>5090</v>
      </c>
      <c r="E697" s="52" t="s">
        <v>5091</v>
      </c>
      <c r="F697" s="53"/>
      <c r="G697" s="51" t="s">
        <v>4812</v>
      </c>
      <c r="H697" s="54"/>
      <c r="I697" s="55">
        <v>18</v>
      </c>
      <c r="K697" s="51" t="s">
        <v>5015</v>
      </c>
    </row>
    <row r="698" spans="1:11">
      <c r="A698" s="51">
        <v>669</v>
      </c>
      <c r="B698" s="51" t="s">
        <v>5014</v>
      </c>
      <c r="C698" s="51" t="s">
        <v>5015</v>
      </c>
      <c r="D698" s="52" t="s">
        <v>5090</v>
      </c>
      <c r="E698" s="52" t="s">
        <v>5091</v>
      </c>
      <c r="F698" s="53"/>
      <c r="G698" s="51" t="s">
        <v>4812</v>
      </c>
      <c r="H698" s="54"/>
      <c r="I698" s="55">
        <v>18</v>
      </c>
      <c r="K698" s="51" t="s">
        <v>5015</v>
      </c>
    </row>
    <row r="699" spans="1:11">
      <c r="A699" s="51">
        <v>670</v>
      </c>
      <c r="B699" s="51" t="s">
        <v>5014</v>
      </c>
      <c r="C699" s="51" t="s">
        <v>5015</v>
      </c>
      <c r="D699" s="52" t="s">
        <v>5090</v>
      </c>
      <c r="E699" s="52" t="s">
        <v>5091</v>
      </c>
      <c r="F699" s="53"/>
      <c r="G699" s="51" t="s">
        <v>4812</v>
      </c>
      <c r="H699" s="54"/>
      <c r="I699" s="55">
        <v>18</v>
      </c>
      <c r="K699" s="51" t="s">
        <v>5015</v>
      </c>
    </row>
    <row r="700" spans="1:11">
      <c r="A700" s="51">
        <v>671</v>
      </c>
      <c r="B700" s="51" t="s">
        <v>5014</v>
      </c>
      <c r="C700" s="51" t="s">
        <v>5015</v>
      </c>
      <c r="D700" s="52" t="s">
        <v>5090</v>
      </c>
      <c r="E700" s="52" t="s">
        <v>5091</v>
      </c>
      <c r="F700" s="53"/>
      <c r="G700" s="51" t="s">
        <v>4812</v>
      </c>
      <c r="H700" s="54"/>
      <c r="I700" s="55">
        <v>18</v>
      </c>
      <c r="K700" s="51" t="s">
        <v>5015</v>
      </c>
    </row>
    <row r="701" spans="1:11">
      <c r="A701" s="51">
        <v>672</v>
      </c>
      <c r="B701" s="51" t="s">
        <v>5014</v>
      </c>
      <c r="C701" s="51" t="s">
        <v>5015</v>
      </c>
      <c r="D701" s="52" t="s">
        <v>5090</v>
      </c>
      <c r="E701" s="52" t="s">
        <v>5091</v>
      </c>
      <c r="F701" s="53"/>
      <c r="G701" s="51" t="s">
        <v>4812</v>
      </c>
      <c r="H701" s="54"/>
      <c r="I701" s="55">
        <v>18</v>
      </c>
      <c r="K701" s="51" t="s">
        <v>5015</v>
      </c>
    </row>
    <row r="702" spans="1:11">
      <c r="A702" s="51">
        <v>673</v>
      </c>
      <c r="B702" s="51" t="s">
        <v>5014</v>
      </c>
      <c r="C702" s="51" t="s">
        <v>5015</v>
      </c>
      <c r="D702" s="52" t="s">
        <v>5090</v>
      </c>
      <c r="E702" s="52" t="s">
        <v>5091</v>
      </c>
      <c r="F702" s="53"/>
      <c r="G702" s="51" t="s">
        <v>4812</v>
      </c>
      <c r="H702" s="54"/>
      <c r="I702" s="55">
        <v>18</v>
      </c>
      <c r="K702" s="51" t="s">
        <v>5015</v>
      </c>
    </row>
    <row r="703" spans="1:11">
      <c r="A703" s="51">
        <v>674</v>
      </c>
      <c r="B703" s="51" t="s">
        <v>5014</v>
      </c>
      <c r="C703" s="51" t="s">
        <v>5015</v>
      </c>
      <c r="D703" s="52" t="s">
        <v>5090</v>
      </c>
      <c r="E703" s="52" t="s">
        <v>5091</v>
      </c>
      <c r="F703" s="53"/>
      <c r="G703" s="51" t="s">
        <v>4812</v>
      </c>
      <c r="H703" s="54"/>
      <c r="I703" s="55">
        <v>0</v>
      </c>
      <c r="K703" s="51" t="s">
        <v>5015</v>
      </c>
    </row>
    <row r="704" spans="1:11">
      <c r="A704" s="51">
        <v>675</v>
      </c>
      <c r="B704" s="51" t="s">
        <v>5014</v>
      </c>
      <c r="C704" s="51" t="s">
        <v>5015</v>
      </c>
      <c r="D704" s="52" t="s">
        <v>5090</v>
      </c>
      <c r="E704" s="52" t="s">
        <v>5091</v>
      </c>
      <c r="F704" s="53"/>
      <c r="G704" s="51" t="s">
        <v>4812</v>
      </c>
      <c r="H704" s="54"/>
      <c r="I704" s="55">
        <v>0</v>
      </c>
      <c r="K704" s="51" t="s">
        <v>5015</v>
      </c>
    </row>
    <row r="705" spans="1:11">
      <c r="A705" s="51">
        <v>676</v>
      </c>
      <c r="B705" s="51" t="s">
        <v>5014</v>
      </c>
      <c r="C705" s="51" t="s">
        <v>5015</v>
      </c>
      <c r="D705" s="52" t="s">
        <v>5090</v>
      </c>
      <c r="E705" s="52" t="s">
        <v>5091</v>
      </c>
      <c r="F705" s="53"/>
      <c r="G705" s="51" t="s">
        <v>4812</v>
      </c>
      <c r="H705" s="54"/>
      <c r="I705" s="55">
        <v>0</v>
      </c>
      <c r="K705" s="51" t="s">
        <v>5015</v>
      </c>
    </row>
    <row r="706" spans="1:11">
      <c r="A706" s="51">
        <v>677</v>
      </c>
      <c r="B706" s="51" t="s">
        <v>5014</v>
      </c>
      <c r="C706" s="51" t="s">
        <v>5015</v>
      </c>
      <c r="D706" s="52" t="s">
        <v>5092</v>
      </c>
      <c r="E706" s="52" t="s">
        <v>5093</v>
      </c>
      <c r="F706" s="53"/>
      <c r="G706" s="51" t="s">
        <v>4812</v>
      </c>
      <c r="H706" s="54"/>
      <c r="I706" s="55">
        <v>14</v>
      </c>
      <c r="K706" s="51" t="s">
        <v>5015</v>
      </c>
    </row>
    <row r="707" spans="1:11">
      <c r="A707" s="51">
        <v>678</v>
      </c>
      <c r="B707" s="51" t="s">
        <v>5014</v>
      </c>
      <c r="C707" s="51" t="s">
        <v>5015</v>
      </c>
      <c r="D707" s="52" t="s">
        <v>5092</v>
      </c>
      <c r="E707" s="52" t="s">
        <v>5093</v>
      </c>
      <c r="F707" s="53"/>
      <c r="G707" s="51" t="s">
        <v>4812</v>
      </c>
      <c r="H707" s="54"/>
      <c r="I707" s="55">
        <v>18</v>
      </c>
      <c r="K707" s="51" t="s">
        <v>5015</v>
      </c>
    </row>
    <row r="708" spans="1:11">
      <c r="A708" s="51">
        <v>679</v>
      </c>
      <c r="B708" s="51" t="s">
        <v>5014</v>
      </c>
      <c r="C708" s="51" t="s">
        <v>5015</v>
      </c>
      <c r="D708" s="52" t="s">
        <v>5092</v>
      </c>
      <c r="E708" s="52" t="s">
        <v>5093</v>
      </c>
      <c r="F708" s="53"/>
      <c r="G708" s="51" t="s">
        <v>4812</v>
      </c>
      <c r="H708" s="54"/>
      <c r="I708" s="55">
        <v>18</v>
      </c>
      <c r="K708" s="51" t="s">
        <v>5015</v>
      </c>
    </row>
    <row r="709" spans="1:11">
      <c r="A709" s="51">
        <v>680</v>
      </c>
      <c r="B709" s="51" t="s">
        <v>5014</v>
      </c>
      <c r="C709" s="51" t="s">
        <v>5015</v>
      </c>
      <c r="D709" s="52" t="s">
        <v>5092</v>
      </c>
      <c r="E709" s="52" t="s">
        <v>5093</v>
      </c>
      <c r="F709" s="53"/>
      <c r="G709" s="51" t="s">
        <v>4812</v>
      </c>
      <c r="H709" s="54"/>
      <c r="I709" s="55">
        <v>18</v>
      </c>
      <c r="K709" s="51" t="s">
        <v>5015</v>
      </c>
    </row>
    <row r="710" spans="1:11">
      <c r="A710" s="51">
        <v>681</v>
      </c>
      <c r="B710" s="51" t="s">
        <v>5014</v>
      </c>
      <c r="C710" s="51" t="s">
        <v>5015</v>
      </c>
      <c r="D710" s="52" t="s">
        <v>5092</v>
      </c>
      <c r="E710" s="52" t="s">
        <v>5093</v>
      </c>
      <c r="F710" s="53"/>
      <c r="G710" s="51" t="s">
        <v>4812</v>
      </c>
      <c r="H710" s="54"/>
      <c r="I710" s="55">
        <v>18</v>
      </c>
      <c r="K710" s="51" t="s">
        <v>5015</v>
      </c>
    </row>
    <row r="711" spans="1:11">
      <c r="A711" s="51">
        <v>682</v>
      </c>
      <c r="B711" s="51" t="s">
        <v>5014</v>
      </c>
      <c r="C711" s="51" t="s">
        <v>5015</v>
      </c>
      <c r="D711" s="52" t="s">
        <v>5092</v>
      </c>
      <c r="E711" s="52" t="s">
        <v>5093</v>
      </c>
      <c r="F711" s="53"/>
      <c r="G711" s="51" t="s">
        <v>4812</v>
      </c>
      <c r="H711" s="54"/>
      <c r="I711" s="55">
        <v>18</v>
      </c>
      <c r="K711" s="51" t="s">
        <v>5015</v>
      </c>
    </row>
    <row r="712" spans="1:11">
      <c r="A712" s="51">
        <v>683</v>
      </c>
      <c r="B712" s="51" t="s">
        <v>5014</v>
      </c>
      <c r="C712" s="51" t="s">
        <v>5015</v>
      </c>
      <c r="D712" s="52" t="s">
        <v>5092</v>
      </c>
      <c r="E712" s="52" t="s">
        <v>5093</v>
      </c>
      <c r="F712" s="53"/>
      <c r="G712" s="51" t="s">
        <v>4812</v>
      </c>
      <c r="H712" s="54"/>
      <c r="I712" s="55">
        <v>18</v>
      </c>
      <c r="K712" s="51" t="s">
        <v>5015</v>
      </c>
    </row>
    <row r="713" spans="1:11">
      <c r="A713" s="51">
        <v>684</v>
      </c>
      <c r="B713" s="51" t="s">
        <v>5014</v>
      </c>
      <c r="C713" s="51" t="s">
        <v>5015</v>
      </c>
      <c r="D713" s="52" t="s">
        <v>5092</v>
      </c>
      <c r="E713" s="52" t="s">
        <v>5093</v>
      </c>
      <c r="F713" s="53"/>
      <c r="G713" s="51" t="s">
        <v>4812</v>
      </c>
      <c r="H713" s="54"/>
      <c r="I713" s="55">
        <v>0</v>
      </c>
      <c r="K713" s="51" t="s">
        <v>5015</v>
      </c>
    </row>
    <row r="714" spans="1:11">
      <c r="A714" s="51">
        <v>685</v>
      </c>
      <c r="B714" s="51" t="s">
        <v>5014</v>
      </c>
      <c r="C714" s="51" t="s">
        <v>5015</v>
      </c>
      <c r="D714" s="52" t="s">
        <v>5092</v>
      </c>
      <c r="E714" s="52" t="s">
        <v>5093</v>
      </c>
      <c r="F714" s="53"/>
      <c r="G714" s="51" t="s">
        <v>4812</v>
      </c>
      <c r="H714" s="54"/>
      <c r="I714" s="55">
        <v>0</v>
      </c>
      <c r="K714" s="51" t="s">
        <v>5015</v>
      </c>
    </row>
    <row r="715" spans="1:11">
      <c r="A715" s="51">
        <v>686</v>
      </c>
      <c r="B715" s="51" t="s">
        <v>5014</v>
      </c>
      <c r="C715" s="51" t="s">
        <v>5015</v>
      </c>
      <c r="D715" s="52" t="s">
        <v>5092</v>
      </c>
      <c r="E715" s="52" t="s">
        <v>5093</v>
      </c>
      <c r="F715" s="53"/>
      <c r="G715" s="51" t="s">
        <v>4812</v>
      </c>
      <c r="H715" s="54"/>
      <c r="I715" s="55">
        <v>0</v>
      </c>
      <c r="K715" s="51" t="s">
        <v>5015</v>
      </c>
    </row>
    <row r="716" spans="1:11">
      <c r="A716" s="51">
        <v>687</v>
      </c>
      <c r="B716" s="51" t="s">
        <v>5014</v>
      </c>
      <c r="C716" s="51" t="s">
        <v>5015</v>
      </c>
      <c r="D716" s="52" t="s">
        <v>5092</v>
      </c>
      <c r="E716" s="52" t="s">
        <v>5093</v>
      </c>
      <c r="F716" s="53"/>
      <c r="G716" s="51" t="s">
        <v>4812</v>
      </c>
      <c r="H716" s="54"/>
      <c r="I716" s="55">
        <v>0</v>
      </c>
      <c r="K716" s="51" t="s">
        <v>5015</v>
      </c>
    </row>
    <row r="717" spans="1:11">
      <c r="A717" s="51">
        <v>688</v>
      </c>
      <c r="B717" s="51" t="s">
        <v>5014</v>
      </c>
      <c r="C717" s="51" t="s">
        <v>5015</v>
      </c>
      <c r="D717" s="52" t="s">
        <v>5092</v>
      </c>
      <c r="E717" s="52" t="s">
        <v>5093</v>
      </c>
      <c r="F717" s="53"/>
      <c r="G717" s="51" t="s">
        <v>4812</v>
      </c>
      <c r="H717" s="54"/>
      <c r="I717" s="55">
        <v>0</v>
      </c>
      <c r="K717" s="51" t="s">
        <v>5015</v>
      </c>
    </row>
    <row r="718" spans="1:11">
      <c r="A718" s="51">
        <v>689</v>
      </c>
      <c r="B718" s="51" t="s">
        <v>5014</v>
      </c>
      <c r="C718" s="51" t="s">
        <v>5015</v>
      </c>
      <c r="D718" s="52" t="s">
        <v>5092</v>
      </c>
      <c r="E718" s="52" t="s">
        <v>5093</v>
      </c>
      <c r="F718" s="53"/>
      <c r="G718" s="51" t="s">
        <v>4812</v>
      </c>
      <c r="H718" s="54"/>
      <c r="I718" s="55">
        <v>0</v>
      </c>
      <c r="K718" s="51" t="s">
        <v>5015</v>
      </c>
    </row>
    <row r="719" spans="1:11">
      <c r="A719" s="51">
        <v>690</v>
      </c>
      <c r="B719" s="51" t="s">
        <v>5014</v>
      </c>
      <c r="C719" s="51" t="s">
        <v>5015</v>
      </c>
      <c r="D719" s="52" t="s">
        <v>5092</v>
      </c>
      <c r="E719" s="52" t="s">
        <v>5093</v>
      </c>
      <c r="F719" s="53"/>
      <c r="G719" s="51" t="s">
        <v>4812</v>
      </c>
      <c r="H719" s="54"/>
      <c r="I719" s="55">
        <v>0</v>
      </c>
      <c r="K719" s="51" t="s">
        <v>5015</v>
      </c>
    </row>
    <row r="720" spans="1:11">
      <c r="A720" s="51">
        <v>691</v>
      </c>
      <c r="B720" s="51" t="s">
        <v>5014</v>
      </c>
      <c r="C720" s="51" t="s">
        <v>5015</v>
      </c>
      <c r="D720" s="52" t="s">
        <v>5092</v>
      </c>
      <c r="E720" s="52" t="s">
        <v>5093</v>
      </c>
      <c r="F720" s="53"/>
      <c r="G720" s="51" t="s">
        <v>4812</v>
      </c>
      <c r="H720" s="54"/>
      <c r="I720" s="55">
        <v>0</v>
      </c>
      <c r="K720" s="51" t="s">
        <v>5015</v>
      </c>
    </row>
    <row r="721" spans="1:11">
      <c r="A721" s="51">
        <v>692</v>
      </c>
      <c r="B721" s="51" t="s">
        <v>5014</v>
      </c>
      <c r="C721" s="51" t="s">
        <v>5015</v>
      </c>
      <c r="D721" s="52" t="s">
        <v>5094</v>
      </c>
      <c r="E721" s="52" t="s">
        <v>5095</v>
      </c>
      <c r="F721" s="53"/>
      <c r="G721" s="51" t="s">
        <v>4812</v>
      </c>
      <c r="H721" s="54"/>
      <c r="I721" s="55">
        <v>18</v>
      </c>
      <c r="K721" s="51" t="s">
        <v>5015</v>
      </c>
    </row>
    <row r="722" spans="1:11">
      <c r="A722" s="51">
        <v>693</v>
      </c>
      <c r="B722" s="51" t="s">
        <v>5014</v>
      </c>
      <c r="C722" s="51" t="s">
        <v>5015</v>
      </c>
      <c r="D722" s="52" t="s">
        <v>5094</v>
      </c>
      <c r="E722" s="52" t="s">
        <v>5095</v>
      </c>
      <c r="F722" s="53"/>
      <c r="G722" s="51" t="s">
        <v>4812</v>
      </c>
      <c r="H722" s="54"/>
      <c r="I722" s="55">
        <v>18</v>
      </c>
      <c r="K722" s="51" t="s">
        <v>5015</v>
      </c>
    </row>
    <row r="723" spans="1:11">
      <c r="A723" s="51">
        <v>694</v>
      </c>
      <c r="B723" s="51" t="s">
        <v>5014</v>
      </c>
      <c r="C723" s="51" t="s">
        <v>5015</v>
      </c>
      <c r="D723" s="52" t="s">
        <v>5094</v>
      </c>
      <c r="E723" s="52" t="s">
        <v>5095</v>
      </c>
      <c r="F723" s="53"/>
      <c r="G723" s="51" t="s">
        <v>4812</v>
      </c>
      <c r="H723" s="54"/>
      <c r="I723" s="55">
        <v>18</v>
      </c>
      <c r="K723" s="51" t="s">
        <v>5015</v>
      </c>
    </row>
    <row r="724" spans="1:11">
      <c r="A724" s="51">
        <v>695</v>
      </c>
      <c r="B724" s="51" t="s">
        <v>5014</v>
      </c>
      <c r="C724" s="51" t="s">
        <v>5015</v>
      </c>
      <c r="D724" s="52" t="s">
        <v>5094</v>
      </c>
      <c r="E724" s="52" t="s">
        <v>5095</v>
      </c>
      <c r="F724" s="53"/>
      <c r="G724" s="51" t="s">
        <v>4812</v>
      </c>
      <c r="H724" s="54"/>
      <c r="I724" s="55">
        <v>17</v>
      </c>
      <c r="K724" s="51" t="s">
        <v>5015</v>
      </c>
    </row>
    <row r="725" spans="1:11">
      <c r="A725" s="51">
        <v>696</v>
      </c>
      <c r="B725" s="51" t="s">
        <v>5014</v>
      </c>
      <c r="C725" s="51" t="s">
        <v>5015</v>
      </c>
      <c r="D725" s="52" t="s">
        <v>5094</v>
      </c>
      <c r="E725" s="52" t="s">
        <v>5095</v>
      </c>
      <c r="F725" s="53"/>
      <c r="G725" s="51" t="s">
        <v>4812</v>
      </c>
      <c r="H725" s="54"/>
      <c r="I725" s="55">
        <v>0</v>
      </c>
      <c r="K725" s="51" t="s">
        <v>5015</v>
      </c>
    </row>
    <row r="726" spans="1:11">
      <c r="A726" s="51">
        <v>697</v>
      </c>
      <c r="B726" s="51" t="s">
        <v>5014</v>
      </c>
      <c r="C726" s="51" t="s">
        <v>5015</v>
      </c>
      <c r="D726" s="52" t="s">
        <v>5094</v>
      </c>
      <c r="E726" s="52" t="s">
        <v>5095</v>
      </c>
      <c r="F726" s="53"/>
      <c r="G726" s="51" t="s">
        <v>4812</v>
      </c>
      <c r="H726" s="54"/>
      <c r="I726" s="55">
        <v>0</v>
      </c>
      <c r="K726" s="51" t="s">
        <v>5015</v>
      </c>
    </row>
    <row r="727" spans="1:11">
      <c r="A727" s="51">
        <v>698</v>
      </c>
      <c r="B727" s="51" t="s">
        <v>5014</v>
      </c>
      <c r="C727" s="51" t="s">
        <v>5015</v>
      </c>
      <c r="D727" s="52" t="s">
        <v>5094</v>
      </c>
      <c r="E727" s="52" t="s">
        <v>5095</v>
      </c>
      <c r="F727" s="53"/>
      <c r="G727" s="51" t="s">
        <v>4812</v>
      </c>
      <c r="H727" s="54"/>
      <c r="I727" s="55">
        <v>0</v>
      </c>
      <c r="K727" s="51" t="s">
        <v>5015</v>
      </c>
    </row>
    <row r="728" spans="1:11">
      <c r="A728" s="51">
        <v>699</v>
      </c>
      <c r="B728" s="51" t="s">
        <v>5014</v>
      </c>
      <c r="C728" s="51" t="s">
        <v>5015</v>
      </c>
      <c r="D728" s="52" t="s">
        <v>5094</v>
      </c>
      <c r="E728" s="52" t="s">
        <v>5095</v>
      </c>
      <c r="F728" s="53"/>
      <c r="G728" s="51" t="s">
        <v>4812</v>
      </c>
      <c r="H728" s="54"/>
      <c r="I728" s="55">
        <v>0</v>
      </c>
      <c r="K728" s="51" t="s">
        <v>5015</v>
      </c>
    </row>
    <row r="729" spans="1:11">
      <c r="A729" s="51">
        <v>700</v>
      </c>
      <c r="B729" s="51" t="s">
        <v>5014</v>
      </c>
      <c r="C729" s="51" t="s">
        <v>5015</v>
      </c>
      <c r="D729" s="52" t="s">
        <v>5094</v>
      </c>
      <c r="E729" s="52" t="s">
        <v>5095</v>
      </c>
      <c r="F729" s="53"/>
      <c r="G729" s="51" t="s">
        <v>4812</v>
      </c>
      <c r="H729" s="54"/>
      <c r="I729" s="55">
        <v>0</v>
      </c>
      <c r="K729" s="51" t="s">
        <v>5015</v>
      </c>
    </row>
    <row r="730" spans="1:11">
      <c r="A730" s="51">
        <v>701</v>
      </c>
      <c r="B730" s="51" t="s">
        <v>5014</v>
      </c>
      <c r="C730" s="51" t="s">
        <v>5015</v>
      </c>
      <c r="D730" s="52" t="s">
        <v>5094</v>
      </c>
      <c r="E730" s="52" t="s">
        <v>5095</v>
      </c>
      <c r="F730" s="53"/>
      <c r="G730" s="51" t="s">
        <v>4812</v>
      </c>
      <c r="H730" s="54"/>
      <c r="I730" s="55">
        <v>0</v>
      </c>
      <c r="K730" s="51" t="s">
        <v>5015</v>
      </c>
    </row>
    <row r="731" spans="1:11">
      <c r="A731" s="51">
        <v>702</v>
      </c>
      <c r="B731" s="51" t="s">
        <v>5014</v>
      </c>
      <c r="C731" s="51" t="s">
        <v>5015</v>
      </c>
      <c r="D731" s="52" t="s">
        <v>5094</v>
      </c>
      <c r="E731" s="52" t="s">
        <v>5095</v>
      </c>
      <c r="F731" s="53"/>
      <c r="G731" s="51" t="s">
        <v>4812</v>
      </c>
      <c r="H731" s="54"/>
      <c r="I731" s="55">
        <v>0</v>
      </c>
      <c r="K731" s="51" t="s">
        <v>5015</v>
      </c>
    </row>
    <row r="732" spans="1:11">
      <c r="A732" s="51">
        <v>703</v>
      </c>
      <c r="B732" s="51" t="s">
        <v>5014</v>
      </c>
      <c r="C732" s="51" t="s">
        <v>5015</v>
      </c>
      <c r="D732" s="52" t="s">
        <v>5094</v>
      </c>
      <c r="E732" s="52" t="s">
        <v>5095</v>
      </c>
      <c r="F732" s="53"/>
      <c r="G732" s="51" t="s">
        <v>4812</v>
      </c>
      <c r="H732" s="54"/>
      <c r="I732" s="55">
        <v>0</v>
      </c>
      <c r="K732" s="51" t="s">
        <v>5015</v>
      </c>
    </row>
    <row r="733" spans="1:11">
      <c r="A733" s="51">
        <v>704</v>
      </c>
      <c r="B733" s="51" t="s">
        <v>5014</v>
      </c>
      <c r="C733" s="51" t="s">
        <v>5015</v>
      </c>
      <c r="D733" s="52" t="s">
        <v>5094</v>
      </c>
      <c r="E733" s="52" t="s">
        <v>5095</v>
      </c>
      <c r="F733" s="53"/>
      <c r="G733" s="51" t="s">
        <v>4812</v>
      </c>
      <c r="H733" s="54"/>
      <c r="I733" s="55">
        <v>0</v>
      </c>
      <c r="K733" s="51" t="s">
        <v>5015</v>
      </c>
    </row>
    <row r="734" spans="1:11">
      <c r="A734" s="51">
        <v>705</v>
      </c>
      <c r="B734" s="51" t="s">
        <v>5014</v>
      </c>
      <c r="C734" s="51" t="s">
        <v>5015</v>
      </c>
      <c r="D734" s="52" t="s">
        <v>5094</v>
      </c>
      <c r="E734" s="52" t="s">
        <v>5095</v>
      </c>
      <c r="F734" s="53"/>
      <c r="G734" s="51" t="s">
        <v>4812</v>
      </c>
      <c r="H734" s="54"/>
      <c r="I734" s="55">
        <v>0</v>
      </c>
      <c r="K734" s="51" t="s">
        <v>5015</v>
      </c>
    </row>
    <row r="735" spans="1:11">
      <c r="A735" s="51">
        <v>706</v>
      </c>
      <c r="B735" s="51" t="s">
        <v>5014</v>
      </c>
      <c r="C735" s="51" t="s">
        <v>5015</v>
      </c>
      <c r="D735" s="52" t="s">
        <v>5094</v>
      </c>
      <c r="E735" s="52" t="s">
        <v>5095</v>
      </c>
      <c r="F735" s="53"/>
      <c r="G735" s="51" t="s">
        <v>4812</v>
      </c>
      <c r="H735" s="54"/>
      <c r="I735" s="55">
        <v>0</v>
      </c>
      <c r="K735" s="51" t="s">
        <v>5015</v>
      </c>
    </row>
    <row r="736" spans="1:11">
      <c r="A736" s="51">
        <v>707</v>
      </c>
      <c r="B736" s="51" t="s">
        <v>5014</v>
      </c>
      <c r="C736" s="51" t="s">
        <v>5015</v>
      </c>
      <c r="D736" s="52" t="s">
        <v>971</v>
      </c>
      <c r="E736" s="52" t="s">
        <v>970</v>
      </c>
      <c r="F736" s="53" t="s">
        <v>5035</v>
      </c>
      <c r="G736" s="51" t="s">
        <v>4812</v>
      </c>
      <c r="H736" s="54"/>
      <c r="I736" s="55">
        <v>0</v>
      </c>
      <c r="K736" s="51" t="s">
        <v>5015</v>
      </c>
    </row>
    <row r="737" spans="1:11">
      <c r="A737" s="51">
        <v>708</v>
      </c>
      <c r="B737" s="51" t="s">
        <v>5014</v>
      </c>
      <c r="C737" s="51" t="s">
        <v>5015</v>
      </c>
      <c r="D737" s="52" t="s">
        <v>971</v>
      </c>
      <c r="E737" s="52" t="s">
        <v>970</v>
      </c>
      <c r="F737" s="53" t="s">
        <v>5035</v>
      </c>
      <c r="G737" s="51" t="s">
        <v>4812</v>
      </c>
      <c r="H737" s="54"/>
      <c r="I737" s="55">
        <v>0</v>
      </c>
      <c r="K737" s="51" t="s">
        <v>5015</v>
      </c>
    </row>
    <row r="738" spans="1:11">
      <c r="A738" s="51">
        <v>709</v>
      </c>
      <c r="B738" s="51" t="s">
        <v>5014</v>
      </c>
      <c r="C738" s="51" t="s">
        <v>5015</v>
      </c>
      <c r="D738" s="52" t="s">
        <v>971</v>
      </c>
      <c r="E738" s="52" t="s">
        <v>970</v>
      </c>
      <c r="F738" s="53" t="s">
        <v>5035</v>
      </c>
      <c r="G738" s="51" t="s">
        <v>4812</v>
      </c>
      <c r="H738" s="54"/>
      <c r="I738" s="55">
        <v>0</v>
      </c>
      <c r="K738" s="51" t="s">
        <v>5015</v>
      </c>
    </row>
    <row r="739" spans="1:11">
      <c r="A739" s="51">
        <v>710</v>
      </c>
      <c r="B739" s="51" t="s">
        <v>5014</v>
      </c>
      <c r="C739" s="51" t="s">
        <v>5015</v>
      </c>
      <c r="D739" s="52" t="s">
        <v>971</v>
      </c>
      <c r="E739" s="52" t="s">
        <v>970</v>
      </c>
      <c r="F739" s="53" t="s">
        <v>5035</v>
      </c>
      <c r="G739" s="51" t="s">
        <v>4812</v>
      </c>
      <c r="H739" s="54"/>
      <c r="I739" s="55">
        <v>0</v>
      </c>
      <c r="K739" s="51" t="s">
        <v>5015</v>
      </c>
    </row>
    <row r="740" spans="1:11">
      <c r="A740" s="51">
        <v>711</v>
      </c>
      <c r="B740" s="51" t="s">
        <v>5014</v>
      </c>
      <c r="C740" s="51" t="s">
        <v>5015</v>
      </c>
      <c r="D740" s="52" t="s">
        <v>971</v>
      </c>
      <c r="E740" s="52" t="s">
        <v>970</v>
      </c>
      <c r="F740" s="53" t="s">
        <v>5035</v>
      </c>
      <c r="G740" s="51" t="s">
        <v>4812</v>
      </c>
      <c r="H740" s="54"/>
      <c r="I740" s="55">
        <v>0</v>
      </c>
      <c r="K740" s="51" t="s">
        <v>5015</v>
      </c>
    </row>
    <row r="741" spans="1:11">
      <c r="A741" s="51">
        <v>712</v>
      </c>
      <c r="B741" s="51" t="s">
        <v>5014</v>
      </c>
      <c r="C741" s="51" t="s">
        <v>5015</v>
      </c>
      <c r="D741" s="52" t="s">
        <v>971</v>
      </c>
      <c r="E741" s="52" t="s">
        <v>970</v>
      </c>
      <c r="F741" s="53" t="s">
        <v>5035</v>
      </c>
      <c r="G741" s="51" t="s">
        <v>4812</v>
      </c>
      <c r="H741" s="54"/>
      <c r="I741" s="55">
        <v>0</v>
      </c>
      <c r="K741" s="51" t="s">
        <v>5015</v>
      </c>
    </row>
    <row r="742" spans="1:11">
      <c r="A742" s="51">
        <v>713</v>
      </c>
      <c r="B742" s="51" t="s">
        <v>5014</v>
      </c>
      <c r="C742" s="51" t="s">
        <v>5015</v>
      </c>
      <c r="D742" s="52" t="s">
        <v>971</v>
      </c>
      <c r="E742" s="52" t="s">
        <v>970</v>
      </c>
      <c r="F742" s="53" t="s">
        <v>5035</v>
      </c>
      <c r="G742" s="51" t="s">
        <v>4812</v>
      </c>
      <c r="H742" s="54"/>
      <c r="I742" s="55">
        <v>0</v>
      </c>
      <c r="K742" s="51" t="s">
        <v>5015</v>
      </c>
    </row>
    <row r="743" spans="1:11">
      <c r="A743" s="51">
        <v>714</v>
      </c>
      <c r="B743" s="51" t="s">
        <v>5014</v>
      </c>
      <c r="C743" s="51" t="s">
        <v>5015</v>
      </c>
      <c r="D743" s="52" t="s">
        <v>971</v>
      </c>
      <c r="E743" s="52" t="s">
        <v>970</v>
      </c>
      <c r="F743" s="53" t="s">
        <v>5035</v>
      </c>
      <c r="G743" s="51" t="s">
        <v>4812</v>
      </c>
      <c r="H743" s="54"/>
      <c r="I743" s="55">
        <v>0</v>
      </c>
      <c r="K743" s="51" t="s">
        <v>5015</v>
      </c>
    </row>
    <row r="744" spans="1:11">
      <c r="A744" s="51">
        <v>715</v>
      </c>
      <c r="B744" s="51" t="s">
        <v>5014</v>
      </c>
      <c r="C744" s="51" t="s">
        <v>5015</v>
      </c>
      <c r="D744" s="52" t="s">
        <v>971</v>
      </c>
      <c r="E744" s="52" t="s">
        <v>970</v>
      </c>
      <c r="F744" s="53" t="s">
        <v>5035</v>
      </c>
      <c r="G744" s="51" t="s">
        <v>4812</v>
      </c>
      <c r="H744" s="54"/>
      <c r="I744" s="55">
        <v>0</v>
      </c>
      <c r="K744" s="51" t="s">
        <v>5015</v>
      </c>
    </row>
    <row r="745" spans="1:11">
      <c r="A745" s="51">
        <v>716</v>
      </c>
      <c r="B745" s="51" t="s">
        <v>5014</v>
      </c>
      <c r="C745" s="51" t="s">
        <v>5015</v>
      </c>
      <c r="D745" s="52" t="s">
        <v>971</v>
      </c>
      <c r="E745" s="52" t="s">
        <v>970</v>
      </c>
      <c r="F745" s="53" t="s">
        <v>5035</v>
      </c>
      <c r="G745" s="51" t="s">
        <v>4812</v>
      </c>
      <c r="H745" s="54"/>
      <c r="I745" s="55">
        <v>0</v>
      </c>
      <c r="K745" s="51" t="s">
        <v>5015</v>
      </c>
    </row>
    <row r="746" spans="1:11">
      <c r="A746" s="51">
        <v>717</v>
      </c>
      <c r="B746" s="51" t="s">
        <v>5014</v>
      </c>
      <c r="C746" s="51" t="s">
        <v>5015</v>
      </c>
      <c r="D746" s="52" t="s">
        <v>1071</v>
      </c>
      <c r="E746" s="52" t="s">
        <v>1070</v>
      </c>
      <c r="F746" s="53" t="s">
        <v>5041</v>
      </c>
      <c r="G746" s="51" t="s">
        <v>4812</v>
      </c>
      <c r="H746" s="54"/>
      <c r="I746" s="55">
        <v>0</v>
      </c>
      <c r="K746" s="51" t="s">
        <v>5015</v>
      </c>
    </row>
    <row r="747" spans="1:11">
      <c r="A747" s="51">
        <v>718</v>
      </c>
      <c r="B747" s="51" t="s">
        <v>5014</v>
      </c>
      <c r="C747" s="51" t="s">
        <v>5015</v>
      </c>
      <c r="D747" s="52" t="s">
        <v>1071</v>
      </c>
      <c r="E747" s="52" t="s">
        <v>1070</v>
      </c>
      <c r="F747" s="53" t="s">
        <v>5041</v>
      </c>
      <c r="G747" s="51" t="s">
        <v>4812</v>
      </c>
      <c r="H747" s="54"/>
      <c r="I747" s="55">
        <v>0</v>
      </c>
      <c r="K747" s="51" t="s">
        <v>5015</v>
      </c>
    </row>
    <row r="748" spans="1:11">
      <c r="A748" s="51">
        <v>719</v>
      </c>
      <c r="B748" s="51" t="s">
        <v>5014</v>
      </c>
      <c r="C748" s="51" t="s">
        <v>5015</v>
      </c>
      <c r="D748" s="52" t="s">
        <v>1071</v>
      </c>
      <c r="E748" s="52" t="s">
        <v>1070</v>
      </c>
      <c r="F748" s="53" t="s">
        <v>5041</v>
      </c>
      <c r="G748" s="51" t="s">
        <v>4812</v>
      </c>
      <c r="H748" s="54"/>
      <c r="I748" s="55">
        <v>0</v>
      </c>
      <c r="K748" s="51" t="s">
        <v>5015</v>
      </c>
    </row>
    <row r="749" spans="1:11">
      <c r="A749" s="51">
        <v>720</v>
      </c>
      <c r="B749" s="51" t="s">
        <v>5014</v>
      </c>
      <c r="C749" s="51" t="s">
        <v>5015</v>
      </c>
      <c r="D749" s="52" t="s">
        <v>1071</v>
      </c>
      <c r="E749" s="52" t="s">
        <v>1070</v>
      </c>
      <c r="F749" s="53" t="s">
        <v>5041</v>
      </c>
      <c r="G749" s="51" t="s">
        <v>4812</v>
      </c>
      <c r="H749" s="54"/>
      <c r="I749" s="55">
        <v>0</v>
      </c>
      <c r="K749" s="51" t="s">
        <v>5015</v>
      </c>
    </row>
    <row r="750" spans="1:11">
      <c r="A750" s="51">
        <v>721</v>
      </c>
      <c r="B750" s="51" t="s">
        <v>5014</v>
      </c>
      <c r="C750" s="51" t="s">
        <v>5015</v>
      </c>
      <c r="D750" s="52" t="s">
        <v>1071</v>
      </c>
      <c r="E750" s="52" t="s">
        <v>1070</v>
      </c>
      <c r="F750" s="53" t="s">
        <v>5041</v>
      </c>
      <c r="G750" s="51" t="s">
        <v>4812</v>
      </c>
      <c r="H750" s="54"/>
      <c r="I750" s="55">
        <v>0</v>
      </c>
      <c r="K750" s="51" t="s">
        <v>5015</v>
      </c>
    </row>
    <row r="751" spans="1:11">
      <c r="A751" s="51">
        <v>722</v>
      </c>
      <c r="B751" s="51" t="s">
        <v>5014</v>
      </c>
      <c r="C751" s="51" t="s">
        <v>5015</v>
      </c>
      <c r="D751" s="52" t="s">
        <v>1071</v>
      </c>
      <c r="E751" s="52" t="s">
        <v>1070</v>
      </c>
      <c r="F751" s="53" t="s">
        <v>5041</v>
      </c>
      <c r="G751" s="51" t="s">
        <v>4812</v>
      </c>
      <c r="H751" s="54"/>
      <c r="I751" s="55">
        <v>0</v>
      </c>
      <c r="K751" s="51" t="s">
        <v>5015</v>
      </c>
    </row>
    <row r="752" spans="1:11">
      <c r="A752" s="51">
        <v>723</v>
      </c>
      <c r="B752" s="51" t="s">
        <v>5014</v>
      </c>
      <c r="C752" s="51" t="s">
        <v>5015</v>
      </c>
      <c r="D752" s="52" t="s">
        <v>1071</v>
      </c>
      <c r="E752" s="52" t="s">
        <v>1070</v>
      </c>
      <c r="F752" s="53" t="s">
        <v>5041</v>
      </c>
      <c r="G752" s="51" t="s">
        <v>4812</v>
      </c>
      <c r="H752" s="54"/>
      <c r="I752" s="55">
        <v>0</v>
      </c>
      <c r="K752" s="51" t="s">
        <v>5015</v>
      </c>
    </row>
    <row r="753" spans="1:11">
      <c r="A753" s="51">
        <v>724</v>
      </c>
      <c r="B753" s="51" t="s">
        <v>5014</v>
      </c>
      <c r="C753" s="51" t="s">
        <v>5015</v>
      </c>
      <c r="D753" s="52" t="s">
        <v>1071</v>
      </c>
      <c r="E753" s="52" t="s">
        <v>1070</v>
      </c>
      <c r="F753" s="53" t="s">
        <v>5041</v>
      </c>
      <c r="G753" s="51" t="s">
        <v>4812</v>
      </c>
      <c r="H753" s="54"/>
      <c r="I753" s="55">
        <v>0</v>
      </c>
      <c r="K753" s="51" t="s">
        <v>5015</v>
      </c>
    </row>
    <row r="754" spans="1:11">
      <c r="A754" s="51">
        <v>725</v>
      </c>
      <c r="B754" s="51" t="s">
        <v>5014</v>
      </c>
      <c r="C754" s="51" t="s">
        <v>5015</v>
      </c>
      <c r="D754" s="52" t="s">
        <v>1071</v>
      </c>
      <c r="E754" s="52" t="s">
        <v>1070</v>
      </c>
      <c r="F754" s="53" t="s">
        <v>5041</v>
      </c>
      <c r="G754" s="51" t="s">
        <v>4812</v>
      </c>
      <c r="H754" s="54"/>
      <c r="I754" s="55">
        <v>0</v>
      </c>
      <c r="K754" s="51" t="s">
        <v>5015</v>
      </c>
    </row>
    <row r="755" spans="1:11">
      <c r="A755" s="51">
        <v>726</v>
      </c>
      <c r="B755" s="51" t="s">
        <v>5014</v>
      </c>
      <c r="C755" s="51" t="s">
        <v>5015</v>
      </c>
      <c r="D755" s="52" t="s">
        <v>1071</v>
      </c>
      <c r="E755" s="52" t="s">
        <v>1070</v>
      </c>
      <c r="F755" s="53" t="s">
        <v>5041</v>
      </c>
      <c r="G755" s="51" t="s">
        <v>4812</v>
      </c>
      <c r="H755" s="54"/>
      <c r="I755" s="55">
        <v>0</v>
      </c>
      <c r="K755" s="51" t="s">
        <v>5015</v>
      </c>
    </row>
    <row r="756" spans="1:11">
      <c r="A756" s="51">
        <v>727</v>
      </c>
      <c r="B756" s="51" t="s">
        <v>5014</v>
      </c>
      <c r="C756" s="51" t="s">
        <v>5015</v>
      </c>
      <c r="D756" s="52" t="s">
        <v>1140</v>
      </c>
      <c r="E756" s="52" t="s">
        <v>1139</v>
      </c>
      <c r="F756" s="53" t="s">
        <v>5038</v>
      </c>
      <c r="G756" s="51" t="s">
        <v>4812</v>
      </c>
      <c r="H756" s="54"/>
      <c r="I756" s="55">
        <v>0</v>
      </c>
      <c r="K756" s="51" t="s">
        <v>5015</v>
      </c>
    </row>
    <row r="757" spans="1:11">
      <c r="A757" s="51">
        <v>728</v>
      </c>
      <c r="B757" s="51" t="s">
        <v>5014</v>
      </c>
      <c r="C757" s="51" t="s">
        <v>5015</v>
      </c>
      <c r="D757" s="52" t="s">
        <v>1140</v>
      </c>
      <c r="E757" s="52" t="s">
        <v>1139</v>
      </c>
      <c r="F757" s="53" t="s">
        <v>5038</v>
      </c>
      <c r="G757" s="51" t="s">
        <v>4812</v>
      </c>
      <c r="H757" s="54"/>
      <c r="I757" s="55">
        <v>0</v>
      </c>
      <c r="K757" s="51" t="s">
        <v>5015</v>
      </c>
    </row>
    <row r="758" spans="1:11">
      <c r="A758" s="51">
        <v>729</v>
      </c>
      <c r="B758" s="51" t="s">
        <v>5014</v>
      </c>
      <c r="C758" s="51" t="s">
        <v>5015</v>
      </c>
      <c r="D758" s="52" t="s">
        <v>1140</v>
      </c>
      <c r="E758" s="52" t="s">
        <v>1139</v>
      </c>
      <c r="F758" s="53" t="s">
        <v>5038</v>
      </c>
      <c r="G758" s="51" t="s">
        <v>4812</v>
      </c>
      <c r="H758" s="54"/>
      <c r="I758" s="55">
        <v>0</v>
      </c>
      <c r="K758" s="51" t="s">
        <v>5015</v>
      </c>
    </row>
    <row r="759" spans="1:11">
      <c r="A759" s="51">
        <v>730</v>
      </c>
      <c r="B759" s="51" t="s">
        <v>5014</v>
      </c>
      <c r="C759" s="51" t="s">
        <v>5015</v>
      </c>
      <c r="D759" s="52" t="s">
        <v>1140</v>
      </c>
      <c r="E759" s="52" t="s">
        <v>1139</v>
      </c>
      <c r="F759" s="53" t="s">
        <v>5038</v>
      </c>
      <c r="G759" s="51" t="s">
        <v>4812</v>
      </c>
      <c r="H759" s="54"/>
      <c r="I759" s="55">
        <v>0</v>
      </c>
      <c r="K759" s="51" t="s">
        <v>5015</v>
      </c>
    </row>
    <row r="760" spans="1:11">
      <c r="A760" s="51">
        <v>731</v>
      </c>
      <c r="B760" s="51" t="s">
        <v>5014</v>
      </c>
      <c r="C760" s="51" t="s">
        <v>5015</v>
      </c>
      <c r="D760" s="52" t="s">
        <v>1140</v>
      </c>
      <c r="E760" s="52" t="s">
        <v>1139</v>
      </c>
      <c r="F760" s="53" t="s">
        <v>5038</v>
      </c>
      <c r="G760" s="51" t="s">
        <v>4812</v>
      </c>
      <c r="H760" s="54"/>
      <c r="I760" s="55">
        <v>0</v>
      </c>
      <c r="K760" s="51" t="s">
        <v>5015</v>
      </c>
    </row>
    <row r="761" spans="1:11">
      <c r="A761" s="51">
        <v>732</v>
      </c>
      <c r="B761" s="51" t="s">
        <v>5014</v>
      </c>
      <c r="C761" s="51" t="s">
        <v>5015</v>
      </c>
      <c r="D761" s="52" t="s">
        <v>1140</v>
      </c>
      <c r="E761" s="52" t="s">
        <v>1139</v>
      </c>
      <c r="F761" s="53" t="s">
        <v>5038</v>
      </c>
      <c r="G761" s="51" t="s">
        <v>4812</v>
      </c>
      <c r="H761" s="54"/>
      <c r="I761" s="55">
        <v>0</v>
      </c>
      <c r="K761" s="51" t="s">
        <v>5015</v>
      </c>
    </row>
    <row r="762" spans="1:11">
      <c r="A762" s="51">
        <v>733</v>
      </c>
      <c r="B762" s="51" t="s">
        <v>5014</v>
      </c>
      <c r="C762" s="51" t="s">
        <v>5015</v>
      </c>
      <c r="D762" s="52" t="s">
        <v>1140</v>
      </c>
      <c r="E762" s="52" t="s">
        <v>1139</v>
      </c>
      <c r="F762" s="53" t="s">
        <v>5038</v>
      </c>
      <c r="G762" s="51" t="s">
        <v>4812</v>
      </c>
      <c r="H762" s="54"/>
      <c r="I762" s="55">
        <v>0</v>
      </c>
      <c r="K762" s="51" t="s">
        <v>5015</v>
      </c>
    </row>
    <row r="763" spans="1:11">
      <c r="A763" s="51">
        <v>734</v>
      </c>
      <c r="B763" s="51" t="s">
        <v>5014</v>
      </c>
      <c r="C763" s="51" t="s">
        <v>5015</v>
      </c>
      <c r="D763" s="52" t="s">
        <v>1140</v>
      </c>
      <c r="E763" s="52" t="s">
        <v>1139</v>
      </c>
      <c r="F763" s="53" t="s">
        <v>5038</v>
      </c>
      <c r="G763" s="51" t="s">
        <v>4812</v>
      </c>
      <c r="H763" s="54"/>
      <c r="I763" s="55">
        <v>0</v>
      </c>
      <c r="K763" s="51" t="s">
        <v>5015</v>
      </c>
    </row>
    <row r="764" spans="1:11">
      <c r="A764" s="51">
        <v>735</v>
      </c>
      <c r="B764" s="51" t="s">
        <v>5014</v>
      </c>
      <c r="C764" s="51" t="s">
        <v>5015</v>
      </c>
      <c r="D764" s="52" t="s">
        <v>1140</v>
      </c>
      <c r="E764" s="52" t="s">
        <v>1139</v>
      </c>
      <c r="F764" s="53" t="s">
        <v>5038</v>
      </c>
      <c r="G764" s="51" t="s">
        <v>4812</v>
      </c>
      <c r="H764" s="54"/>
      <c r="I764" s="55">
        <v>0</v>
      </c>
      <c r="K764" s="51" t="s">
        <v>5015</v>
      </c>
    </row>
    <row r="765" spans="1:11">
      <c r="A765" s="51">
        <v>736</v>
      </c>
      <c r="B765" s="51" t="s">
        <v>5014</v>
      </c>
      <c r="C765" s="51" t="s">
        <v>5015</v>
      </c>
      <c r="D765" s="52" t="s">
        <v>1140</v>
      </c>
      <c r="E765" s="52" t="s">
        <v>1139</v>
      </c>
      <c r="F765" s="53" t="s">
        <v>5038</v>
      </c>
      <c r="G765" s="51" t="s">
        <v>4812</v>
      </c>
      <c r="H765" s="54"/>
      <c r="I765" s="55">
        <v>0</v>
      </c>
      <c r="K765" s="51" t="s">
        <v>5015</v>
      </c>
    </row>
    <row r="766" spans="1:11">
      <c r="A766" s="51">
        <v>737</v>
      </c>
      <c r="B766" s="51" t="s">
        <v>5014</v>
      </c>
      <c r="C766" s="51" t="s">
        <v>5015</v>
      </c>
      <c r="D766" s="52" t="s">
        <v>1268</v>
      </c>
      <c r="E766" s="52" t="s">
        <v>1267</v>
      </c>
      <c r="F766" s="53" t="s">
        <v>5043</v>
      </c>
      <c r="G766" s="51" t="s">
        <v>4812</v>
      </c>
      <c r="H766" s="54"/>
      <c r="I766" s="55">
        <v>0</v>
      </c>
      <c r="K766" s="51" t="s">
        <v>5015</v>
      </c>
    </row>
    <row r="767" spans="1:11">
      <c r="A767" s="51">
        <v>738</v>
      </c>
      <c r="B767" s="51" t="s">
        <v>5014</v>
      </c>
      <c r="C767" s="51" t="s">
        <v>5015</v>
      </c>
      <c r="D767" s="52" t="s">
        <v>1268</v>
      </c>
      <c r="E767" s="52" t="s">
        <v>1267</v>
      </c>
      <c r="F767" s="53" t="s">
        <v>5043</v>
      </c>
      <c r="G767" s="51" t="s">
        <v>4812</v>
      </c>
      <c r="H767" s="54"/>
      <c r="I767" s="55">
        <v>0</v>
      </c>
      <c r="K767" s="51" t="s">
        <v>5015</v>
      </c>
    </row>
    <row r="768" spans="1:11">
      <c r="A768" s="51">
        <v>739</v>
      </c>
      <c r="B768" s="51" t="s">
        <v>5014</v>
      </c>
      <c r="C768" s="51" t="s">
        <v>5015</v>
      </c>
      <c r="D768" s="52" t="s">
        <v>1268</v>
      </c>
      <c r="E768" s="52" t="s">
        <v>1267</v>
      </c>
      <c r="F768" s="53" t="s">
        <v>5043</v>
      </c>
      <c r="G768" s="51" t="s">
        <v>4812</v>
      </c>
      <c r="H768" s="54"/>
      <c r="I768" s="55">
        <v>0</v>
      </c>
      <c r="K768" s="51" t="s">
        <v>5015</v>
      </c>
    </row>
    <row r="769" spans="1:11">
      <c r="A769" s="51">
        <v>740</v>
      </c>
      <c r="B769" s="51" t="s">
        <v>5014</v>
      </c>
      <c r="C769" s="51" t="s">
        <v>5015</v>
      </c>
      <c r="D769" s="52" t="s">
        <v>1268</v>
      </c>
      <c r="E769" s="52" t="s">
        <v>1267</v>
      </c>
      <c r="F769" s="53" t="s">
        <v>5043</v>
      </c>
      <c r="G769" s="51" t="s">
        <v>4812</v>
      </c>
      <c r="H769" s="54"/>
      <c r="I769" s="55">
        <v>0</v>
      </c>
      <c r="K769" s="51" t="s">
        <v>5015</v>
      </c>
    </row>
    <row r="770" spans="1:11">
      <c r="A770" s="51">
        <v>741</v>
      </c>
      <c r="B770" s="51" t="s">
        <v>5014</v>
      </c>
      <c r="C770" s="51" t="s">
        <v>5015</v>
      </c>
      <c r="D770" s="52" t="s">
        <v>1268</v>
      </c>
      <c r="E770" s="52" t="s">
        <v>1267</v>
      </c>
      <c r="F770" s="53" t="s">
        <v>5043</v>
      </c>
      <c r="G770" s="51" t="s">
        <v>4812</v>
      </c>
      <c r="H770" s="54"/>
      <c r="I770" s="55">
        <v>0</v>
      </c>
      <c r="K770" s="51" t="s">
        <v>5015</v>
      </c>
    </row>
    <row r="771" spans="1:11">
      <c r="A771" s="51">
        <v>742</v>
      </c>
      <c r="B771" s="51" t="s">
        <v>5014</v>
      </c>
      <c r="C771" s="51" t="s">
        <v>5015</v>
      </c>
      <c r="D771" s="52" t="s">
        <v>1268</v>
      </c>
      <c r="E771" s="52" t="s">
        <v>1267</v>
      </c>
      <c r="F771" s="53" t="s">
        <v>5043</v>
      </c>
      <c r="G771" s="51" t="s">
        <v>4812</v>
      </c>
      <c r="H771" s="54"/>
      <c r="I771" s="55">
        <v>0</v>
      </c>
      <c r="K771" s="51" t="s">
        <v>5015</v>
      </c>
    </row>
    <row r="772" spans="1:11">
      <c r="A772" s="51">
        <v>743</v>
      </c>
      <c r="B772" s="51" t="s">
        <v>5014</v>
      </c>
      <c r="C772" s="51" t="s">
        <v>5015</v>
      </c>
      <c r="D772" s="52" t="s">
        <v>1268</v>
      </c>
      <c r="E772" s="52" t="s">
        <v>1267</v>
      </c>
      <c r="F772" s="53" t="s">
        <v>5043</v>
      </c>
      <c r="G772" s="51" t="s">
        <v>4812</v>
      </c>
      <c r="H772" s="54"/>
      <c r="I772" s="55">
        <v>0</v>
      </c>
      <c r="K772" s="51" t="s">
        <v>5015</v>
      </c>
    </row>
    <row r="773" spans="1:11">
      <c r="A773" s="51">
        <v>744</v>
      </c>
      <c r="B773" s="51" t="s">
        <v>5014</v>
      </c>
      <c r="C773" s="51" t="s">
        <v>5015</v>
      </c>
      <c r="D773" s="52" t="s">
        <v>1268</v>
      </c>
      <c r="E773" s="52" t="s">
        <v>1267</v>
      </c>
      <c r="F773" s="53" t="s">
        <v>5043</v>
      </c>
      <c r="G773" s="51" t="s">
        <v>4812</v>
      </c>
      <c r="H773" s="54"/>
      <c r="I773" s="55">
        <v>0</v>
      </c>
      <c r="K773" s="51" t="s">
        <v>5015</v>
      </c>
    </row>
    <row r="774" spans="1:11">
      <c r="A774" s="51">
        <v>745</v>
      </c>
      <c r="B774" s="51" t="s">
        <v>5014</v>
      </c>
      <c r="C774" s="51" t="s">
        <v>5015</v>
      </c>
      <c r="D774" s="52" t="s">
        <v>1268</v>
      </c>
      <c r="E774" s="52" t="s">
        <v>1267</v>
      </c>
      <c r="F774" s="53" t="s">
        <v>5043</v>
      </c>
      <c r="G774" s="51" t="s">
        <v>4812</v>
      </c>
      <c r="H774" s="54"/>
      <c r="I774" s="55">
        <v>0</v>
      </c>
      <c r="K774" s="51" t="s">
        <v>5015</v>
      </c>
    </row>
    <row r="775" spans="1:11">
      <c r="A775" s="51">
        <v>746</v>
      </c>
      <c r="B775" s="51" t="s">
        <v>5014</v>
      </c>
      <c r="C775" s="51" t="s">
        <v>5015</v>
      </c>
      <c r="D775" s="52" t="s">
        <v>1268</v>
      </c>
      <c r="E775" s="52" t="s">
        <v>1267</v>
      </c>
      <c r="F775" s="53" t="s">
        <v>5043</v>
      </c>
      <c r="G775" s="51" t="s">
        <v>4812</v>
      </c>
      <c r="H775" s="54"/>
      <c r="I775" s="55">
        <v>0</v>
      </c>
      <c r="K775" s="51" t="s">
        <v>5015</v>
      </c>
    </row>
    <row r="776" spans="1:11">
      <c r="A776" s="51">
        <v>747</v>
      </c>
      <c r="B776" s="51" t="s">
        <v>5014</v>
      </c>
      <c r="C776" s="51" t="s">
        <v>5015</v>
      </c>
      <c r="D776" s="52" t="s">
        <v>1605</v>
      </c>
      <c r="E776" s="52" t="s">
        <v>5096</v>
      </c>
      <c r="F776" s="53" t="s">
        <v>5097</v>
      </c>
      <c r="G776" s="51" t="s">
        <v>4812</v>
      </c>
      <c r="H776" s="54"/>
      <c r="I776" s="55">
        <v>0</v>
      </c>
      <c r="K776" s="51" t="s">
        <v>5015</v>
      </c>
    </row>
    <row r="777" spans="1:11">
      <c r="A777" s="51">
        <v>748</v>
      </c>
      <c r="B777" s="51" t="s">
        <v>5014</v>
      </c>
      <c r="C777" s="51" t="s">
        <v>5015</v>
      </c>
      <c r="D777" s="52" t="s">
        <v>1605</v>
      </c>
      <c r="E777" s="52" t="s">
        <v>5096</v>
      </c>
      <c r="F777" s="53" t="s">
        <v>5097</v>
      </c>
      <c r="G777" s="51" t="s">
        <v>4812</v>
      </c>
      <c r="H777" s="54"/>
      <c r="I777" s="55">
        <v>0</v>
      </c>
      <c r="K777" s="51" t="s">
        <v>5015</v>
      </c>
    </row>
    <row r="778" spans="1:11">
      <c r="A778" s="51">
        <v>749</v>
      </c>
      <c r="B778" s="51" t="s">
        <v>5014</v>
      </c>
      <c r="C778" s="51" t="s">
        <v>5015</v>
      </c>
      <c r="D778" s="52" t="s">
        <v>1605</v>
      </c>
      <c r="E778" s="52" t="s">
        <v>5096</v>
      </c>
      <c r="F778" s="53" t="s">
        <v>5097</v>
      </c>
      <c r="G778" s="51" t="s">
        <v>4812</v>
      </c>
      <c r="H778" s="54"/>
      <c r="I778" s="55">
        <v>0</v>
      </c>
      <c r="K778" s="51" t="s">
        <v>5015</v>
      </c>
    </row>
    <row r="779" spans="1:11">
      <c r="A779" s="51">
        <v>750</v>
      </c>
      <c r="B779" s="51" t="s">
        <v>5014</v>
      </c>
      <c r="C779" s="51" t="s">
        <v>5015</v>
      </c>
      <c r="D779" s="52" t="s">
        <v>1605</v>
      </c>
      <c r="E779" s="52" t="s">
        <v>5096</v>
      </c>
      <c r="F779" s="53" t="s">
        <v>5097</v>
      </c>
      <c r="G779" s="51" t="s">
        <v>4812</v>
      </c>
      <c r="H779" s="54"/>
      <c r="I779" s="55">
        <v>0</v>
      </c>
      <c r="K779" s="51" t="s">
        <v>5015</v>
      </c>
    </row>
    <row r="780" spans="1:11">
      <c r="A780" s="51">
        <v>751</v>
      </c>
      <c r="B780" s="51" t="s">
        <v>5014</v>
      </c>
      <c r="C780" s="51" t="s">
        <v>5015</v>
      </c>
      <c r="D780" s="52" t="s">
        <v>1605</v>
      </c>
      <c r="E780" s="52" t="s">
        <v>5096</v>
      </c>
      <c r="F780" s="53" t="s">
        <v>5097</v>
      </c>
      <c r="G780" s="51" t="s">
        <v>4812</v>
      </c>
      <c r="H780" s="54"/>
      <c r="I780" s="55">
        <v>0</v>
      </c>
      <c r="K780" s="51" t="s">
        <v>5015</v>
      </c>
    </row>
    <row r="781" spans="1:11">
      <c r="A781" s="51">
        <v>752</v>
      </c>
      <c r="B781" s="51" t="s">
        <v>5014</v>
      </c>
      <c r="C781" s="51" t="s">
        <v>5015</v>
      </c>
      <c r="D781" s="52" t="s">
        <v>1641</v>
      </c>
      <c r="E781" s="52" t="s">
        <v>1640</v>
      </c>
      <c r="F781" s="53" t="s">
        <v>5098</v>
      </c>
      <c r="G781" s="51" t="s">
        <v>4812</v>
      </c>
      <c r="H781" s="54"/>
      <c r="I781" s="55">
        <v>21</v>
      </c>
      <c r="K781" s="51" t="s">
        <v>5015</v>
      </c>
    </row>
    <row r="782" spans="1:11">
      <c r="A782" s="51">
        <v>753</v>
      </c>
      <c r="B782" s="51" t="s">
        <v>5014</v>
      </c>
      <c r="C782" s="51" t="s">
        <v>5015</v>
      </c>
      <c r="D782" s="52" t="s">
        <v>1641</v>
      </c>
      <c r="E782" s="52" t="s">
        <v>1640</v>
      </c>
      <c r="F782" s="53" t="s">
        <v>5098</v>
      </c>
      <c r="G782" s="51" t="s">
        <v>4812</v>
      </c>
      <c r="H782" s="54"/>
      <c r="I782" s="55">
        <v>0</v>
      </c>
      <c r="K782" s="51" t="s">
        <v>5015</v>
      </c>
    </row>
    <row r="783" spans="1:11">
      <c r="A783" s="51">
        <v>754</v>
      </c>
      <c r="B783" s="51" t="s">
        <v>5014</v>
      </c>
      <c r="C783" s="51" t="s">
        <v>5015</v>
      </c>
      <c r="D783" s="52" t="s">
        <v>1641</v>
      </c>
      <c r="E783" s="52" t="s">
        <v>1640</v>
      </c>
      <c r="F783" s="53" t="s">
        <v>5098</v>
      </c>
      <c r="G783" s="51" t="s">
        <v>4812</v>
      </c>
      <c r="H783" s="54"/>
      <c r="I783" s="55">
        <v>0</v>
      </c>
      <c r="K783" s="51" t="s">
        <v>5015</v>
      </c>
    </row>
    <row r="784" spans="1:11">
      <c r="A784" s="51">
        <v>755</v>
      </c>
      <c r="B784" s="51" t="s">
        <v>5014</v>
      </c>
      <c r="C784" s="51" t="s">
        <v>5015</v>
      </c>
      <c r="D784" s="52" t="s">
        <v>1641</v>
      </c>
      <c r="E784" s="52" t="s">
        <v>1640</v>
      </c>
      <c r="F784" s="53" t="s">
        <v>5098</v>
      </c>
      <c r="G784" s="51" t="s">
        <v>4812</v>
      </c>
      <c r="H784" s="54"/>
      <c r="I784" s="55">
        <v>0</v>
      </c>
      <c r="K784" s="51" t="s">
        <v>5015</v>
      </c>
    </row>
    <row r="785" spans="1:11">
      <c r="A785" s="51">
        <v>756</v>
      </c>
      <c r="B785" s="51" t="s">
        <v>5014</v>
      </c>
      <c r="C785" s="51" t="s">
        <v>5015</v>
      </c>
      <c r="D785" s="52" t="s">
        <v>1641</v>
      </c>
      <c r="E785" s="52" t="s">
        <v>1640</v>
      </c>
      <c r="F785" s="53" t="s">
        <v>5098</v>
      </c>
      <c r="G785" s="51" t="s">
        <v>4812</v>
      </c>
      <c r="H785" s="54"/>
      <c r="I785" s="55">
        <v>0</v>
      </c>
      <c r="K785" s="51" t="s">
        <v>5015</v>
      </c>
    </row>
    <row r="786" spans="1:11">
      <c r="A786" s="51">
        <v>757</v>
      </c>
      <c r="B786" s="51" t="s">
        <v>5014</v>
      </c>
      <c r="C786" s="51" t="s">
        <v>5015</v>
      </c>
      <c r="D786" s="52" t="s">
        <v>1719</v>
      </c>
      <c r="E786" s="52" t="s">
        <v>1718</v>
      </c>
      <c r="F786" s="53" t="s">
        <v>5099</v>
      </c>
      <c r="G786" s="51" t="s">
        <v>4812</v>
      </c>
      <c r="H786" s="54"/>
      <c r="I786" s="55">
        <v>0</v>
      </c>
      <c r="K786" s="51" t="s">
        <v>5015</v>
      </c>
    </row>
    <row r="787" spans="1:11">
      <c r="A787" s="51">
        <v>758</v>
      </c>
      <c r="B787" s="51" t="s">
        <v>5014</v>
      </c>
      <c r="C787" s="51" t="s">
        <v>5015</v>
      </c>
      <c r="D787" s="58" t="s">
        <v>1719</v>
      </c>
      <c r="E787" s="59" t="s">
        <v>1718</v>
      </c>
      <c r="F787" s="53" t="s">
        <v>5099</v>
      </c>
      <c r="G787" s="51" t="s">
        <v>4812</v>
      </c>
      <c r="H787" s="54"/>
      <c r="I787" s="55">
        <v>0</v>
      </c>
      <c r="K787" s="51" t="s">
        <v>5015</v>
      </c>
    </row>
    <row r="788" spans="1:11">
      <c r="A788" s="51">
        <v>759</v>
      </c>
      <c r="B788" s="51" t="s">
        <v>5014</v>
      </c>
      <c r="C788" s="51" t="s">
        <v>5015</v>
      </c>
      <c r="D788" s="58" t="s">
        <v>1719</v>
      </c>
      <c r="E788" s="59" t="s">
        <v>1718</v>
      </c>
      <c r="F788" s="53" t="s">
        <v>5099</v>
      </c>
      <c r="G788" s="51" t="s">
        <v>4812</v>
      </c>
      <c r="H788" s="54"/>
      <c r="I788" s="55">
        <v>0</v>
      </c>
      <c r="K788" s="51" t="s">
        <v>5015</v>
      </c>
    </row>
    <row r="789" spans="1:11">
      <c r="A789" s="51">
        <v>760</v>
      </c>
      <c r="B789" s="51" t="s">
        <v>5014</v>
      </c>
      <c r="C789" s="51" t="s">
        <v>5015</v>
      </c>
      <c r="D789" s="58" t="s">
        <v>1719</v>
      </c>
      <c r="E789" s="59" t="s">
        <v>1718</v>
      </c>
      <c r="F789" s="53" t="s">
        <v>5099</v>
      </c>
      <c r="G789" s="51" t="s">
        <v>4812</v>
      </c>
      <c r="H789" s="54"/>
      <c r="I789" s="55">
        <v>0</v>
      </c>
      <c r="K789" s="51" t="s">
        <v>5015</v>
      </c>
    </row>
    <row r="790" spans="1:11">
      <c r="A790" s="51">
        <v>761</v>
      </c>
      <c r="B790" s="51" t="s">
        <v>5014</v>
      </c>
      <c r="C790" s="51" t="s">
        <v>5015</v>
      </c>
      <c r="D790" s="52" t="s">
        <v>1719</v>
      </c>
      <c r="E790" s="52" t="s">
        <v>1718</v>
      </c>
      <c r="F790" s="53" t="s">
        <v>5099</v>
      </c>
      <c r="G790" s="51" t="s">
        <v>4812</v>
      </c>
      <c r="H790" s="54"/>
      <c r="I790" s="55">
        <v>57</v>
      </c>
      <c r="K790" s="51" t="s">
        <v>5015</v>
      </c>
    </row>
    <row r="791" spans="1:11">
      <c r="A791" s="51">
        <v>762</v>
      </c>
      <c r="B791" s="51" t="s">
        <v>5014</v>
      </c>
      <c r="C791" s="51" t="s">
        <v>5015</v>
      </c>
      <c r="D791" s="52" t="s">
        <v>1754</v>
      </c>
      <c r="E791" s="52" t="s">
        <v>1753</v>
      </c>
      <c r="F791" s="53" t="s">
        <v>5099</v>
      </c>
      <c r="G791" s="51" t="s">
        <v>4812</v>
      </c>
      <c r="H791" s="54"/>
      <c r="I791" s="55">
        <v>39</v>
      </c>
      <c r="K791" s="51" t="s">
        <v>5015</v>
      </c>
    </row>
    <row r="792" spans="1:11">
      <c r="A792" s="51">
        <v>763</v>
      </c>
      <c r="B792" s="51" t="s">
        <v>5014</v>
      </c>
      <c r="C792" s="51" t="s">
        <v>5015</v>
      </c>
      <c r="D792" s="52" t="s">
        <v>1754</v>
      </c>
      <c r="E792" s="52" t="s">
        <v>1753</v>
      </c>
      <c r="F792" s="53" t="s">
        <v>5099</v>
      </c>
      <c r="G792" s="51" t="s">
        <v>4812</v>
      </c>
      <c r="H792" s="54"/>
      <c r="I792" s="55">
        <v>56</v>
      </c>
      <c r="K792" s="51" t="s">
        <v>5015</v>
      </c>
    </row>
    <row r="793" spans="1:11">
      <c r="A793" s="51">
        <v>764</v>
      </c>
      <c r="B793" s="51" t="s">
        <v>5014</v>
      </c>
      <c r="C793" s="51" t="s">
        <v>5015</v>
      </c>
      <c r="D793" s="52" t="s">
        <v>1754</v>
      </c>
      <c r="E793" s="52" t="s">
        <v>1753</v>
      </c>
      <c r="F793" s="53" t="s">
        <v>5099</v>
      </c>
      <c r="G793" s="51" t="s">
        <v>4812</v>
      </c>
      <c r="H793" s="54"/>
      <c r="I793" s="55">
        <v>0</v>
      </c>
      <c r="K793" s="51" t="s">
        <v>5015</v>
      </c>
    </row>
    <row r="794" spans="1:11">
      <c r="A794" s="51">
        <v>765</v>
      </c>
      <c r="B794" s="51" t="s">
        <v>5014</v>
      </c>
      <c r="C794" s="51" t="s">
        <v>5015</v>
      </c>
      <c r="D794" s="52" t="s">
        <v>1754</v>
      </c>
      <c r="E794" s="52" t="s">
        <v>1753</v>
      </c>
      <c r="F794" s="53" t="s">
        <v>5099</v>
      </c>
      <c r="G794" s="51" t="s">
        <v>4812</v>
      </c>
      <c r="H794" s="54"/>
      <c r="I794" s="55">
        <v>0</v>
      </c>
      <c r="K794" s="51" t="s">
        <v>5015</v>
      </c>
    </row>
    <row r="795" spans="1:11">
      <c r="A795" s="51">
        <v>766</v>
      </c>
      <c r="B795" s="51" t="s">
        <v>5014</v>
      </c>
      <c r="C795" s="51" t="s">
        <v>5015</v>
      </c>
      <c r="D795" s="52" t="s">
        <v>1754</v>
      </c>
      <c r="E795" s="52" t="s">
        <v>1753</v>
      </c>
      <c r="F795" s="53" t="s">
        <v>5099</v>
      </c>
      <c r="G795" s="51" t="s">
        <v>4812</v>
      </c>
      <c r="H795" s="54"/>
      <c r="I795" s="55">
        <v>0</v>
      </c>
      <c r="K795" s="51" t="s">
        <v>5015</v>
      </c>
    </row>
    <row r="796" spans="1:11">
      <c r="A796" s="51">
        <v>767</v>
      </c>
      <c r="B796" s="51" t="s">
        <v>5100</v>
      </c>
      <c r="C796" s="51" t="s">
        <v>5101</v>
      </c>
      <c r="D796" s="52" t="s">
        <v>1896</v>
      </c>
      <c r="E796" s="52" t="s">
        <v>5102</v>
      </c>
      <c r="F796" s="53" t="s">
        <v>5103</v>
      </c>
      <c r="G796" s="51" t="s">
        <v>4812</v>
      </c>
      <c r="H796" s="54"/>
      <c r="I796" s="55">
        <v>7</v>
      </c>
      <c r="K796" s="51" t="s">
        <v>5101</v>
      </c>
    </row>
    <row r="797" spans="1:11">
      <c r="A797" s="51">
        <v>768</v>
      </c>
      <c r="B797" s="51" t="s">
        <v>5100</v>
      </c>
      <c r="C797" s="51" t="s">
        <v>5101</v>
      </c>
      <c r="D797" s="52" t="s">
        <v>5104</v>
      </c>
      <c r="E797" s="52" t="s">
        <v>5105</v>
      </c>
      <c r="F797" s="53" t="s">
        <v>5106</v>
      </c>
      <c r="G797" s="51" t="s">
        <v>4812</v>
      </c>
      <c r="H797" s="54"/>
      <c r="I797" s="55">
        <v>32</v>
      </c>
      <c r="K797" s="51" t="s">
        <v>5101</v>
      </c>
    </row>
    <row r="798" spans="1:11">
      <c r="A798" s="51">
        <v>769</v>
      </c>
      <c r="B798" s="51" t="s">
        <v>5100</v>
      </c>
      <c r="C798" s="51" t="s">
        <v>5101</v>
      </c>
      <c r="D798" s="52" t="s">
        <v>1912</v>
      </c>
      <c r="E798" s="52" t="s">
        <v>5107</v>
      </c>
      <c r="F798" s="53" t="s">
        <v>5108</v>
      </c>
      <c r="G798" s="51" t="s">
        <v>4812</v>
      </c>
      <c r="H798" s="54"/>
      <c r="I798" s="55">
        <v>0</v>
      </c>
      <c r="K798" s="51" t="s">
        <v>5101</v>
      </c>
    </row>
    <row r="799" spans="1:11">
      <c r="A799" s="51">
        <v>770</v>
      </c>
      <c r="B799" s="51" t="s">
        <v>5100</v>
      </c>
      <c r="C799" s="51" t="s">
        <v>5101</v>
      </c>
      <c r="D799" s="52" t="s">
        <v>3628</v>
      </c>
      <c r="E799" s="52" t="s">
        <v>3627</v>
      </c>
      <c r="F799" s="53" t="s">
        <v>5109</v>
      </c>
      <c r="G799" s="51" t="s">
        <v>4812</v>
      </c>
      <c r="H799" s="54"/>
      <c r="I799" s="55">
        <v>4</v>
      </c>
      <c r="K799" s="51" t="s">
        <v>5101</v>
      </c>
    </row>
    <row r="800" spans="1:11">
      <c r="A800" s="51">
        <v>771</v>
      </c>
      <c r="B800" s="51" t="s">
        <v>5100</v>
      </c>
      <c r="C800" s="51" t="s">
        <v>5101</v>
      </c>
      <c r="D800" s="58" t="s">
        <v>1887</v>
      </c>
      <c r="E800" s="58" t="s">
        <v>5110</v>
      </c>
      <c r="F800" s="53" t="s">
        <v>5111</v>
      </c>
      <c r="G800" s="51" t="s">
        <v>4812</v>
      </c>
      <c r="H800" s="54"/>
      <c r="I800" s="55">
        <v>5</v>
      </c>
      <c r="K800" s="51" t="s">
        <v>5101</v>
      </c>
    </row>
    <row r="801" spans="1:11">
      <c r="A801" s="51">
        <v>772</v>
      </c>
      <c r="B801" s="51" t="s">
        <v>5100</v>
      </c>
      <c r="C801" s="51" t="s">
        <v>5101</v>
      </c>
      <c r="D801" s="58" t="s">
        <v>1900</v>
      </c>
      <c r="E801" s="58" t="s">
        <v>1901</v>
      </c>
      <c r="F801" s="53" t="s">
        <v>5103</v>
      </c>
      <c r="G801" s="51" t="s">
        <v>4812</v>
      </c>
      <c r="H801" s="54"/>
      <c r="I801" s="55">
        <v>14</v>
      </c>
      <c r="K801" s="51" t="s">
        <v>5101</v>
      </c>
    </row>
    <row r="802" spans="1:11">
      <c r="A802" s="51">
        <v>773</v>
      </c>
      <c r="B802" s="51" t="s">
        <v>5112</v>
      </c>
      <c r="C802" s="51" t="s">
        <v>5113</v>
      </c>
      <c r="D802" s="52" t="s">
        <v>4073</v>
      </c>
      <c r="E802" s="52" t="s">
        <v>4072</v>
      </c>
      <c r="F802" s="53" t="s">
        <v>4838</v>
      </c>
      <c r="G802" s="51" t="s">
        <v>4812</v>
      </c>
      <c r="H802" s="54"/>
      <c r="I802" s="55">
        <v>0</v>
      </c>
      <c r="K802" s="51" t="s">
        <v>5113</v>
      </c>
    </row>
    <row r="803" spans="1:11">
      <c r="A803" s="51">
        <v>774</v>
      </c>
      <c r="B803" s="51" t="s">
        <v>5112</v>
      </c>
      <c r="C803" s="51" t="s">
        <v>5113</v>
      </c>
      <c r="D803" s="52" t="s">
        <v>2239</v>
      </c>
      <c r="E803" s="52" t="s">
        <v>2238</v>
      </c>
      <c r="F803" s="53" t="s">
        <v>4839</v>
      </c>
      <c r="G803" s="51" t="s">
        <v>4812</v>
      </c>
      <c r="H803" s="54"/>
      <c r="I803" s="55">
        <v>42</v>
      </c>
      <c r="K803" s="51" t="s">
        <v>5113</v>
      </c>
    </row>
    <row r="804" spans="1:11">
      <c r="A804" s="51">
        <v>775</v>
      </c>
      <c r="B804" s="51" t="s">
        <v>5112</v>
      </c>
      <c r="C804" s="51" t="s">
        <v>5113</v>
      </c>
      <c r="D804" s="52" t="s">
        <v>2254</v>
      </c>
      <c r="E804" s="52" t="s">
        <v>2253</v>
      </c>
      <c r="F804" s="53" t="s">
        <v>4840</v>
      </c>
      <c r="G804" s="51" t="s">
        <v>4812</v>
      </c>
      <c r="H804" s="54"/>
      <c r="I804" s="55">
        <v>58</v>
      </c>
      <c r="K804" s="51" t="s">
        <v>5113</v>
      </c>
    </row>
    <row r="805" spans="1:11">
      <c r="A805" s="51">
        <v>776</v>
      </c>
      <c r="B805" s="51" t="s">
        <v>5112</v>
      </c>
      <c r="C805" s="51" t="s">
        <v>5113</v>
      </c>
      <c r="D805" s="52" t="s">
        <v>2243</v>
      </c>
      <c r="E805" s="52" t="s">
        <v>2242</v>
      </c>
      <c r="F805" s="53" t="s">
        <v>4839</v>
      </c>
      <c r="G805" s="51" t="s">
        <v>4812</v>
      </c>
      <c r="H805" s="54"/>
      <c r="I805" s="55">
        <v>25</v>
      </c>
      <c r="K805" s="51" t="s">
        <v>5113</v>
      </c>
    </row>
    <row r="806" spans="1:11">
      <c r="A806" s="51">
        <v>777</v>
      </c>
      <c r="B806" s="51" t="s">
        <v>5112</v>
      </c>
      <c r="C806" s="51" t="s">
        <v>5113</v>
      </c>
      <c r="D806" s="52" t="s">
        <v>2258</v>
      </c>
      <c r="E806" s="52" t="s">
        <v>2257</v>
      </c>
      <c r="F806" s="53" t="s">
        <v>4840</v>
      </c>
      <c r="G806" s="51" t="s">
        <v>4812</v>
      </c>
      <c r="H806" s="54"/>
      <c r="I806" s="55">
        <v>80</v>
      </c>
      <c r="K806" s="51" t="s">
        <v>5113</v>
      </c>
    </row>
    <row r="807" spans="1:11">
      <c r="A807" s="51">
        <v>778</v>
      </c>
      <c r="B807" s="51" t="s">
        <v>5112</v>
      </c>
      <c r="C807" s="51" t="s">
        <v>5113</v>
      </c>
      <c r="D807" s="52" t="s">
        <v>1978</v>
      </c>
      <c r="E807" s="52" t="s">
        <v>1977</v>
      </c>
      <c r="F807" s="53" t="s">
        <v>4925</v>
      </c>
      <c r="G807" s="51" t="s">
        <v>4812</v>
      </c>
      <c r="H807" s="54"/>
      <c r="I807" s="55">
        <v>0</v>
      </c>
      <c r="K807" s="51" t="s">
        <v>5113</v>
      </c>
    </row>
    <row r="808" spans="1:11">
      <c r="A808" s="51">
        <v>779</v>
      </c>
      <c r="B808" s="51" t="s">
        <v>5112</v>
      </c>
      <c r="C808" s="51" t="s">
        <v>5113</v>
      </c>
      <c r="D808" s="52" t="s">
        <v>2450</v>
      </c>
      <c r="E808" s="52" t="s">
        <v>2449</v>
      </c>
      <c r="F808" s="53" t="s">
        <v>5114</v>
      </c>
      <c r="G808" s="51" t="s">
        <v>4812</v>
      </c>
      <c r="H808" s="54"/>
      <c r="I808" s="55">
        <v>0</v>
      </c>
      <c r="K808" s="51" t="s">
        <v>5113</v>
      </c>
    </row>
    <row r="809" spans="1:11">
      <c r="A809" s="51">
        <v>780</v>
      </c>
      <c r="B809" s="51" t="s">
        <v>5112</v>
      </c>
      <c r="C809" s="51" t="s">
        <v>5113</v>
      </c>
      <c r="D809" s="52" t="s">
        <v>5115</v>
      </c>
      <c r="E809" s="52" t="s">
        <v>5116</v>
      </c>
      <c r="F809" s="53" t="s">
        <v>5117</v>
      </c>
      <c r="G809" s="51" t="s">
        <v>4812</v>
      </c>
      <c r="H809" s="54"/>
      <c r="I809" s="55">
        <v>0</v>
      </c>
      <c r="K809" s="51" t="s">
        <v>5113</v>
      </c>
    </row>
    <row r="810" spans="1:11">
      <c r="A810" s="51">
        <v>781</v>
      </c>
      <c r="B810" s="51" t="s">
        <v>5112</v>
      </c>
      <c r="C810" s="51" t="s">
        <v>5113</v>
      </c>
      <c r="D810" s="52" t="s">
        <v>5118</v>
      </c>
      <c r="E810" s="52" t="s">
        <v>5119</v>
      </c>
      <c r="F810" s="53" t="s">
        <v>5120</v>
      </c>
      <c r="G810" s="51" t="s">
        <v>4812</v>
      </c>
      <c r="H810" s="54"/>
      <c r="I810" s="55">
        <v>0</v>
      </c>
      <c r="K810" s="51" t="s">
        <v>5113</v>
      </c>
    </row>
    <row r="811" spans="1:11">
      <c r="A811" s="51">
        <v>782</v>
      </c>
      <c r="B811" s="51" t="s">
        <v>5112</v>
      </c>
      <c r="C811" s="51" t="s">
        <v>5113</v>
      </c>
      <c r="D811" s="52" t="s">
        <v>5121</v>
      </c>
      <c r="E811" s="52" t="s">
        <v>5122</v>
      </c>
      <c r="F811" s="53" t="s">
        <v>119</v>
      </c>
      <c r="G811" s="51" t="s">
        <v>4812</v>
      </c>
      <c r="H811" s="54"/>
      <c r="I811" s="55">
        <v>0</v>
      </c>
      <c r="K811" s="51" t="s">
        <v>5113</v>
      </c>
    </row>
    <row r="812" spans="1:11">
      <c r="A812" s="51">
        <v>783</v>
      </c>
      <c r="B812" s="51" t="s">
        <v>5112</v>
      </c>
      <c r="C812" s="51" t="s">
        <v>5113</v>
      </c>
      <c r="D812" s="52" t="s">
        <v>5123</v>
      </c>
      <c r="E812" s="52" t="s">
        <v>5124</v>
      </c>
      <c r="F812" s="53" t="s">
        <v>5125</v>
      </c>
      <c r="G812" s="51" t="s">
        <v>4812</v>
      </c>
      <c r="H812" s="54"/>
      <c r="I812" s="55">
        <v>0</v>
      </c>
      <c r="K812" s="51" t="s">
        <v>5113</v>
      </c>
    </row>
    <row r="813" spans="1:11">
      <c r="A813" s="51">
        <v>784</v>
      </c>
      <c r="B813" s="51" t="s">
        <v>5112</v>
      </c>
      <c r="C813" s="51" t="s">
        <v>5113</v>
      </c>
      <c r="D813" s="52" t="s">
        <v>1047</v>
      </c>
      <c r="E813" s="52" t="s">
        <v>4929</v>
      </c>
      <c r="F813" s="53" t="s">
        <v>4930</v>
      </c>
      <c r="G813" s="51" t="s">
        <v>4812</v>
      </c>
      <c r="H813" s="54"/>
      <c r="I813" s="55">
        <v>12</v>
      </c>
      <c r="K813" s="51" t="s">
        <v>5113</v>
      </c>
    </row>
    <row r="814" spans="1:11">
      <c r="A814" s="51">
        <v>785</v>
      </c>
      <c r="B814" s="51" t="s">
        <v>5112</v>
      </c>
      <c r="C814" s="51" t="s">
        <v>5113</v>
      </c>
      <c r="D814" s="52" t="s">
        <v>1051</v>
      </c>
      <c r="E814" s="52" t="s">
        <v>4931</v>
      </c>
      <c r="F814" s="53" t="s">
        <v>4932</v>
      </c>
      <c r="G814" s="51" t="s">
        <v>4812</v>
      </c>
      <c r="H814" s="54"/>
      <c r="I814" s="55">
        <v>0</v>
      </c>
      <c r="K814" s="51" t="s">
        <v>5113</v>
      </c>
    </row>
    <row r="815" spans="1:11">
      <c r="A815" s="51">
        <v>786</v>
      </c>
      <c r="B815" s="51" t="s">
        <v>5112</v>
      </c>
      <c r="C815" s="51" t="s">
        <v>5113</v>
      </c>
      <c r="D815" s="52" t="s">
        <v>1972</v>
      </c>
      <c r="E815" s="52" t="s">
        <v>1971</v>
      </c>
      <c r="F815" s="53" t="s">
        <v>117</v>
      </c>
      <c r="G815" s="51" t="s">
        <v>4812</v>
      </c>
      <c r="H815" s="54"/>
      <c r="I815" s="55">
        <v>0</v>
      </c>
      <c r="K815" s="51" t="s">
        <v>5113</v>
      </c>
    </row>
    <row r="816" spans="1:11">
      <c r="A816" s="51">
        <v>787</v>
      </c>
      <c r="B816" s="51" t="s">
        <v>5112</v>
      </c>
      <c r="C816" s="51" t="s">
        <v>5113</v>
      </c>
      <c r="D816" s="52" t="s">
        <v>1926</v>
      </c>
      <c r="E816" s="52" t="s">
        <v>1925</v>
      </c>
      <c r="F816" s="53" t="s">
        <v>4933</v>
      </c>
      <c r="G816" s="51" t="s">
        <v>4812</v>
      </c>
      <c r="H816" s="54"/>
      <c r="I816" s="55">
        <v>0</v>
      </c>
      <c r="K816" s="51" t="s">
        <v>5113</v>
      </c>
    </row>
    <row r="817" spans="1:11">
      <c r="A817" s="51">
        <v>788</v>
      </c>
      <c r="B817" s="51" t="s">
        <v>5112</v>
      </c>
      <c r="C817" s="51" t="s">
        <v>5113</v>
      </c>
      <c r="D817" s="52" t="s">
        <v>4996</v>
      </c>
      <c r="E817" s="52" t="s">
        <v>4997</v>
      </c>
      <c r="F817" s="53" t="s">
        <v>4998</v>
      </c>
      <c r="G817" s="51" t="s">
        <v>4812</v>
      </c>
      <c r="H817" s="54"/>
      <c r="I817" s="55">
        <v>0</v>
      </c>
      <c r="K817" s="51" t="s">
        <v>5113</v>
      </c>
    </row>
    <row r="818" spans="1:11">
      <c r="A818" s="51">
        <v>789</v>
      </c>
      <c r="B818" s="51" t="s">
        <v>5112</v>
      </c>
      <c r="C818" s="51" t="s">
        <v>5113</v>
      </c>
      <c r="D818" s="52" t="s">
        <v>4999</v>
      </c>
      <c r="E818" s="52" t="s">
        <v>5000</v>
      </c>
      <c r="F818" s="53" t="s">
        <v>5001</v>
      </c>
      <c r="G818" s="51" t="s">
        <v>4812</v>
      </c>
      <c r="H818" s="54"/>
      <c r="I818" s="55">
        <v>0</v>
      </c>
      <c r="K818" s="51" t="s">
        <v>5113</v>
      </c>
    </row>
    <row r="819" spans="1:11">
      <c r="A819" s="51">
        <v>790</v>
      </c>
      <c r="B819" s="51" t="s">
        <v>5112</v>
      </c>
      <c r="C819" s="51" t="s">
        <v>5113</v>
      </c>
      <c r="D819" s="52" t="s">
        <v>5126</v>
      </c>
      <c r="E819" s="52" t="s">
        <v>5127</v>
      </c>
      <c r="F819" s="53" t="s">
        <v>4899</v>
      </c>
      <c r="G819" s="51" t="s">
        <v>4812</v>
      </c>
      <c r="H819" s="54"/>
      <c r="I819" s="55">
        <v>0</v>
      </c>
      <c r="K819" s="51" t="s">
        <v>5113</v>
      </c>
    </row>
    <row r="820" spans="1:11">
      <c r="A820" s="51">
        <v>791</v>
      </c>
      <c r="B820" s="51" t="s">
        <v>5112</v>
      </c>
      <c r="C820" s="51" t="s">
        <v>5113</v>
      </c>
      <c r="D820" s="52" t="s">
        <v>5128</v>
      </c>
      <c r="E820" s="52" t="s">
        <v>5129</v>
      </c>
      <c r="F820" s="53" t="s">
        <v>5130</v>
      </c>
      <c r="G820" s="51" t="s">
        <v>4812</v>
      </c>
      <c r="H820" s="54"/>
      <c r="I820" s="55">
        <v>9</v>
      </c>
      <c r="K820" s="51" t="s">
        <v>5113</v>
      </c>
    </row>
    <row r="821" spans="1:11">
      <c r="A821" s="51">
        <v>792</v>
      </c>
      <c r="B821" s="51" t="s">
        <v>5131</v>
      </c>
      <c r="C821" s="51" t="s">
        <v>5132</v>
      </c>
      <c r="D821" s="52" t="s">
        <v>4073</v>
      </c>
      <c r="E821" s="52" t="s">
        <v>4072</v>
      </c>
      <c r="F821" s="53" t="s">
        <v>4838</v>
      </c>
      <c r="G821" s="51" t="s">
        <v>4812</v>
      </c>
      <c r="H821" s="54"/>
      <c r="I821" s="55">
        <v>246</v>
      </c>
      <c r="K821" s="51" t="s">
        <v>5132</v>
      </c>
    </row>
    <row r="822" spans="1:11">
      <c r="A822" s="51">
        <v>793</v>
      </c>
      <c r="B822" s="51" t="s">
        <v>5131</v>
      </c>
      <c r="C822" s="51" t="s">
        <v>5132</v>
      </c>
      <c r="D822" s="52" t="s">
        <v>2239</v>
      </c>
      <c r="E822" s="52" t="s">
        <v>2238</v>
      </c>
      <c r="F822" s="53" t="s">
        <v>4839</v>
      </c>
      <c r="G822" s="51" t="s">
        <v>4812</v>
      </c>
      <c r="H822" s="54"/>
      <c r="I822" s="55">
        <v>41</v>
      </c>
      <c r="K822" s="51" t="s">
        <v>5132</v>
      </c>
    </row>
    <row r="823" spans="1:11">
      <c r="A823" s="51">
        <v>794</v>
      </c>
      <c r="B823" s="51" t="s">
        <v>5131</v>
      </c>
      <c r="C823" s="51" t="s">
        <v>5132</v>
      </c>
      <c r="D823" s="52" t="s">
        <v>2254</v>
      </c>
      <c r="E823" s="52" t="s">
        <v>2253</v>
      </c>
      <c r="F823" s="53" t="s">
        <v>4840</v>
      </c>
      <c r="G823" s="51" t="s">
        <v>4812</v>
      </c>
      <c r="H823" s="54"/>
      <c r="I823" s="55">
        <v>20</v>
      </c>
      <c r="K823" s="51" t="s">
        <v>5132</v>
      </c>
    </row>
    <row r="824" spans="1:11">
      <c r="A824" s="51">
        <v>795</v>
      </c>
      <c r="B824" s="51" t="s">
        <v>5131</v>
      </c>
      <c r="C824" s="51" t="s">
        <v>5132</v>
      </c>
      <c r="D824" s="52" t="s">
        <v>2243</v>
      </c>
      <c r="E824" s="52" t="s">
        <v>2242</v>
      </c>
      <c r="F824" s="53" t="s">
        <v>4839</v>
      </c>
      <c r="G824" s="51" t="s">
        <v>4812</v>
      </c>
      <c r="H824" s="54"/>
      <c r="I824" s="55">
        <v>74</v>
      </c>
      <c r="K824" s="51" t="s">
        <v>5132</v>
      </c>
    </row>
    <row r="825" spans="1:11">
      <c r="A825" s="51">
        <v>796</v>
      </c>
      <c r="B825" s="51" t="s">
        <v>5131</v>
      </c>
      <c r="C825" s="51" t="s">
        <v>5132</v>
      </c>
      <c r="D825" s="52" t="s">
        <v>2258</v>
      </c>
      <c r="E825" s="52" t="s">
        <v>2257</v>
      </c>
      <c r="F825" s="53" t="s">
        <v>4840</v>
      </c>
      <c r="G825" s="51" t="s">
        <v>4812</v>
      </c>
      <c r="H825" s="54"/>
      <c r="I825" s="55">
        <v>31</v>
      </c>
      <c r="K825" s="51" t="s">
        <v>5132</v>
      </c>
    </row>
    <row r="826" spans="1:11">
      <c r="A826" s="51">
        <v>797</v>
      </c>
      <c r="B826" s="51" t="s">
        <v>5131</v>
      </c>
      <c r="C826" s="51" t="s">
        <v>5132</v>
      </c>
      <c r="D826" s="52" t="s">
        <v>1978</v>
      </c>
      <c r="E826" s="52" t="s">
        <v>1977</v>
      </c>
      <c r="F826" s="53" t="s">
        <v>4925</v>
      </c>
      <c r="G826" s="51" t="s">
        <v>4812</v>
      </c>
      <c r="H826" s="54"/>
      <c r="I826" s="55">
        <v>92</v>
      </c>
      <c r="K826" s="51" t="s">
        <v>5132</v>
      </c>
    </row>
    <row r="827" spans="1:11">
      <c r="A827" s="51">
        <v>798</v>
      </c>
      <c r="B827" s="51" t="s">
        <v>5131</v>
      </c>
      <c r="C827" s="51" t="s">
        <v>5132</v>
      </c>
      <c r="D827" s="52" t="s">
        <v>2450</v>
      </c>
      <c r="E827" s="52" t="s">
        <v>2449</v>
      </c>
      <c r="F827" s="53" t="s">
        <v>4842</v>
      </c>
      <c r="G827" s="51" t="s">
        <v>4812</v>
      </c>
      <c r="H827" s="54"/>
      <c r="I827" s="55">
        <v>1360</v>
      </c>
      <c r="K827" s="51" t="s">
        <v>5132</v>
      </c>
    </row>
    <row r="828" spans="1:11">
      <c r="A828" s="51">
        <v>799</v>
      </c>
      <c r="B828" s="51" t="s">
        <v>5131</v>
      </c>
      <c r="C828" s="51" t="s">
        <v>5132</v>
      </c>
      <c r="D828" s="52" t="s">
        <v>5133</v>
      </c>
      <c r="E828" s="52" t="s">
        <v>5134</v>
      </c>
      <c r="F828" s="53" t="s">
        <v>5135</v>
      </c>
      <c r="G828" s="51" t="s">
        <v>4812</v>
      </c>
      <c r="H828" s="54"/>
      <c r="I828" s="55">
        <v>0</v>
      </c>
      <c r="K828" s="51" t="s">
        <v>5132</v>
      </c>
    </row>
    <row r="829" spans="1:11">
      <c r="A829" s="51">
        <v>800</v>
      </c>
      <c r="B829" s="51" t="s">
        <v>5131</v>
      </c>
      <c r="C829" s="51" t="s">
        <v>5132</v>
      </c>
      <c r="D829" s="52" t="s">
        <v>5136</v>
      </c>
      <c r="E829" s="52" t="s">
        <v>5137</v>
      </c>
      <c r="F829" s="53" t="s">
        <v>5138</v>
      </c>
      <c r="G829" s="51" t="s">
        <v>4812</v>
      </c>
      <c r="H829" s="54"/>
      <c r="I829" s="55">
        <v>0</v>
      </c>
      <c r="K829" s="51" t="s">
        <v>5132</v>
      </c>
    </row>
    <row r="830" spans="1:11">
      <c r="A830" s="51">
        <v>801</v>
      </c>
      <c r="B830" s="51" t="s">
        <v>5131</v>
      </c>
      <c r="C830" s="51" t="s">
        <v>5132</v>
      </c>
      <c r="D830" s="52" t="s">
        <v>955</v>
      </c>
      <c r="E830" s="52" t="s">
        <v>4927</v>
      </c>
      <c r="F830" s="53" t="s">
        <v>4928</v>
      </c>
      <c r="G830" s="51" t="s">
        <v>4812</v>
      </c>
      <c r="H830" s="54"/>
      <c r="I830" s="55">
        <v>11</v>
      </c>
      <c r="K830" s="51" t="s">
        <v>5132</v>
      </c>
    </row>
    <row r="831" spans="1:11">
      <c r="A831" s="51">
        <v>802</v>
      </c>
      <c r="B831" s="51" t="s">
        <v>5131</v>
      </c>
      <c r="C831" s="51" t="s">
        <v>5132</v>
      </c>
      <c r="D831" s="52" t="s">
        <v>1972</v>
      </c>
      <c r="E831" s="52" t="s">
        <v>1971</v>
      </c>
      <c r="F831" s="53" t="s">
        <v>117</v>
      </c>
      <c r="G831" s="51" t="s">
        <v>4812</v>
      </c>
      <c r="H831" s="54"/>
      <c r="I831" s="55">
        <v>360</v>
      </c>
      <c r="K831" s="51" t="s">
        <v>5132</v>
      </c>
    </row>
    <row r="832" spans="1:11">
      <c r="A832" s="51">
        <v>803</v>
      </c>
      <c r="B832" s="51" t="s">
        <v>5131</v>
      </c>
      <c r="C832" s="51" t="s">
        <v>5132</v>
      </c>
      <c r="D832" s="52" t="s">
        <v>1926</v>
      </c>
      <c r="E832" s="52" t="s">
        <v>1925</v>
      </c>
      <c r="F832" s="53" t="s">
        <v>4933</v>
      </c>
      <c r="G832" s="51" t="s">
        <v>4812</v>
      </c>
      <c r="H832" s="54"/>
      <c r="I832" s="55">
        <v>168</v>
      </c>
      <c r="K832" s="51" t="s">
        <v>5132</v>
      </c>
    </row>
    <row r="833" spans="1:11">
      <c r="A833" s="51">
        <v>804</v>
      </c>
      <c r="B833" s="51" t="s">
        <v>5131</v>
      </c>
      <c r="C833" s="51" t="s">
        <v>5132</v>
      </c>
      <c r="D833" s="52" t="s">
        <v>5002</v>
      </c>
      <c r="E833" s="52" t="s">
        <v>5003</v>
      </c>
      <c r="F833" s="53" t="s">
        <v>5004</v>
      </c>
      <c r="G833" s="51" t="s">
        <v>4812</v>
      </c>
      <c r="H833" s="54"/>
      <c r="I833" s="55">
        <v>27</v>
      </c>
      <c r="K833" s="51" t="s">
        <v>5132</v>
      </c>
    </row>
    <row r="834" spans="1:11">
      <c r="A834" s="51">
        <v>805</v>
      </c>
      <c r="B834" s="51" t="s">
        <v>5131</v>
      </c>
      <c r="C834" s="51" t="s">
        <v>5132</v>
      </c>
      <c r="D834" s="52" t="s">
        <v>5005</v>
      </c>
      <c r="E834" s="52" t="s">
        <v>5006</v>
      </c>
      <c r="F834" s="53" t="s">
        <v>5007</v>
      </c>
      <c r="G834" s="51" t="s">
        <v>4812</v>
      </c>
      <c r="H834" s="54"/>
      <c r="I834" s="55">
        <v>5</v>
      </c>
      <c r="K834" s="51" t="s">
        <v>5132</v>
      </c>
    </row>
    <row r="835" spans="1:11">
      <c r="A835" s="51">
        <v>806</v>
      </c>
      <c r="B835" s="51" t="s">
        <v>5131</v>
      </c>
      <c r="C835" s="51" t="s">
        <v>5132</v>
      </c>
      <c r="D835" s="52" t="s">
        <v>5139</v>
      </c>
      <c r="E835" s="52" t="s">
        <v>5140</v>
      </c>
      <c r="F835" s="53" t="s">
        <v>5141</v>
      </c>
      <c r="G835" s="51" t="s">
        <v>4812</v>
      </c>
      <c r="H835" s="54"/>
      <c r="I835" s="55">
        <v>0</v>
      </c>
      <c r="K835" s="51" t="s">
        <v>5132</v>
      </c>
    </row>
    <row r="836" spans="1:11">
      <c r="A836" s="51">
        <v>807</v>
      </c>
      <c r="B836" s="51" t="s">
        <v>5131</v>
      </c>
      <c r="C836" s="51" t="s">
        <v>5132</v>
      </c>
      <c r="D836" s="52" t="s">
        <v>5142</v>
      </c>
      <c r="E836" s="52" t="s">
        <v>5143</v>
      </c>
      <c r="F836" s="53" t="s">
        <v>5144</v>
      </c>
      <c r="G836" s="51" t="s">
        <v>4812</v>
      </c>
      <c r="H836" s="54"/>
      <c r="I836" s="55">
        <v>0</v>
      </c>
      <c r="K836" s="51" t="s">
        <v>5132</v>
      </c>
    </row>
    <row r="837" spans="1:11">
      <c r="A837" s="51">
        <v>808</v>
      </c>
      <c r="B837" s="51" t="s">
        <v>5145</v>
      </c>
      <c r="C837" s="51" t="s">
        <v>5146</v>
      </c>
      <c r="D837" s="52" t="s">
        <v>3198</v>
      </c>
      <c r="E837" s="52" t="s">
        <v>3197</v>
      </c>
      <c r="F837" s="53" t="s">
        <v>4891</v>
      </c>
      <c r="G837" s="51" t="s">
        <v>4812</v>
      </c>
      <c r="H837" s="54"/>
      <c r="I837" s="55">
        <v>936</v>
      </c>
      <c r="K837" s="51" t="s">
        <v>5146</v>
      </c>
    </row>
    <row r="838" spans="1:11">
      <c r="A838" s="51">
        <v>809</v>
      </c>
      <c r="B838" s="51" t="s">
        <v>5145</v>
      </c>
      <c r="C838" s="51" t="s">
        <v>5146</v>
      </c>
      <c r="D838" s="52" t="s">
        <v>4073</v>
      </c>
      <c r="E838" s="52" t="s">
        <v>4072</v>
      </c>
      <c r="F838" s="53" t="s">
        <v>4838</v>
      </c>
      <c r="G838" s="51" t="s">
        <v>4812</v>
      </c>
      <c r="H838" s="54"/>
      <c r="I838" s="55">
        <v>1410</v>
      </c>
      <c r="K838" s="51" t="s">
        <v>5146</v>
      </c>
    </row>
    <row r="839" spans="1:11">
      <c r="A839" s="51">
        <v>810</v>
      </c>
      <c r="B839" s="51" t="s">
        <v>5145</v>
      </c>
      <c r="C839" s="51" t="s">
        <v>5146</v>
      </c>
      <c r="D839" s="52" t="s">
        <v>2008</v>
      </c>
      <c r="E839" s="52" t="s">
        <v>2007</v>
      </c>
      <c r="F839" s="53" t="s">
        <v>4893</v>
      </c>
      <c r="G839" s="51" t="s">
        <v>4812</v>
      </c>
      <c r="H839" s="54"/>
      <c r="I839" s="55">
        <v>31</v>
      </c>
      <c r="K839" s="51" t="s">
        <v>5146</v>
      </c>
    </row>
    <row r="840" spans="1:11">
      <c r="A840" s="51">
        <v>811</v>
      </c>
      <c r="B840" s="51" t="s">
        <v>5145</v>
      </c>
      <c r="C840" s="51" t="s">
        <v>5146</v>
      </c>
      <c r="D840" s="52" t="s">
        <v>5147</v>
      </c>
      <c r="E840" s="52" t="s">
        <v>5148</v>
      </c>
      <c r="F840" s="53" t="s">
        <v>119</v>
      </c>
      <c r="G840" s="51" t="s">
        <v>4812</v>
      </c>
      <c r="H840" s="54"/>
      <c r="I840" s="55">
        <v>0</v>
      </c>
      <c r="K840" s="51" t="s">
        <v>5146</v>
      </c>
    </row>
    <row r="841" spans="1:11">
      <c r="A841" s="51">
        <v>812</v>
      </c>
      <c r="B841" s="51" t="s">
        <v>5145</v>
      </c>
      <c r="C841" s="51" t="s">
        <v>5146</v>
      </c>
      <c r="D841" s="52" t="s">
        <v>5149</v>
      </c>
      <c r="E841" s="52" t="s">
        <v>5150</v>
      </c>
      <c r="F841" s="53" t="s">
        <v>5125</v>
      </c>
      <c r="G841" s="51" t="s">
        <v>4812</v>
      </c>
      <c r="H841" s="54"/>
      <c r="I841" s="55">
        <v>0</v>
      </c>
      <c r="K841" s="51" t="s">
        <v>5146</v>
      </c>
    </row>
    <row r="842" spans="1:11">
      <c r="A842" s="51">
        <v>813</v>
      </c>
      <c r="B842" s="51" t="s">
        <v>5145</v>
      </c>
      <c r="C842" s="51" t="s">
        <v>5146</v>
      </c>
      <c r="D842" s="52" t="s">
        <v>5151</v>
      </c>
      <c r="E842" s="52" t="s">
        <v>5152</v>
      </c>
      <c r="F842" s="53" t="s">
        <v>5153</v>
      </c>
      <c r="G842" s="51" t="s">
        <v>4812</v>
      </c>
      <c r="H842" s="54"/>
      <c r="I842" s="55">
        <v>0</v>
      </c>
      <c r="K842" s="51" t="s">
        <v>5146</v>
      </c>
    </row>
    <row r="843" spans="1:11">
      <c r="A843" s="51">
        <v>814</v>
      </c>
      <c r="B843" s="51" t="s">
        <v>5145</v>
      </c>
      <c r="C843" s="51" t="s">
        <v>5146</v>
      </c>
      <c r="D843" s="52" t="s">
        <v>5154</v>
      </c>
      <c r="E843" s="52" t="s">
        <v>5155</v>
      </c>
      <c r="F843" s="53" t="s">
        <v>5156</v>
      </c>
      <c r="G843" s="51" t="s">
        <v>4812</v>
      </c>
      <c r="H843" s="54"/>
      <c r="I843" s="55">
        <v>0</v>
      </c>
      <c r="K843" s="51" t="s">
        <v>5146</v>
      </c>
    </row>
    <row r="844" spans="1:11">
      <c r="A844" s="51">
        <v>815</v>
      </c>
      <c r="B844" s="51" t="s">
        <v>5145</v>
      </c>
      <c r="C844" s="51" t="s">
        <v>5146</v>
      </c>
      <c r="D844" s="52" t="s">
        <v>5157</v>
      </c>
      <c r="E844" s="52" t="s">
        <v>5158</v>
      </c>
      <c r="F844" s="53" t="s">
        <v>5135</v>
      </c>
      <c r="G844" s="51" t="s">
        <v>4812</v>
      </c>
      <c r="H844" s="54"/>
      <c r="I844" s="55">
        <v>0</v>
      </c>
      <c r="K844" s="51" t="s">
        <v>5146</v>
      </c>
    </row>
    <row r="845" spans="1:11">
      <c r="A845" s="51">
        <v>816</v>
      </c>
      <c r="B845" s="51" t="s">
        <v>5145</v>
      </c>
      <c r="C845" s="51" t="s">
        <v>5146</v>
      </c>
      <c r="D845" s="52" t="s">
        <v>5159</v>
      </c>
      <c r="E845" s="52" t="s">
        <v>5160</v>
      </c>
      <c r="F845" s="53" t="s">
        <v>5138</v>
      </c>
      <c r="G845" s="51" t="s">
        <v>4812</v>
      </c>
      <c r="H845" s="54"/>
      <c r="I845" s="55">
        <v>0</v>
      </c>
      <c r="K845" s="51" t="s">
        <v>5146</v>
      </c>
    </row>
    <row r="846" spans="1:11">
      <c r="A846" s="51">
        <v>817</v>
      </c>
      <c r="B846" s="51" t="s">
        <v>5145</v>
      </c>
      <c r="C846" s="51" t="s">
        <v>5146</v>
      </c>
      <c r="D846" s="52" t="s">
        <v>5161</v>
      </c>
      <c r="E846" s="52" t="s">
        <v>5162</v>
      </c>
      <c r="F846" s="53" t="s">
        <v>5135</v>
      </c>
      <c r="G846" s="51" t="s">
        <v>4812</v>
      </c>
      <c r="H846" s="54"/>
      <c r="I846" s="55">
        <v>0</v>
      </c>
      <c r="K846" s="51" t="s">
        <v>5146</v>
      </c>
    </row>
    <row r="847" spans="1:11">
      <c r="A847" s="51">
        <v>818</v>
      </c>
      <c r="B847" s="51" t="s">
        <v>5145</v>
      </c>
      <c r="C847" s="51" t="s">
        <v>5146</v>
      </c>
      <c r="D847" s="52" t="s">
        <v>5163</v>
      </c>
      <c r="E847" s="52" t="s">
        <v>5164</v>
      </c>
      <c r="F847" s="53" t="s">
        <v>5138</v>
      </c>
      <c r="G847" s="51" t="s">
        <v>4812</v>
      </c>
      <c r="H847" s="54"/>
      <c r="I847" s="55">
        <v>0</v>
      </c>
      <c r="K847" s="51" t="s">
        <v>5146</v>
      </c>
    </row>
    <row r="848" spans="1:11">
      <c r="A848" s="51">
        <v>819</v>
      </c>
      <c r="B848" s="51" t="s">
        <v>5145</v>
      </c>
      <c r="C848" s="51" t="s">
        <v>5146</v>
      </c>
      <c r="D848" s="52" t="s">
        <v>959</v>
      </c>
      <c r="E848" s="52" t="s">
        <v>5165</v>
      </c>
      <c r="F848" s="53" t="s">
        <v>5166</v>
      </c>
      <c r="G848" s="51" t="s">
        <v>4812</v>
      </c>
      <c r="H848" s="54"/>
      <c r="I848" s="55">
        <v>0</v>
      </c>
      <c r="K848" s="51" t="s">
        <v>5146</v>
      </c>
    </row>
    <row r="849" spans="1:11">
      <c r="A849" s="51">
        <v>820</v>
      </c>
      <c r="B849" s="51" t="s">
        <v>5145</v>
      </c>
      <c r="C849" s="51" t="s">
        <v>5146</v>
      </c>
      <c r="D849" s="52" t="s">
        <v>1055</v>
      </c>
      <c r="E849" s="52" t="s">
        <v>5167</v>
      </c>
      <c r="F849" s="53" t="s">
        <v>5168</v>
      </c>
      <c r="G849" s="51" t="s">
        <v>4812</v>
      </c>
      <c r="H849" s="54"/>
      <c r="I849" s="55">
        <v>0</v>
      </c>
      <c r="K849" s="51" t="s">
        <v>5146</v>
      </c>
    </row>
    <row r="850" spans="1:11">
      <c r="A850" s="51">
        <v>821</v>
      </c>
      <c r="B850" s="51" t="s">
        <v>5145</v>
      </c>
      <c r="C850" s="51" t="s">
        <v>5146</v>
      </c>
      <c r="D850" s="52" t="s">
        <v>1059</v>
      </c>
      <c r="E850" s="52" t="s">
        <v>5169</v>
      </c>
      <c r="F850" s="53" t="s">
        <v>5170</v>
      </c>
      <c r="G850" s="51" t="s">
        <v>4812</v>
      </c>
      <c r="H850" s="54"/>
      <c r="I850" s="55">
        <v>0</v>
      </c>
      <c r="K850" s="51" t="s">
        <v>5146</v>
      </c>
    </row>
    <row r="851" spans="1:11">
      <c r="A851" s="51">
        <v>822</v>
      </c>
      <c r="B851" s="51" t="s">
        <v>5145</v>
      </c>
      <c r="C851" s="51" t="s">
        <v>5146</v>
      </c>
      <c r="D851" s="52" t="s">
        <v>1988</v>
      </c>
      <c r="E851" s="52" t="s">
        <v>1987</v>
      </c>
      <c r="F851" s="53" t="s">
        <v>117</v>
      </c>
      <c r="G851" s="51" t="s">
        <v>4812</v>
      </c>
      <c r="H851" s="54"/>
      <c r="I851" s="55">
        <v>77</v>
      </c>
      <c r="K851" s="51" t="s">
        <v>5146</v>
      </c>
    </row>
    <row r="852" spans="1:11">
      <c r="A852" s="51">
        <v>823</v>
      </c>
      <c r="B852" s="51" t="s">
        <v>5145</v>
      </c>
      <c r="C852" s="51" t="s">
        <v>5146</v>
      </c>
      <c r="D852" s="52" t="s">
        <v>4996</v>
      </c>
      <c r="E852" s="52" t="s">
        <v>4997</v>
      </c>
      <c r="F852" s="53" t="s">
        <v>4998</v>
      </c>
      <c r="G852" s="51" t="s">
        <v>4812</v>
      </c>
      <c r="H852" s="54"/>
      <c r="I852" s="55">
        <v>19</v>
      </c>
      <c r="K852" s="51" t="s">
        <v>5146</v>
      </c>
    </row>
    <row r="853" spans="1:11">
      <c r="A853" s="51">
        <v>824</v>
      </c>
      <c r="B853" s="51" t="s">
        <v>5145</v>
      </c>
      <c r="C853" s="51" t="s">
        <v>5146</v>
      </c>
      <c r="D853" s="52" t="s">
        <v>4999</v>
      </c>
      <c r="E853" s="52" t="s">
        <v>5000</v>
      </c>
      <c r="F853" s="53" t="s">
        <v>5001</v>
      </c>
      <c r="G853" s="51" t="s">
        <v>4812</v>
      </c>
      <c r="H853" s="54"/>
      <c r="I853" s="55">
        <v>0</v>
      </c>
      <c r="K853" s="51" t="s">
        <v>5146</v>
      </c>
    </row>
    <row r="854" spans="1:11">
      <c r="A854" s="51">
        <v>825</v>
      </c>
      <c r="B854" s="51" t="s">
        <v>5145</v>
      </c>
      <c r="C854" s="51" t="s">
        <v>5146</v>
      </c>
      <c r="D854" s="52" t="s">
        <v>5008</v>
      </c>
      <c r="E854" s="52" t="s">
        <v>5009</v>
      </c>
      <c r="F854" s="53" t="s">
        <v>5010</v>
      </c>
      <c r="G854" s="51" t="s">
        <v>4812</v>
      </c>
      <c r="H854" s="54"/>
      <c r="I854" s="55">
        <v>27</v>
      </c>
      <c r="K854" s="51" t="s">
        <v>5146</v>
      </c>
    </row>
    <row r="855" spans="1:11">
      <c r="A855" s="51">
        <v>826</v>
      </c>
      <c r="B855" s="51" t="s">
        <v>5145</v>
      </c>
      <c r="C855" s="51" t="s">
        <v>5146</v>
      </c>
      <c r="D855" s="52" t="s">
        <v>5011</v>
      </c>
      <c r="E855" s="52" t="s">
        <v>5012</v>
      </c>
      <c r="F855" s="53" t="s">
        <v>5013</v>
      </c>
      <c r="G855" s="51" t="s">
        <v>4812</v>
      </c>
      <c r="H855" s="54"/>
      <c r="I855" s="55">
        <v>0</v>
      </c>
      <c r="K855" s="51" t="s">
        <v>5146</v>
      </c>
    </row>
    <row r="856" spans="1:11">
      <c r="A856" s="51">
        <v>827</v>
      </c>
      <c r="B856" s="51" t="s">
        <v>5145</v>
      </c>
      <c r="C856" s="51" t="s">
        <v>5146</v>
      </c>
      <c r="D856" s="52" t="s">
        <v>5171</v>
      </c>
      <c r="E856" s="52" t="s">
        <v>5172</v>
      </c>
      <c r="F856" s="53" t="s">
        <v>5173</v>
      </c>
      <c r="G856" s="51" t="s">
        <v>4812</v>
      </c>
      <c r="H856" s="54"/>
      <c r="I856" s="55">
        <v>39</v>
      </c>
      <c r="K856" s="51" t="s">
        <v>5146</v>
      </c>
    </row>
    <row r="857" spans="1:11">
      <c r="A857" s="51">
        <v>828</v>
      </c>
      <c r="B857" s="51" t="s">
        <v>5145</v>
      </c>
      <c r="C857" s="51" t="s">
        <v>5146</v>
      </c>
      <c r="D857" s="52" t="s">
        <v>5174</v>
      </c>
      <c r="E857" s="52" t="s">
        <v>5175</v>
      </c>
      <c r="F857" s="53" t="s">
        <v>5176</v>
      </c>
      <c r="G857" s="51" t="s">
        <v>4812</v>
      </c>
      <c r="H857" s="54"/>
      <c r="I857" s="55">
        <v>0</v>
      </c>
      <c r="K857" s="51" t="s">
        <v>5146</v>
      </c>
    </row>
    <row r="858" spans="1:11">
      <c r="A858" s="51">
        <v>829</v>
      </c>
      <c r="B858" s="51" t="s">
        <v>5177</v>
      </c>
      <c r="C858" s="51" t="s">
        <v>5178</v>
      </c>
      <c r="D858" s="52" t="s">
        <v>1346</v>
      </c>
      <c r="E858" s="52" t="s">
        <v>1345</v>
      </c>
      <c r="F858" s="53" t="s">
        <v>5179</v>
      </c>
      <c r="G858" s="51" t="s">
        <v>4812</v>
      </c>
      <c r="H858" s="54"/>
      <c r="I858" s="55">
        <v>628</v>
      </c>
      <c r="K858" s="51" t="s">
        <v>5178</v>
      </c>
    </row>
    <row r="859" spans="1:11">
      <c r="A859" s="51">
        <v>830</v>
      </c>
      <c r="B859" s="51" t="s">
        <v>5177</v>
      </c>
      <c r="C859" s="51" t="s">
        <v>5178</v>
      </c>
      <c r="D859" s="52" t="s">
        <v>1320</v>
      </c>
      <c r="E859" s="52" t="s">
        <v>1319</v>
      </c>
      <c r="F859" s="53" t="s">
        <v>99</v>
      </c>
      <c r="G859" s="51" t="s">
        <v>4812</v>
      </c>
      <c r="H859" s="54"/>
      <c r="I859" s="55">
        <v>125</v>
      </c>
      <c r="K859" s="51" t="s">
        <v>5178</v>
      </c>
    </row>
    <row r="860" spans="1:11">
      <c r="A860" s="51">
        <v>831</v>
      </c>
      <c r="B860" s="51" t="s">
        <v>5177</v>
      </c>
      <c r="C860" s="51" t="s">
        <v>5178</v>
      </c>
      <c r="D860" s="52" t="s">
        <v>1338</v>
      </c>
      <c r="E860" s="52" t="s">
        <v>1337</v>
      </c>
      <c r="F860" s="53" t="s">
        <v>5180</v>
      </c>
      <c r="G860" s="51" t="s">
        <v>4812</v>
      </c>
      <c r="H860" s="54"/>
      <c r="I860" s="55">
        <v>710</v>
      </c>
      <c r="K860" s="51" t="s">
        <v>5178</v>
      </c>
    </row>
    <row r="861" spans="1:11">
      <c r="A861" s="51">
        <v>832</v>
      </c>
      <c r="B861" s="51" t="s">
        <v>5177</v>
      </c>
      <c r="C861" s="51" t="s">
        <v>5178</v>
      </c>
      <c r="D861" s="52" t="s">
        <v>51</v>
      </c>
      <c r="E861" s="52" t="s">
        <v>13</v>
      </c>
      <c r="F861" s="53" t="s">
        <v>100</v>
      </c>
      <c r="G861" s="51" t="s">
        <v>4812</v>
      </c>
      <c r="H861" s="54"/>
      <c r="I861" s="55">
        <v>6046</v>
      </c>
      <c r="K861" s="51" t="s">
        <v>5178</v>
      </c>
    </row>
    <row r="862" spans="1:11">
      <c r="A862" s="51">
        <v>833</v>
      </c>
      <c r="B862" s="51" t="s">
        <v>5177</v>
      </c>
      <c r="C862" s="51" t="s">
        <v>5178</v>
      </c>
      <c r="D862" s="52" t="s">
        <v>1851</v>
      </c>
      <c r="E862" s="52" t="s">
        <v>1850</v>
      </c>
      <c r="F862" s="53" t="s">
        <v>4909</v>
      </c>
      <c r="G862" s="51" t="s">
        <v>4812</v>
      </c>
      <c r="H862" s="54"/>
      <c r="I862" s="55">
        <v>0</v>
      </c>
      <c r="K862" s="51" t="s">
        <v>5178</v>
      </c>
    </row>
    <row r="863" spans="1:11">
      <c r="A863" s="51">
        <v>834</v>
      </c>
      <c r="B863" s="51" t="s">
        <v>5177</v>
      </c>
      <c r="C863" s="51" t="s">
        <v>5178</v>
      </c>
      <c r="D863" s="52" t="s">
        <v>1857</v>
      </c>
      <c r="E863" s="52" t="s">
        <v>1856</v>
      </c>
      <c r="F863" s="53" t="s">
        <v>4910</v>
      </c>
      <c r="G863" s="51" t="s">
        <v>4812</v>
      </c>
      <c r="H863" s="54"/>
      <c r="I863" s="55">
        <v>18</v>
      </c>
      <c r="K863" s="51" t="s">
        <v>5178</v>
      </c>
    </row>
    <row r="864" spans="1:11">
      <c r="A864" s="51">
        <v>835</v>
      </c>
      <c r="B864" s="51" t="s">
        <v>5177</v>
      </c>
      <c r="C864" s="51" t="s">
        <v>5178</v>
      </c>
      <c r="D864" s="52" t="s">
        <v>4911</v>
      </c>
      <c r="E864" s="52"/>
      <c r="F864" s="53"/>
      <c r="G864" s="51" t="s">
        <v>4812</v>
      </c>
      <c r="H864" s="54"/>
      <c r="I864" s="55">
        <v>0</v>
      </c>
      <c r="K864" s="51" t="s">
        <v>5178</v>
      </c>
    </row>
    <row r="865" spans="1:11">
      <c r="A865" s="51">
        <v>836</v>
      </c>
      <c r="B865" s="51" t="s">
        <v>5177</v>
      </c>
      <c r="C865" s="51" t="s">
        <v>5178</v>
      </c>
      <c r="D865" s="52" t="s">
        <v>4912</v>
      </c>
      <c r="E865" s="52"/>
      <c r="F865" s="53"/>
      <c r="G865" s="51" t="s">
        <v>4812</v>
      </c>
      <c r="H865" s="54"/>
      <c r="I865" s="55">
        <v>0</v>
      </c>
      <c r="K865" s="51" t="s">
        <v>5178</v>
      </c>
    </row>
    <row r="866" spans="1:11">
      <c r="A866" s="51">
        <v>837</v>
      </c>
      <c r="B866" s="51" t="s">
        <v>5177</v>
      </c>
      <c r="C866" s="51" t="s">
        <v>5178</v>
      </c>
      <c r="D866" s="52" t="s">
        <v>5181</v>
      </c>
      <c r="E866" s="52" t="s">
        <v>4935</v>
      </c>
      <c r="F866" s="53" t="s">
        <v>5182</v>
      </c>
      <c r="G866" s="51" t="s">
        <v>4812</v>
      </c>
      <c r="H866" s="54"/>
      <c r="I866" s="55">
        <v>180</v>
      </c>
      <c r="K866" s="51" t="s">
        <v>5178</v>
      </c>
    </row>
    <row r="867" spans="1:11">
      <c r="A867" s="51">
        <v>838</v>
      </c>
      <c r="B867" s="51" t="s">
        <v>5177</v>
      </c>
      <c r="C867" s="51" t="s">
        <v>5178</v>
      </c>
      <c r="D867" s="52" t="s">
        <v>5183</v>
      </c>
      <c r="E867" s="52" t="s">
        <v>4937</v>
      </c>
      <c r="F867" s="53" t="s">
        <v>5184</v>
      </c>
      <c r="G867" s="51" t="s">
        <v>4812</v>
      </c>
      <c r="H867" s="54"/>
      <c r="I867" s="55">
        <v>279</v>
      </c>
      <c r="K867" s="51" t="s">
        <v>5178</v>
      </c>
    </row>
    <row r="868" spans="1:11">
      <c r="A868" s="51">
        <v>839</v>
      </c>
      <c r="B868" s="51" t="s">
        <v>5177</v>
      </c>
      <c r="C868" s="51" t="s">
        <v>5178</v>
      </c>
      <c r="D868" s="52" t="s">
        <v>5185</v>
      </c>
      <c r="E868" s="52" t="s">
        <v>5186</v>
      </c>
      <c r="F868" s="53" t="s">
        <v>5187</v>
      </c>
      <c r="G868" s="51" t="s">
        <v>4812</v>
      </c>
      <c r="H868" s="54"/>
      <c r="I868" s="55">
        <v>240</v>
      </c>
      <c r="K868" s="51" t="s">
        <v>5178</v>
      </c>
    </row>
    <row r="869" spans="1:11">
      <c r="A869" s="51">
        <v>840</v>
      </c>
      <c r="B869" s="51" t="s">
        <v>5177</v>
      </c>
      <c r="C869" s="51" t="s">
        <v>5178</v>
      </c>
      <c r="D869" s="52" t="s">
        <v>5188</v>
      </c>
      <c r="E869" s="52" t="s">
        <v>5189</v>
      </c>
      <c r="F869" s="53" t="s">
        <v>5190</v>
      </c>
      <c r="G869" s="51" t="s">
        <v>4812</v>
      </c>
      <c r="H869" s="54"/>
      <c r="I869" s="55">
        <v>240</v>
      </c>
      <c r="K869" s="51" t="s">
        <v>5178</v>
      </c>
    </row>
    <row r="870" spans="1:11">
      <c r="A870" s="51">
        <v>841</v>
      </c>
      <c r="B870" s="51" t="s">
        <v>5177</v>
      </c>
      <c r="C870" s="51" t="s">
        <v>5178</v>
      </c>
      <c r="D870" s="52" t="s">
        <v>5126</v>
      </c>
      <c r="E870" s="52" t="s">
        <v>5127</v>
      </c>
      <c r="F870" s="53" t="s">
        <v>4899</v>
      </c>
      <c r="G870" s="51" t="s">
        <v>4812</v>
      </c>
      <c r="H870" s="54"/>
      <c r="I870" s="55">
        <v>120</v>
      </c>
      <c r="K870" s="51" t="s">
        <v>5178</v>
      </c>
    </row>
    <row r="871" spans="1:11">
      <c r="A871" s="51">
        <v>842</v>
      </c>
      <c r="B871" s="51" t="s">
        <v>5177</v>
      </c>
      <c r="C871" s="51" t="s">
        <v>5178</v>
      </c>
      <c r="D871" s="52" t="s">
        <v>5128</v>
      </c>
      <c r="E871" s="52" t="s">
        <v>5129</v>
      </c>
      <c r="F871" s="53" t="s">
        <v>4899</v>
      </c>
      <c r="G871" s="51" t="s">
        <v>4812</v>
      </c>
      <c r="H871" s="54"/>
      <c r="I871" s="55">
        <v>120</v>
      </c>
      <c r="K871" s="51" t="s">
        <v>5178</v>
      </c>
    </row>
    <row r="872" spans="1:11">
      <c r="A872" s="51">
        <v>843</v>
      </c>
      <c r="B872" s="51" t="s">
        <v>5177</v>
      </c>
      <c r="C872" s="51" t="s">
        <v>5178</v>
      </c>
      <c r="D872" s="52" t="s">
        <v>5139</v>
      </c>
      <c r="E872" s="52" t="s">
        <v>5140</v>
      </c>
      <c r="F872" s="53" t="s">
        <v>5141</v>
      </c>
      <c r="G872" s="51" t="s">
        <v>4812</v>
      </c>
      <c r="H872" s="54"/>
      <c r="I872" s="55">
        <v>120</v>
      </c>
      <c r="K872" s="51" t="s">
        <v>5178</v>
      </c>
    </row>
    <row r="873" spans="1:11">
      <c r="A873" s="51">
        <v>844</v>
      </c>
      <c r="B873" s="51" t="s">
        <v>5177</v>
      </c>
      <c r="C873" s="51" t="s">
        <v>5178</v>
      </c>
      <c r="D873" s="52" t="s">
        <v>5142</v>
      </c>
      <c r="E873" s="52" t="s">
        <v>5143</v>
      </c>
      <c r="F873" s="53" t="s">
        <v>5144</v>
      </c>
      <c r="G873" s="51" t="s">
        <v>4812</v>
      </c>
      <c r="H873" s="54"/>
      <c r="I873" s="55">
        <v>120</v>
      </c>
      <c r="K873" s="51" t="s">
        <v>5178</v>
      </c>
    </row>
    <row r="874" spans="1:11">
      <c r="A874" s="51">
        <v>845</v>
      </c>
      <c r="B874" s="51" t="s">
        <v>5177</v>
      </c>
      <c r="C874" s="51" t="s">
        <v>5178</v>
      </c>
      <c r="D874" s="52" t="s">
        <v>5171</v>
      </c>
      <c r="E874" s="52" t="s">
        <v>5172</v>
      </c>
      <c r="F874" s="53" t="s">
        <v>5173</v>
      </c>
      <c r="G874" s="51" t="s">
        <v>4812</v>
      </c>
      <c r="H874" s="54"/>
      <c r="I874" s="55">
        <v>203</v>
      </c>
      <c r="K874" s="51" t="s">
        <v>5178</v>
      </c>
    </row>
    <row r="875" spans="1:11">
      <c r="A875" s="51">
        <v>846</v>
      </c>
      <c r="B875" s="51" t="s">
        <v>5177</v>
      </c>
      <c r="C875" s="51" t="s">
        <v>5178</v>
      </c>
      <c r="D875" s="52" t="s">
        <v>5174</v>
      </c>
      <c r="E875" s="52" t="s">
        <v>5175</v>
      </c>
      <c r="F875" s="53" t="s">
        <v>5176</v>
      </c>
      <c r="G875" s="51" t="s">
        <v>4812</v>
      </c>
      <c r="H875" s="54"/>
      <c r="I875" s="55">
        <v>193</v>
      </c>
      <c r="K875" s="51" t="s">
        <v>5178</v>
      </c>
    </row>
    <row r="876" spans="1:11">
      <c r="A876" s="51">
        <v>847</v>
      </c>
      <c r="B876" s="51" t="s">
        <v>5191</v>
      </c>
      <c r="C876" s="51" t="s">
        <v>5192</v>
      </c>
      <c r="D876" s="52" t="s">
        <v>1346</v>
      </c>
      <c r="E876" s="52" t="s">
        <v>1345</v>
      </c>
      <c r="F876" s="53" t="s">
        <v>5179</v>
      </c>
      <c r="G876" s="51" t="s">
        <v>4812</v>
      </c>
      <c r="H876" s="54"/>
      <c r="I876" s="55">
        <v>175</v>
      </c>
      <c r="K876" s="51" t="s">
        <v>5192</v>
      </c>
    </row>
    <row r="877" spans="1:11">
      <c r="A877" s="51">
        <v>848</v>
      </c>
      <c r="B877" s="51" t="s">
        <v>5191</v>
      </c>
      <c r="C877" s="51" t="s">
        <v>5192</v>
      </c>
      <c r="D877" s="52" t="s">
        <v>1338</v>
      </c>
      <c r="E877" s="52" t="s">
        <v>1337</v>
      </c>
      <c r="F877" s="53" t="s">
        <v>5180</v>
      </c>
      <c r="G877" s="51" t="s">
        <v>4812</v>
      </c>
      <c r="H877" s="54"/>
      <c r="I877" s="55">
        <v>226</v>
      </c>
      <c r="K877" s="51" t="s">
        <v>5192</v>
      </c>
    </row>
    <row r="878" spans="1:11">
      <c r="A878" s="51">
        <v>849</v>
      </c>
      <c r="B878" s="51" t="s">
        <v>5191</v>
      </c>
      <c r="C878" s="51" t="s">
        <v>5192</v>
      </c>
      <c r="D878" s="52" t="s">
        <v>251</v>
      </c>
      <c r="E878" s="52" t="s">
        <v>250</v>
      </c>
      <c r="F878" s="53" t="s">
        <v>5193</v>
      </c>
      <c r="G878" s="51" t="s">
        <v>4812</v>
      </c>
      <c r="H878" s="54"/>
      <c r="I878" s="55">
        <v>1774</v>
      </c>
      <c r="K878" s="51" t="s">
        <v>5192</v>
      </c>
    </row>
    <row r="879" spans="1:11">
      <c r="A879" s="51">
        <v>850</v>
      </c>
      <c r="B879" s="51" t="s">
        <v>5191</v>
      </c>
      <c r="C879" s="51" t="s">
        <v>5192</v>
      </c>
      <c r="D879" s="52" t="s">
        <v>51</v>
      </c>
      <c r="E879" s="52" t="s">
        <v>13</v>
      </c>
      <c r="F879" s="53" t="s">
        <v>100</v>
      </c>
      <c r="G879" s="51" t="s">
        <v>4812</v>
      </c>
      <c r="H879" s="54"/>
      <c r="I879" s="55">
        <v>0</v>
      </c>
      <c r="K879" s="51" t="s">
        <v>5192</v>
      </c>
    </row>
    <row r="880" spans="1:11">
      <c r="A880" s="51">
        <v>851</v>
      </c>
      <c r="B880" s="51" t="s">
        <v>5191</v>
      </c>
      <c r="C880" s="51" t="s">
        <v>5192</v>
      </c>
      <c r="D880" s="52" t="s">
        <v>3779</v>
      </c>
      <c r="E880" s="52" t="s">
        <v>3778</v>
      </c>
      <c r="F880" s="53" t="s">
        <v>5194</v>
      </c>
      <c r="G880" s="51" t="s">
        <v>4812</v>
      </c>
      <c r="H880" s="54"/>
      <c r="I880" s="55">
        <v>580</v>
      </c>
      <c r="K880" s="51" t="s">
        <v>5192</v>
      </c>
    </row>
    <row r="881" spans="1:11">
      <c r="A881" s="51">
        <v>852</v>
      </c>
      <c r="B881" s="51" t="s">
        <v>5191</v>
      </c>
      <c r="C881" s="51" t="s">
        <v>5192</v>
      </c>
      <c r="D881" s="52" t="s">
        <v>1851</v>
      </c>
      <c r="E881" s="52" t="s">
        <v>1850</v>
      </c>
      <c r="F881" s="53" t="s">
        <v>4909</v>
      </c>
      <c r="G881" s="51" t="s">
        <v>4812</v>
      </c>
      <c r="H881" s="54"/>
      <c r="I881" s="55">
        <v>33</v>
      </c>
      <c r="K881" s="51" t="s">
        <v>5192</v>
      </c>
    </row>
    <row r="882" spans="1:11">
      <c r="A882" s="51">
        <v>853</v>
      </c>
      <c r="B882" s="51" t="s">
        <v>5191</v>
      </c>
      <c r="C882" s="51" t="s">
        <v>5192</v>
      </c>
      <c r="D882" s="52" t="s">
        <v>1857</v>
      </c>
      <c r="E882" s="52" t="s">
        <v>1856</v>
      </c>
      <c r="F882" s="53" t="s">
        <v>4910</v>
      </c>
      <c r="G882" s="51" t="s">
        <v>4812</v>
      </c>
      <c r="H882" s="54"/>
      <c r="I882" s="55">
        <v>28</v>
      </c>
      <c r="K882" s="51" t="s">
        <v>5192</v>
      </c>
    </row>
    <row r="883" spans="1:11">
      <c r="A883" s="51">
        <v>854</v>
      </c>
      <c r="B883" s="51" t="s">
        <v>5191</v>
      </c>
      <c r="C883" s="51" t="s">
        <v>5192</v>
      </c>
      <c r="D883" s="52" t="s">
        <v>1962</v>
      </c>
      <c r="E883" s="52" t="s">
        <v>1961</v>
      </c>
      <c r="F883" s="53" t="s">
        <v>5195</v>
      </c>
      <c r="G883" s="51" t="s">
        <v>4812</v>
      </c>
      <c r="H883" s="54"/>
      <c r="I883" s="55">
        <v>458</v>
      </c>
      <c r="K883" s="51" t="s">
        <v>5192</v>
      </c>
    </row>
    <row r="884" spans="1:11">
      <c r="A884" s="51">
        <v>855</v>
      </c>
      <c r="B884" s="51" t="s">
        <v>5191</v>
      </c>
      <c r="C884" s="51" t="s">
        <v>5192</v>
      </c>
      <c r="D884" s="52" t="s">
        <v>4911</v>
      </c>
      <c r="E884" s="52"/>
      <c r="F884" s="53"/>
      <c r="G884" s="51" t="s">
        <v>4812</v>
      </c>
      <c r="H884" s="54"/>
      <c r="I884" s="55">
        <v>0</v>
      </c>
      <c r="K884" s="51" t="s">
        <v>5192</v>
      </c>
    </row>
    <row r="885" spans="1:11">
      <c r="A885" s="51">
        <v>856</v>
      </c>
      <c r="B885" s="51" t="s">
        <v>5191</v>
      </c>
      <c r="C885" s="51" t="s">
        <v>5192</v>
      </c>
      <c r="D885" s="52" t="s">
        <v>4912</v>
      </c>
      <c r="E885" s="52"/>
      <c r="F885" s="53"/>
      <c r="G885" s="51" t="s">
        <v>4812</v>
      </c>
      <c r="H885" s="54"/>
      <c r="I885" s="55">
        <v>0</v>
      </c>
      <c r="K885" s="51" t="s">
        <v>5192</v>
      </c>
    </row>
    <row r="886" spans="1:11">
      <c r="A886" s="51">
        <v>857</v>
      </c>
      <c r="B886" s="51" t="s">
        <v>5191</v>
      </c>
      <c r="C886" s="51" t="s">
        <v>5192</v>
      </c>
      <c r="D886" s="52" t="s">
        <v>5196</v>
      </c>
      <c r="E886" s="52"/>
      <c r="F886" s="53"/>
      <c r="G886" s="51" t="s">
        <v>4812</v>
      </c>
      <c r="H886" s="54"/>
      <c r="I886" s="55">
        <v>60</v>
      </c>
      <c r="K886" s="51" t="s">
        <v>5192</v>
      </c>
    </row>
    <row r="887" spans="1:11">
      <c r="A887" s="51">
        <v>858</v>
      </c>
      <c r="B887" s="51" t="s">
        <v>5191</v>
      </c>
      <c r="C887" s="51" t="s">
        <v>5192</v>
      </c>
      <c r="D887" s="52" t="s">
        <v>5197</v>
      </c>
      <c r="E887" s="52"/>
      <c r="F887" s="53"/>
      <c r="G887" s="51" t="s">
        <v>4812</v>
      </c>
      <c r="H887" s="54"/>
      <c r="I887" s="55">
        <v>70</v>
      </c>
      <c r="K887" s="51" t="s">
        <v>5192</v>
      </c>
    </row>
    <row r="888" spans="1:11">
      <c r="A888" s="51">
        <v>859</v>
      </c>
      <c r="B888" s="51" t="s">
        <v>5191</v>
      </c>
      <c r="C888" s="51" t="s">
        <v>5192</v>
      </c>
      <c r="D888" s="52" t="s">
        <v>5198</v>
      </c>
      <c r="E888" s="52"/>
      <c r="F888" s="53"/>
      <c r="G888" s="51" t="s">
        <v>4812</v>
      </c>
      <c r="H888" s="54"/>
      <c r="I888" s="55">
        <v>66</v>
      </c>
      <c r="K888" s="51" t="s">
        <v>5192</v>
      </c>
    </row>
    <row r="889" spans="1:11">
      <c r="A889" s="51">
        <v>860</v>
      </c>
      <c r="B889" s="51" t="s">
        <v>5191</v>
      </c>
      <c r="C889" s="51" t="s">
        <v>5192</v>
      </c>
      <c r="D889" s="52" t="s">
        <v>5199</v>
      </c>
      <c r="E889" s="52"/>
      <c r="F889" s="53"/>
      <c r="G889" s="51" t="s">
        <v>4812</v>
      </c>
      <c r="H889" s="54"/>
      <c r="I889" s="55">
        <v>63</v>
      </c>
      <c r="K889" s="51" t="s">
        <v>5192</v>
      </c>
    </row>
    <row r="890" spans="1:11">
      <c r="A890" s="51">
        <v>861</v>
      </c>
      <c r="B890" s="51" t="s">
        <v>5200</v>
      </c>
      <c r="C890" s="51" t="s">
        <v>5201</v>
      </c>
      <c r="D890" s="52" t="s">
        <v>1366</v>
      </c>
      <c r="E890" s="52" t="s">
        <v>1365</v>
      </c>
      <c r="F890" s="53" t="s">
        <v>5202</v>
      </c>
      <c r="G890" s="51" t="s">
        <v>4812</v>
      </c>
      <c r="H890" s="54"/>
      <c r="I890" s="55">
        <v>25</v>
      </c>
      <c r="K890" s="51" t="s">
        <v>5201</v>
      </c>
    </row>
    <row r="891" spans="1:11">
      <c r="A891" s="51">
        <v>862</v>
      </c>
      <c r="B891" s="51" t="s">
        <v>5200</v>
      </c>
      <c r="C891" s="51" t="s">
        <v>5201</v>
      </c>
      <c r="D891" s="52" t="s">
        <v>1671</v>
      </c>
      <c r="E891" s="52" t="s">
        <v>1670</v>
      </c>
      <c r="F891" s="53" t="s">
        <v>4852</v>
      </c>
      <c r="G891" s="51" t="s">
        <v>4812</v>
      </c>
      <c r="H891" s="54"/>
      <c r="I891" s="55">
        <v>0</v>
      </c>
      <c r="K891" s="51" t="s">
        <v>5201</v>
      </c>
    </row>
    <row r="892" spans="1:11">
      <c r="A892" s="51">
        <v>863</v>
      </c>
      <c r="B892" s="51" t="s">
        <v>5200</v>
      </c>
      <c r="C892" s="51" t="s">
        <v>5201</v>
      </c>
      <c r="D892" s="52" t="s">
        <v>1705</v>
      </c>
      <c r="E892" s="52" t="s">
        <v>1704</v>
      </c>
      <c r="F892" s="53" t="s">
        <v>107</v>
      </c>
      <c r="G892" s="51" t="s">
        <v>4812</v>
      </c>
      <c r="H892" s="54"/>
      <c r="I892" s="55">
        <v>0</v>
      </c>
      <c r="K892" s="51" t="s">
        <v>5201</v>
      </c>
    </row>
    <row r="893" spans="1:11">
      <c r="A893" s="51">
        <v>864</v>
      </c>
      <c r="B893" s="51" t="s">
        <v>5200</v>
      </c>
      <c r="C893" s="51" t="s">
        <v>5201</v>
      </c>
      <c r="D893" s="52" t="s">
        <v>1567</v>
      </c>
      <c r="E893" s="52" t="s">
        <v>1566</v>
      </c>
      <c r="F893" s="53" t="s">
        <v>5203</v>
      </c>
      <c r="G893" s="51" t="s">
        <v>4812</v>
      </c>
      <c r="H893" s="54"/>
      <c r="I893" s="55">
        <v>0</v>
      </c>
      <c r="K893" s="51" t="s">
        <v>5201</v>
      </c>
    </row>
    <row r="894" spans="1:11">
      <c r="A894" s="51">
        <v>865</v>
      </c>
      <c r="B894" s="51" t="s">
        <v>5200</v>
      </c>
      <c r="C894" s="51" t="s">
        <v>5201</v>
      </c>
      <c r="D894" s="52" t="s">
        <v>1732</v>
      </c>
      <c r="E894" s="52" t="s">
        <v>1731</v>
      </c>
      <c r="F894" s="53" t="s">
        <v>5204</v>
      </c>
      <c r="G894" s="51" t="s">
        <v>4812</v>
      </c>
      <c r="H894" s="54"/>
      <c r="I894" s="55">
        <v>0</v>
      </c>
      <c r="K894" s="51" t="s">
        <v>5201</v>
      </c>
    </row>
    <row r="895" spans="1:11">
      <c r="A895" s="51">
        <v>866</v>
      </c>
      <c r="B895" s="51" t="s">
        <v>5200</v>
      </c>
      <c r="C895" s="51" t="s">
        <v>5201</v>
      </c>
      <c r="D895" s="52" t="s">
        <v>1621</v>
      </c>
      <c r="E895" s="52" t="s">
        <v>1620</v>
      </c>
      <c r="F895" s="53" t="s">
        <v>106</v>
      </c>
      <c r="G895" s="51" t="s">
        <v>4812</v>
      </c>
      <c r="H895" s="54"/>
      <c r="I895" s="55">
        <v>0</v>
      </c>
      <c r="K895" s="51" t="s">
        <v>5201</v>
      </c>
    </row>
    <row r="896" spans="1:11">
      <c r="A896" s="51">
        <v>867</v>
      </c>
      <c r="B896" s="51" t="s">
        <v>5200</v>
      </c>
      <c r="C896" s="51" t="s">
        <v>5201</v>
      </c>
      <c r="D896" s="52" t="s">
        <v>959</v>
      </c>
      <c r="E896" s="52" t="s">
        <v>958</v>
      </c>
      <c r="F896" s="53" t="s">
        <v>5023</v>
      </c>
      <c r="G896" s="51" t="s">
        <v>4812</v>
      </c>
      <c r="H896" s="54"/>
      <c r="I896" s="55">
        <v>0</v>
      </c>
      <c r="K896" s="51" t="s">
        <v>5201</v>
      </c>
    </row>
    <row r="897" spans="1:11">
      <c r="A897" s="51">
        <v>868</v>
      </c>
      <c r="B897" s="51" t="s">
        <v>5200</v>
      </c>
      <c r="C897" s="51" t="s">
        <v>5201</v>
      </c>
      <c r="D897" s="52" t="s">
        <v>1055</v>
      </c>
      <c r="E897" s="52" t="s">
        <v>1054</v>
      </c>
      <c r="F897" s="53" t="s">
        <v>5023</v>
      </c>
      <c r="G897" s="51" t="s">
        <v>4812</v>
      </c>
      <c r="H897" s="54"/>
      <c r="I897" s="55">
        <v>0</v>
      </c>
      <c r="K897" s="51" t="s">
        <v>5201</v>
      </c>
    </row>
    <row r="898" spans="1:11">
      <c r="A898" s="51">
        <v>869</v>
      </c>
      <c r="B898" s="51" t="s">
        <v>5200</v>
      </c>
      <c r="C898" s="51" t="s">
        <v>5201</v>
      </c>
      <c r="D898" s="52" t="s">
        <v>1059</v>
      </c>
      <c r="E898" s="52" t="s">
        <v>1058</v>
      </c>
      <c r="F898" s="53" t="s">
        <v>5023</v>
      </c>
      <c r="G898" s="51" t="s">
        <v>4812</v>
      </c>
      <c r="H898" s="54"/>
      <c r="I898" s="55">
        <v>0</v>
      </c>
      <c r="K898" s="51" t="s">
        <v>5201</v>
      </c>
    </row>
    <row r="899" spans="1:11">
      <c r="A899" s="51">
        <v>870</v>
      </c>
      <c r="B899" s="51" t="s">
        <v>5200</v>
      </c>
      <c r="C899" s="51" t="s">
        <v>5201</v>
      </c>
      <c r="D899" s="52" t="s">
        <v>1764</v>
      </c>
      <c r="E899" s="52" t="s">
        <v>1763</v>
      </c>
      <c r="F899" s="53" t="s">
        <v>4860</v>
      </c>
      <c r="G899" s="51" t="s">
        <v>4812</v>
      </c>
      <c r="H899" s="54"/>
      <c r="I899" s="55">
        <v>0</v>
      </c>
      <c r="K899" s="51" t="s">
        <v>5201</v>
      </c>
    </row>
    <row r="900" spans="1:11">
      <c r="A900" s="51">
        <v>871</v>
      </c>
      <c r="B900" s="51" t="s">
        <v>5200</v>
      </c>
      <c r="C900" s="51" t="s">
        <v>5201</v>
      </c>
      <c r="D900" s="52" t="s">
        <v>84</v>
      </c>
      <c r="E900" s="52" t="s">
        <v>46</v>
      </c>
      <c r="F900" s="53" t="s">
        <v>118</v>
      </c>
      <c r="G900" s="51" t="s">
        <v>4812</v>
      </c>
      <c r="H900" s="54"/>
      <c r="I900" s="55">
        <v>386</v>
      </c>
      <c r="K900" s="51" t="s">
        <v>5201</v>
      </c>
    </row>
    <row r="901" spans="1:11">
      <c r="A901" s="51">
        <v>872</v>
      </c>
      <c r="B901" s="51" t="s">
        <v>5200</v>
      </c>
      <c r="C901" s="51" t="s">
        <v>5201</v>
      </c>
      <c r="D901" s="52" t="s">
        <v>2444</v>
      </c>
      <c r="E901" s="52" t="s">
        <v>2443</v>
      </c>
      <c r="F901" s="53" t="s">
        <v>5205</v>
      </c>
      <c r="G901" s="51" t="s">
        <v>4812</v>
      </c>
      <c r="H901" s="54"/>
      <c r="I901" s="55">
        <v>854</v>
      </c>
      <c r="K901" s="51" t="s">
        <v>5201</v>
      </c>
    </row>
    <row r="902" spans="1:11">
      <c r="A902" s="51">
        <v>873</v>
      </c>
      <c r="B902" s="51" t="s">
        <v>5206</v>
      </c>
      <c r="C902" s="51" t="s">
        <v>5207</v>
      </c>
      <c r="D902" s="52" t="s">
        <v>1360</v>
      </c>
      <c r="E902" s="52" t="s">
        <v>1359</v>
      </c>
      <c r="F902" s="53" t="s">
        <v>101</v>
      </c>
      <c r="G902" s="51" t="s">
        <v>4812</v>
      </c>
      <c r="H902" s="54"/>
      <c r="I902" s="55">
        <v>137</v>
      </c>
      <c r="K902" s="51" t="s">
        <v>5207</v>
      </c>
    </row>
    <row r="903" spans="1:11">
      <c r="A903" s="51">
        <v>874</v>
      </c>
      <c r="B903" s="51" t="s">
        <v>5206</v>
      </c>
      <c r="C903" s="51" t="s">
        <v>5207</v>
      </c>
      <c r="D903" s="52" t="s">
        <v>1671</v>
      </c>
      <c r="E903" s="52" t="s">
        <v>5208</v>
      </c>
      <c r="F903" s="53" t="s">
        <v>4852</v>
      </c>
      <c r="G903" s="51" t="s">
        <v>4812</v>
      </c>
      <c r="H903" s="54"/>
      <c r="I903" s="55">
        <v>156</v>
      </c>
      <c r="K903" s="51" t="s">
        <v>5207</v>
      </c>
    </row>
    <row r="904" spans="1:11">
      <c r="A904" s="51">
        <v>875</v>
      </c>
      <c r="B904" s="51" t="s">
        <v>5206</v>
      </c>
      <c r="C904" s="51" t="s">
        <v>5207</v>
      </c>
      <c r="D904" s="52" t="s">
        <v>1705</v>
      </c>
      <c r="E904" s="52" t="s">
        <v>5209</v>
      </c>
      <c r="F904" s="53" t="s">
        <v>107</v>
      </c>
      <c r="G904" s="51" t="s">
        <v>4812</v>
      </c>
      <c r="H904" s="54"/>
      <c r="I904" s="55">
        <v>115</v>
      </c>
      <c r="K904" s="51" t="s">
        <v>5207</v>
      </c>
    </row>
    <row r="905" spans="1:11">
      <c r="A905" s="51">
        <v>876</v>
      </c>
      <c r="B905" s="51" t="s">
        <v>5206</v>
      </c>
      <c r="C905" s="51" t="s">
        <v>5207</v>
      </c>
      <c r="D905" s="52" t="s">
        <v>1567</v>
      </c>
      <c r="E905" s="52" t="s">
        <v>5210</v>
      </c>
      <c r="F905" s="53" t="s">
        <v>4855</v>
      </c>
      <c r="G905" s="51" t="s">
        <v>4812</v>
      </c>
      <c r="H905" s="54"/>
      <c r="I905" s="55">
        <v>196</v>
      </c>
      <c r="K905" s="51" t="s">
        <v>5207</v>
      </c>
    </row>
    <row r="906" spans="1:11">
      <c r="A906" s="51">
        <v>877</v>
      </c>
      <c r="B906" s="51" t="s">
        <v>5206</v>
      </c>
      <c r="C906" s="51" t="s">
        <v>5207</v>
      </c>
      <c r="D906" s="52" t="s">
        <v>1732</v>
      </c>
      <c r="E906" s="52" t="s">
        <v>5211</v>
      </c>
      <c r="F906" s="53" t="s">
        <v>5204</v>
      </c>
      <c r="G906" s="51" t="s">
        <v>4812</v>
      </c>
      <c r="H906" s="54"/>
      <c r="I906" s="55">
        <v>156</v>
      </c>
      <c r="K906" s="51" t="s">
        <v>5207</v>
      </c>
    </row>
    <row r="907" spans="1:11">
      <c r="A907" s="51">
        <v>878</v>
      </c>
      <c r="B907" s="51" t="s">
        <v>5206</v>
      </c>
      <c r="C907" s="51" t="s">
        <v>5207</v>
      </c>
      <c r="D907" s="52" t="s">
        <v>1621</v>
      </c>
      <c r="E907" s="52" t="s">
        <v>5212</v>
      </c>
      <c r="F907" s="53" t="s">
        <v>106</v>
      </c>
      <c r="G907" s="51" t="s">
        <v>4812</v>
      </c>
      <c r="H907" s="54"/>
      <c r="I907" s="55">
        <v>197</v>
      </c>
      <c r="K907" s="51" t="s">
        <v>5207</v>
      </c>
    </row>
    <row r="908" spans="1:11">
      <c r="A908" s="51">
        <v>879</v>
      </c>
      <c r="B908" s="51" t="s">
        <v>5206</v>
      </c>
      <c r="C908" s="51" t="s">
        <v>5207</v>
      </c>
      <c r="D908" s="52" t="s">
        <v>955</v>
      </c>
      <c r="E908" s="52" t="s">
        <v>954</v>
      </c>
      <c r="F908" s="53" t="s">
        <v>5044</v>
      </c>
      <c r="G908" s="51" t="s">
        <v>4812</v>
      </c>
      <c r="H908" s="54"/>
      <c r="I908" s="55">
        <v>0</v>
      </c>
      <c r="K908" s="51" t="s">
        <v>5207</v>
      </c>
    </row>
    <row r="909" spans="1:11">
      <c r="A909" s="51">
        <v>880</v>
      </c>
      <c r="B909" s="51" t="s">
        <v>5206</v>
      </c>
      <c r="C909" s="51" t="s">
        <v>5207</v>
      </c>
      <c r="D909" s="52" t="s">
        <v>1047</v>
      </c>
      <c r="E909" s="52" t="s">
        <v>1046</v>
      </c>
      <c r="F909" s="53" t="s">
        <v>5213</v>
      </c>
      <c r="G909" s="51" t="s">
        <v>4812</v>
      </c>
      <c r="H909" s="54"/>
      <c r="I909" s="55">
        <v>0</v>
      </c>
      <c r="K909" s="51" t="s">
        <v>5207</v>
      </c>
    </row>
    <row r="910" spans="1:11">
      <c r="A910" s="51">
        <v>881</v>
      </c>
      <c r="B910" s="51" t="s">
        <v>5206</v>
      </c>
      <c r="C910" s="51" t="s">
        <v>5207</v>
      </c>
      <c r="D910" s="52" t="s">
        <v>1051</v>
      </c>
      <c r="E910" s="52" t="s">
        <v>1050</v>
      </c>
      <c r="F910" s="53" t="s">
        <v>5044</v>
      </c>
      <c r="G910" s="51" t="s">
        <v>4812</v>
      </c>
      <c r="H910" s="54"/>
      <c r="I910" s="55">
        <v>0</v>
      </c>
      <c r="K910" s="51" t="s">
        <v>5207</v>
      </c>
    </row>
    <row r="911" spans="1:11">
      <c r="A911" s="51">
        <v>882</v>
      </c>
      <c r="B911" s="51" t="s">
        <v>5206</v>
      </c>
      <c r="C911" s="51" t="s">
        <v>5207</v>
      </c>
      <c r="D911" s="52" t="s">
        <v>1764</v>
      </c>
      <c r="E911" s="52" t="s">
        <v>1763</v>
      </c>
      <c r="F911" s="53" t="s">
        <v>4860</v>
      </c>
      <c r="G911" s="51" t="s">
        <v>4812</v>
      </c>
      <c r="H911" s="54"/>
      <c r="I911" s="55">
        <v>1229</v>
      </c>
      <c r="K911" s="51" t="s">
        <v>5207</v>
      </c>
    </row>
    <row r="912" spans="1:11">
      <c r="A912" s="51">
        <v>883</v>
      </c>
      <c r="B912" s="51" t="s">
        <v>5206</v>
      </c>
      <c r="C912" s="51" t="s">
        <v>5207</v>
      </c>
      <c r="D912" s="52" t="s">
        <v>84</v>
      </c>
      <c r="E912" s="52" t="s">
        <v>46</v>
      </c>
      <c r="F912" s="53" t="s">
        <v>118</v>
      </c>
      <c r="G912" s="51" t="s">
        <v>4812</v>
      </c>
      <c r="H912" s="54"/>
      <c r="I912" s="55">
        <v>578</v>
      </c>
      <c r="K912" s="51" t="s">
        <v>5207</v>
      </c>
    </row>
    <row r="913" spans="1:11">
      <c r="A913" s="51">
        <v>884</v>
      </c>
      <c r="B913" s="51" t="s">
        <v>5214</v>
      </c>
      <c r="C913" s="51" t="s">
        <v>5215</v>
      </c>
      <c r="D913" s="52" t="s">
        <v>5069</v>
      </c>
      <c r="E913" s="52" t="s">
        <v>5070</v>
      </c>
      <c r="F913" s="53" t="s">
        <v>5216</v>
      </c>
      <c r="G913" s="51" t="s">
        <v>4812</v>
      </c>
      <c r="H913" s="54"/>
      <c r="I913" s="55">
        <v>64</v>
      </c>
      <c r="K913" s="51" t="s">
        <v>5215</v>
      </c>
    </row>
    <row r="914" spans="1:11">
      <c r="A914" s="51">
        <v>885</v>
      </c>
      <c r="B914" s="51" t="s">
        <v>5214</v>
      </c>
      <c r="C914" s="51" t="s">
        <v>5215</v>
      </c>
      <c r="D914" s="52" t="s">
        <v>5217</v>
      </c>
      <c r="E914" s="52" t="s">
        <v>5218</v>
      </c>
      <c r="F914" s="53" t="s">
        <v>5219</v>
      </c>
      <c r="G914" s="51" t="s">
        <v>4812</v>
      </c>
      <c r="H914" s="54"/>
      <c r="I914" s="55">
        <v>0</v>
      </c>
      <c r="K914" s="51" t="s">
        <v>5215</v>
      </c>
    </row>
    <row r="915" spans="1:11">
      <c r="A915" s="51">
        <v>886</v>
      </c>
      <c r="B915" s="51" t="s">
        <v>5214</v>
      </c>
      <c r="C915" s="51" t="s">
        <v>5215</v>
      </c>
      <c r="D915" s="52" t="s">
        <v>5220</v>
      </c>
      <c r="E915" s="52" t="s">
        <v>5221</v>
      </c>
      <c r="F915" s="53" t="s">
        <v>119</v>
      </c>
      <c r="G915" s="51" t="s">
        <v>4812</v>
      </c>
      <c r="H915" s="54"/>
      <c r="I915" s="55">
        <v>0</v>
      </c>
      <c r="K915" s="51" t="s">
        <v>5215</v>
      </c>
    </row>
    <row r="916" spans="1:11">
      <c r="A916" s="51">
        <v>887</v>
      </c>
      <c r="B916" s="51" t="s">
        <v>5214</v>
      </c>
      <c r="C916" s="51" t="s">
        <v>5215</v>
      </c>
      <c r="D916" s="52" t="s">
        <v>5222</v>
      </c>
      <c r="E916" s="52" t="s">
        <v>5223</v>
      </c>
      <c r="F916" s="53" t="s">
        <v>5125</v>
      </c>
      <c r="G916" s="51" t="s">
        <v>4812</v>
      </c>
      <c r="H916" s="54"/>
      <c r="I916" s="55">
        <v>0</v>
      </c>
      <c r="K916" s="51" t="s">
        <v>5215</v>
      </c>
    </row>
    <row r="917" spans="1:11">
      <c r="A917" s="51">
        <v>888</v>
      </c>
      <c r="B917" s="51" t="s">
        <v>5214</v>
      </c>
      <c r="C917" s="51" t="s">
        <v>5215</v>
      </c>
      <c r="D917" s="52" t="s">
        <v>5224</v>
      </c>
      <c r="E917" s="52" t="s">
        <v>5225</v>
      </c>
      <c r="F917" s="53" t="s">
        <v>5226</v>
      </c>
      <c r="G917" s="51" t="s">
        <v>4812</v>
      </c>
      <c r="H917" s="54"/>
      <c r="I917" s="55">
        <v>0</v>
      </c>
      <c r="K917" s="51" t="s">
        <v>5215</v>
      </c>
    </row>
    <row r="918" spans="1:11">
      <c r="A918" s="51">
        <v>889</v>
      </c>
      <c r="B918" s="51" t="s">
        <v>5214</v>
      </c>
      <c r="C918" s="51" t="s">
        <v>5215</v>
      </c>
      <c r="D918" s="52" t="s">
        <v>5227</v>
      </c>
      <c r="E918" s="52" t="s">
        <v>5228</v>
      </c>
      <c r="F918" s="53" t="s">
        <v>5135</v>
      </c>
      <c r="G918" s="51" t="s">
        <v>4812</v>
      </c>
      <c r="H918" s="54"/>
      <c r="I918" s="55">
        <v>0</v>
      </c>
      <c r="K918" s="51" t="s">
        <v>5215</v>
      </c>
    </row>
    <row r="919" spans="1:11">
      <c r="A919" s="51">
        <v>890</v>
      </c>
      <c r="B919" s="51" t="s">
        <v>5214</v>
      </c>
      <c r="C919" s="51" t="s">
        <v>5215</v>
      </c>
      <c r="D919" s="52" t="s">
        <v>5229</v>
      </c>
      <c r="E919" s="52" t="s">
        <v>5230</v>
      </c>
      <c r="F919" s="53" t="s">
        <v>5138</v>
      </c>
      <c r="G919" s="51" t="s">
        <v>4812</v>
      </c>
      <c r="H919" s="54"/>
      <c r="I919" s="55">
        <v>0</v>
      </c>
      <c r="K919" s="51" t="s">
        <v>5215</v>
      </c>
    </row>
    <row r="920" spans="1:11">
      <c r="A920" s="51">
        <v>891</v>
      </c>
      <c r="B920" s="51" t="s">
        <v>5214</v>
      </c>
      <c r="C920" s="51" t="s">
        <v>5215</v>
      </c>
      <c r="D920" s="52" t="s">
        <v>1543</v>
      </c>
      <c r="E920" s="52" t="s">
        <v>1542</v>
      </c>
      <c r="F920" s="53" t="s">
        <v>5231</v>
      </c>
      <c r="G920" s="51" t="s">
        <v>4812</v>
      </c>
      <c r="H920" s="54"/>
      <c r="I920" s="55">
        <v>167</v>
      </c>
      <c r="K920" s="51" t="s">
        <v>5215</v>
      </c>
    </row>
    <row r="921" spans="1:11">
      <c r="A921" s="51">
        <v>892</v>
      </c>
      <c r="B921" s="51" t="s">
        <v>5214</v>
      </c>
      <c r="C921" s="51" t="s">
        <v>5215</v>
      </c>
      <c r="D921" s="52" t="s">
        <v>1807</v>
      </c>
      <c r="E921" s="52" t="s">
        <v>1806</v>
      </c>
      <c r="F921" s="53" t="s">
        <v>5232</v>
      </c>
      <c r="G921" s="51" t="s">
        <v>4812</v>
      </c>
      <c r="H921" s="54"/>
      <c r="I921" s="55">
        <v>100</v>
      </c>
      <c r="K921" s="51" t="s">
        <v>5215</v>
      </c>
    </row>
    <row r="922" spans="1:11">
      <c r="A922" s="51">
        <v>893</v>
      </c>
      <c r="B922" s="51" t="s">
        <v>5214</v>
      </c>
      <c r="C922" s="51" t="s">
        <v>5215</v>
      </c>
      <c r="D922" s="52" t="s">
        <v>1968</v>
      </c>
      <c r="E922" s="52" t="s">
        <v>1967</v>
      </c>
      <c r="F922" s="53" t="s">
        <v>117</v>
      </c>
      <c r="G922" s="51" t="s">
        <v>4812</v>
      </c>
      <c r="H922" s="54"/>
      <c r="I922" s="55">
        <v>216</v>
      </c>
      <c r="K922" s="51" t="s">
        <v>5215</v>
      </c>
    </row>
    <row r="923" spans="1:11">
      <c r="A923" s="51">
        <v>894</v>
      </c>
      <c r="B923" s="51" t="s">
        <v>5214</v>
      </c>
      <c r="C923" s="51" t="s">
        <v>5215</v>
      </c>
      <c r="D923" s="52" t="s">
        <v>1422</v>
      </c>
      <c r="E923" s="52" t="s">
        <v>1421</v>
      </c>
      <c r="F923" s="53" t="s">
        <v>5233</v>
      </c>
      <c r="G923" s="51" t="s">
        <v>4812</v>
      </c>
      <c r="H923" s="54"/>
      <c r="I923" s="55">
        <v>196</v>
      </c>
      <c r="K923" s="51" t="s">
        <v>5215</v>
      </c>
    </row>
    <row r="924" spans="1:11">
      <c r="A924" s="51">
        <v>895</v>
      </c>
      <c r="B924" s="51" t="s">
        <v>5214</v>
      </c>
      <c r="C924" s="51" t="s">
        <v>5215</v>
      </c>
      <c r="D924" s="52" t="s">
        <v>85</v>
      </c>
      <c r="E924" s="52" t="s">
        <v>47</v>
      </c>
      <c r="F924" s="53" t="s">
        <v>118</v>
      </c>
      <c r="G924" s="51" t="s">
        <v>4812</v>
      </c>
      <c r="H924" s="54"/>
      <c r="I924" s="55">
        <v>665</v>
      </c>
      <c r="K924" s="51" t="s">
        <v>5215</v>
      </c>
    </row>
    <row r="925" spans="1:11">
      <c r="A925" s="51">
        <v>896</v>
      </c>
      <c r="B925" s="51" t="s">
        <v>5214</v>
      </c>
      <c r="C925" s="51" t="s">
        <v>5215</v>
      </c>
      <c r="D925" s="52" t="s">
        <v>3650</v>
      </c>
      <c r="E925" s="52" t="s">
        <v>3649</v>
      </c>
      <c r="F925" s="53" t="s">
        <v>5234</v>
      </c>
      <c r="G925" s="51" t="s">
        <v>4812</v>
      </c>
      <c r="H925" s="54"/>
      <c r="I925" s="55">
        <v>257</v>
      </c>
      <c r="K925" s="51" t="s">
        <v>5215</v>
      </c>
    </row>
    <row r="926" spans="1:11">
      <c r="A926" s="51">
        <v>897</v>
      </c>
      <c r="B926" s="51" t="s">
        <v>5214</v>
      </c>
      <c r="C926" s="51" t="s">
        <v>5215</v>
      </c>
      <c r="D926" s="52" t="s">
        <v>2251</v>
      </c>
      <c r="E926" s="52" t="s">
        <v>2250</v>
      </c>
      <c r="F926" s="53" t="s">
        <v>5235</v>
      </c>
      <c r="G926" s="51" t="s">
        <v>4812</v>
      </c>
      <c r="H926" s="54"/>
      <c r="I926" s="55">
        <v>79</v>
      </c>
      <c r="K926" s="51" t="s">
        <v>5215</v>
      </c>
    </row>
    <row r="927" spans="1:11">
      <c r="A927" s="51">
        <v>898</v>
      </c>
      <c r="B927" s="51" t="s">
        <v>5214</v>
      </c>
      <c r="C927" s="51" t="s">
        <v>5215</v>
      </c>
      <c r="D927" s="52" t="s">
        <v>1573</v>
      </c>
      <c r="E927" s="52" t="s">
        <v>1572</v>
      </c>
      <c r="F927" s="53" t="s">
        <v>4855</v>
      </c>
      <c r="G927" s="51" t="s">
        <v>4812</v>
      </c>
      <c r="H927" s="54"/>
      <c r="I927" s="55">
        <v>35</v>
      </c>
      <c r="K927" s="51" t="s">
        <v>5215</v>
      </c>
    </row>
    <row r="928" spans="1:11">
      <c r="A928" s="51">
        <v>899</v>
      </c>
      <c r="B928" s="51" t="s">
        <v>5214</v>
      </c>
      <c r="C928" s="51" t="s">
        <v>5215</v>
      </c>
      <c r="D928" s="52" t="s">
        <v>1677</v>
      </c>
      <c r="E928" s="52" t="s">
        <v>1676</v>
      </c>
      <c r="F928" s="53" t="s">
        <v>4852</v>
      </c>
      <c r="G928" s="51" t="s">
        <v>4812</v>
      </c>
      <c r="H928" s="54"/>
      <c r="I928" s="55">
        <v>21</v>
      </c>
      <c r="K928" s="51" t="s">
        <v>5215</v>
      </c>
    </row>
    <row r="929" spans="1:11">
      <c r="A929" s="51">
        <v>900</v>
      </c>
      <c r="B929" s="51" t="s">
        <v>5236</v>
      </c>
      <c r="C929" s="51" t="s">
        <v>5237</v>
      </c>
      <c r="D929" s="52" t="s">
        <v>5238</v>
      </c>
      <c r="E929" s="52" t="s">
        <v>5239</v>
      </c>
      <c r="F929" s="53" t="s">
        <v>5240</v>
      </c>
      <c r="G929" s="51" t="s">
        <v>4812</v>
      </c>
      <c r="H929" s="54"/>
      <c r="I929" s="55">
        <v>0</v>
      </c>
      <c r="K929" s="51" t="s">
        <v>5237</v>
      </c>
    </row>
    <row r="930" spans="1:11">
      <c r="A930" s="51">
        <v>901</v>
      </c>
      <c r="B930" s="51" t="s">
        <v>5236</v>
      </c>
      <c r="C930" s="51" t="s">
        <v>5237</v>
      </c>
      <c r="D930" s="52" t="s">
        <v>5241</v>
      </c>
      <c r="E930" s="52" t="s">
        <v>5242</v>
      </c>
      <c r="F930" s="53" t="s">
        <v>5243</v>
      </c>
      <c r="G930" s="51" t="s">
        <v>4812</v>
      </c>
      <c r="H930" s="54"/>
      <c r="I930" s="55">
        <v>0</v>
      </c>
      <c r="K930" s="51" t="s">
        <v>5237</v>
      </c>
    </row>
    <row r="931" spans="1:11">
      <c r="A931" s="51">
        <v>902</v>
      </c>
      <c r="B931" s="51" t="s">
        <v>5236</v>
      </c>
      <c r="C931" s="51" t="s">
        <v>5237</v>
      </c>
      <c r="D931" s="52" t="s">
        <v>5244</v>
      </c>
      <c r="E931" s="52" t="s">
        <v>5245</v>
      </c>
      <c r="F931" s="53" t="s">
        <v>5240</v>
      </c>
      <c r="G931" s="51" t="s">
        <v>4812</v>
      </c>
      <c r="H931" s="54"/>
      <c r="I931" s="55">
        <v>0</v>
      </c>
      <c r="K931" s="51" t="s">
        <v>5237</v>
      </c>
    </row>
    <row r="932" spans="1:11">
      <c r="A932" s="51">
        <v>903</v>
      </c>
      <c r="B932" s="51" t="s">
        <v>5236</v>
      </c>
      <c r="C932" s="51" t="s">
        <v>5237</v>
      </c>
      <c r="D932" s="52" t="s">
        <v>5246</v>
      </c>
      <c r="E932" s="52" t="s">
        <v>5247</v>
      </c>
      <c r="F932" s="53" t="s">
        <v>5243</v>
      </c>
      <c r="G932" s="51" t="s">
        <v>4812</v>
      </c>
      <c r="H932" s="54"/>
      <c r="I932" s="55">
        <v>1</v>
      </c>
      <c r="K932" s="51" t="s">
        <v>5237</v>
      </c>
    </row>
    <row r="933" spans="1:11">
      <c r="A933" s="51">
        <v>904</v>
      </c>
      <c r="B933" s="51" t="s">
        <v>5236</v>
      </c>
      <c r="C933" s="51" t="s">
        <v>5237</v>
      </c>
      <c r="D933" s="52" t="s">
        <v>5248</v>
      </c>
      <c r="E933" s="52" t="s">
        <v>5249</v>
      </c>
      <c r="F933" s="53" t="s">
        <v>5250</v>
      </c>
      <c r="G933" s="51" t="s">
        <v>4812</v>
      </c>
      <c r="H933" s="54"/>
      <c r="I933" s="55">
        <v>0</v>
      </c>
      <c r="K933" s="51" t="s">
        <v>5237</v>
      </c>
    </row>
    <row r="934" spans="1:11">
      <c r="A934" s="51">
        <v>905</v>
      </c>
      <c r="B934" s="51" t="s">
        <v>5236</v>
      </c>
      <c r="C934" s="51" t="s">
        <v>5237</v>
      </c>
      <c r="D934" s="52" t="s">
        <v>5251</v>
      </c>
      <c r="E934" s="52" t="s">
        <v>5252</v>
      </c>
      <c r="F934" s="53" t="s">
        <v>5253</v>
      </c>
      <c r="G934" s="51" t="s">
        <v>4812</v>
      </c>
      <c r="H934" s="54"/>
      <c r="I934" s="55">
        <v>0</v>
      </c>
      <c r="K934" s="51" t="s">
        <v>5237</v>
      </c>
    </row>
    <row r="935" spans="1:11">
      <c r="A935" s="51">
        <v>906</v>
      </c>
      <c r="B935" s="51" t="s">
        <v>5236</v>
      </c>
      <c r="C935" s="51" t="s">
        <v>5237</v>
      </c>
      <c r="D935" s="52" t="s">
        <v>5254</v>
      </c>
      <c r="E935" s="52" t="s">
        <v>5255</v>
      </c>
      <c r="F935" s="53" t="s">
        <v>5250</v>
      </c>
      <c r="G935" s="51" t="s">
        <v>4812</v>
      </c>
      <c r="H935" s="54"/>
      <c r="I935" s="55">
        <v>0</v>
      </c>
      <c r="K935" s="51" t="s">
        <v>5237</v>
      </c>
    </row>
    <row r="936" spans="1:11">
      <c r="A936" s="51">
        <v>907</v>
      </c>
      <c r="B936" s="51" t="s">
        <v>5236</v>
      </c>
      <c r="C936" s="51" t="s">
        <v>5237</v>
      </c>
      <c r="D936" s="52" t="s">
        <v>5256</v>
      </c>
      <c r="E936" s="52" t="s">
        <v>5257</v>
      </c>
      <c r="F936" s="53" t="s">
        <v>5253</v>
      </c>
      <c r="G936" s="51" t="s">
        <v>4812</v>
      </c>
      <c r="H936" s="54"/>
      <c r="I936" s="55">
        <v>1</v>
      </c>
      <c r="K936" s="51" t="s">
        <v>5237</v>
      </c>
    </row>
    <row r="937" spans="1:11">
      <c r="A937" s="51">
        <v>908</v>
      </c>
      <c r="B937" s="51" t="s">
        <v>5236</v>
      </c>
      <c r="C937" s="51" t="s">
        <v>5237</v>
      </c>
      <c r="D937" s="52" t="s">
        <v>2793</v>
      </c>
      <c r="E937" s="52" t="s">
        <v>2792</v>
      </c>
      <c r="F937" s="53" t="s">
        <v>4821</v>
      </c>
      <c r="G937" s="51" t="s">
        <v>4812</v>
      </c>
      <c r="H937" s="54"/>
      <c r="I937" s="55">
        <v>10</v>
      </c>
      <c r="K937" s="51" t="s">
        <v>5237</v>
      </c>
    </row>
    <row r="938" spans="1:11">
      <c r="A938" s="51">
        <v>909</v>
      </c>
      <c r="B938" s="51" t="s">
        <v>5236</v>
      </c>
      <c r="C938" s="51" t="s">
        <v>5237</v>
      </c>
      <c r="D938" s="52" t="s">
        <v>2743</v>
      </c>
      <c r="E938" s="52" t="s">
        <v>2742</v>
      </c>
      <c r="F938" s="53" t="s">
        <v>4823</v>
      </c>
      <c r="G938" s="51" t="s">
        <v>4812</v>
      </c>
      <c r="H938" s="54"/>
      <c r="I938" s="55">
        <v>12</v>
      </c>
      <c r="K938" s="51" t="s">
        <v>5237</v>
      </c>
    </row>
    <row r="939" spans="1:11">
      <c r="A939" s="51">
        <v>910</v>
      </c>
      <c r="B939" s="51" t="s">
        <v>5236</v>
      </c>
      <c r="C939" s="51" t="s">
        <v>5237</v>
      </c>
      <c r="D939" s="52" t="s">
        <v>2795</v>
      </c>
      <c r="E939" s="52" t="s">
        <v>2794</v>
      </c>
      <c r="F939" s="53" t="s">
        <v>5258</v>
      </c>
      <c r="G939" s="51" t="s">
        <v>4812</v>
      </c>
      <c r="H939" s="54"/>
      <c r="I939" s="55">
        <v>17</v>
      </c>
      <c r="K939" s="51" t="s">
        <v>5237</v>
      </c>
    </row>
    <row r="940" spans="1:11">
      <c r="A940" s="51">
        <v>911</v>
      </c>
      <c r="B940" s="51" t="s">
        <v>5236</v>
      </c>
      <c r="C940" s="51" t="s">
        <v>5237</v>
      </c>
      <c r="D940" s="52" t="s">
        <v>2745</v>
      </c>
      <c r="E940" s="52" t="s">
        <v>2744</v>
      </c>
      <c r="F940" s="53" t="s">
        <v>5259</v>
      </c>
      <c r="G940" s="51" t="s">
        <v>4812</v>
      </c>
      <c r="H940" s="54"/>
      <c r="I940" s="55">
        <v>18</v>
      </c>
      <c r="K940" s="51" t="s">
        <v>5237</v>
      </c>
    </row>
    <row r="941" spans="1:11">
      <c r="A941" s="51">
        <v>912</v>
      </c>
      <c r="B941" s="51" t="s">
        <v>5236</v>
      </c>
      <c r="C941" s="51" t="s">
        <v>5237</v>
      </c>
      <c r="D941" s="52" t="s">
        <v>4827</v>
      </c>
      <c r="E941" s="52" t="s">
        <v>4828</v>
      </c>
      <c r="F941" s="53" t="s">
        <v>100</v>
      </c>
      <c r="G941" s="51" t="s">
        <v>4812</v>
      </c>
      <c r="H941" s="54"/>
      <c r="I941" s="55">
        <v>328</v>
      </c>
      <c r="K941" s="51" t="s">
        <v>5237</v>
      </c>
    </row>
    <row r="942" spans="1:11">
      <c r="A942" s="51">
        <v>913</v>
      </c>
      <c r="B942" s="51" t="s">
        <v>5236</v>
      </c>
      <c r="C942" s="51" t="s">
        <v>5237</v>
      </c>
      <c r="D942" s="52" t="s">
        <v>2522</v>
      </c>
      <c r="E942" s="52" t="s">
        <v>2521</v>
      </c>
      <c r="F942" s="53" t="s">
        <v>5260</v>
      </c>
      <c r="G942" s="51" t="s">
        <v>4812</v>
      </c>
      <c r="H942" s="54"/>
      <c r="I942" s="55">
        <v>183</v>
      </c>
      <c r="K942" s="51" t="s">
        <v>5237</v>
      </c>
    </row>
    <row r="943" spans="1:11">
      <c r="A943" s="51">
        <v>914</v>
      </c>
      <c r="B943" s="51" t="s">
        <v>5236</v>
      </c>
      <c r="C943" s="51" t="s">
        <v>5237</v>
      </c>
      <c r="D943" s="52" t="s">
        <v>256</v>
      </c>
      <c r="E943" s="52" t="s">
        <v>255</v>
      </c>
      <c r="F943" s="53" t="s">
        <v>5261</v>
      </c>
      <c r="G943" s="51" t="s">
        <v>4812</v>
      </c>
      <c r="H943" s="54"/>
      <c r="I943" s="55">
        <v>221</v>
      </c>
      <c r="K943" s="51" t="s">
        <v>5237</v>
      </c>
    </row>
    <row r="944" spans="1:11">
      <c r="A944" s="51">
        <v>915</v>
      </c>
      <c r="B944" s="51" t="s">
        <v>5236</v>
      </c>
      <c r="C944" s="51" t="s">
        <v>5237</v>
      </c>
      <c r="D944" s="52" t="s">
        <v>253</v>
      </c>
      <c r="E944" s="52" t="s">
        <v>252</v>
      </c>
      <c r="F944" s="53" t="s">
        <v>5261</v>
      </c>
      <c r="G944" s="51" t="s">
        <v>4812</v>
      </c>
      <c r="H944" s="54"/>
      <c r="I944" s="55">
        <v>599</v>
      </c>
      <c r="K944" s="51" t="s">
        <v>5237</v>
      </c>
    </row>
    <row r="945" spans="1:11">
      <c r="A945" s="51">
        <v>916</v>
      </c>
      <c r="B945" s="51" t="s">
        <v>5236</v>
      </c>
      <c r="C945" s="51" t="s">
        <v>5237</v>
      </c>
      <c r="D945" s="52" t="s">
        <v>2691</v>
      </c>
      <c r="E945" s="52" t="s">
        <v>2690</v>
      </c>
      <c r="F945" s="53" t="s">
        <v>5262</v>
      </c>
      <c r="G945" s="51" t="s">
        <v>4812</v>
      </c>
      <c r="H945" s="54"/>
      <c r="I945" s="55">
        <v>50</v>
      </c>
      <c r="K945" s="51" t="s">
        <v>5237</v>
      </c>
    </row>
    <row r="946" spans="1:11">
      <c r="A946" s="51">
        <v>917</v>
      </c>
      <c r="B946" s="51" t="s">
        <v>5236</v>
      </c>
      <c r="C946" s="51" t="s">
        <v>5237</v>
      </c>
      <c r="D946" s="52" t="s">
        <v>2587</v>
      </c>
      <c r="E946" s="52" t="s">
        <v>2586</v>
      </c>
      <c r="F946" s="53" t="s">
        <v>5263</v>
      </c>
      <c r="G946" s="51" t="s">
        <v>4812</v>
      </c>
      <c r="H946" s="54"/>
      <c r="I946" s="55">
        <v>38</v>
      </c>
      <c r="K946" s="51" t="s">
        <v>5237</v>
      </c>
    </row>
    <row r="947" spans="1:11">
      <c r="A947" s="51">
        <v>918</v>
      </c>
      <c r="B947" s="51" t="s">
        <v>5236</v>
      </c>
      <c r="C947" s="51" t="s">
        <v>5237</v>
      </c>
      <c r="D947" s="52" t="s">
        <v>3642</v>
      </c>
      <c r="E947" s="52" t="s">
        <v>3641</v>
      </c>
      <c r="F947" s="53" t="s">
        <v>5264</v>
      </c>
      <c r="G947" s="51" t="s">
        <v>4812</v>
      </c>
      <c r="H947" s="54"/>
      <c r="I947" s="55">
        <v>83</v>
      </c>
      <c r="K947" s="51" t="s">
        <v>5237</v>
      </c>
    </row>
    <row r="948" spans="1:11">
      <c r="A948" s="51">
        <v>919</v>
      </c>
      <c r="B948" s="51" t="s">
        <v>5236</v>
      </c>
      <c r="C948" s="51" t="s">
        <v>5237</v>
      </c>
      <c r="D948" s="52" t="s">
        <v>3644</v>
      </c>
      <c r="E948" s="52" t="s">
        <v>3643</v>
      </c>
      <c r="F948" s="53" t="s">
        <v>5264</v>
      </c>
      <c r="G948" s="51" t="s">
        <v>4812</v>
      </c>
      <c r="H948" s="54"/>
      <c r="I948" s="55">
        <v>0</v>
      </c>
      <c r="K948" s="51" t="s">
        <v>5237</v>
      </c>
    </row>
    <row r="949" spans="1:11">
      <c r="A949" s="51">
        <v>920</v>
      </c>
      <c r="B949" s="51" t="s">
        <v>5265</v>
      </c>
      <c r="C949" s="51" t="s">
        <v>5266</v>
      </c>
      <c r="D949" s="52" t="s">
        <v>5080</v>
      </c>
      <c r="E949" s="52" t="s">
        <v>1401</v>
      </c>
      <c r="F949" s="53" t="s">
        <v>5267</v>
      </c>
      <c r="G949" s="51" t="s">
        <v>4812</v>
      </c>
      <c r="H949" s="54"/>
      <c r="I949" s="55">
        <v>34</v>
      </c>
      <c r="K949" s="51" t="s">
        <v>5266</v>
      </c>
    </row>
    <row r="950" spans="1:11">
      <c r="A950" s="51">
        <v>921</v>
      </c>
      <c r="B950" s="51" t="s">
        <v>5265</v>
      </c>
      <c r="C950" s="51" t="s">
        <v>5266</v>
      </c>
      <c r="D950" s="52" t="s">
        <v>5268</v>
      </c>
      <c r="E950" s="52" t="s">
        <v>5269</v>
      </c>
      <c r="F950" s="53" t="s">
        <v>5125</v>
      </c>
      <c r="G950" s="51" t="s">
        <v>4812</v>
      </c>
      <c r="H950" s="54"/>
      <c r="I950" s="55">
        <v>0</v>
      </c>
      <c r="K950" s="51" t="s">
        <v>5266</v>
      </c>
    </row>
    <row r="951" spans="1:11">
      <c r="A951" s="51">
        <v>922</v>
      </c>
      <c r="B951" s="51" t="s">
        <v>5265</v>
      </c>
      <c r="C951" s="51" t="s">
        <v>5266</v>
      </c>
      <c r="D951" s="52" t="s">
        <v>5270</v>
      </c>
      <c r="E951" s="52" t="s">
        <v>5271</v>
      </c>
      <c r="F951" s="53" t="s">
        <v>119</v>
      </c>
      <c r="G951" s="51"/>
      <c r="H951" s="54"/>
      <c r="I951" s="55">
        <v>0</v>
      </c>
      <c r="K951" s="51" t="s">
        <v>5266</v>
      </c>
    </row>
    <row r="952" spans="1:11">
      <c r="A952" s="51">
        <v>923</v>
      </c>
      <c r="B952" s="51" t="s">
        <v>5265</v>
      </c>
      <c r="C952" s="51" t="s">
        <v>5266</v>
      </c>
      <c r="D952" s="52" t="s">
        <v>5272</v>
      </c>
      <c r="E952" s="52" t="s">
        <v>5273</v>
      </c>
      <c r="F952" s="53" t="s">
        <v>5125</v>
      </c>
      <c r="G952" s="51" t="s">
        <v>4812</v>
      </c>
      <c r="H952" s="54"/>
      <c r="I952" s="55">
        <v>0</v>
      </c>
      <c r="K952" s="51" t="s">
        <v>5266</v>
      </c>
    </row>
    <row r="953" spans="1:11">
      <c r="A953" s="51">
        <v>924</v>
      </c>
      <c r="B953" s="51" t="s">
        <v>5265</v>
      </c>
      <c r="C953" s="51" t="s">
        <v>5266</v>
      </c>
      <c r="D953" s="52" t="s">
        <v>5274</v>
      </c>
      <c r="E953" s="52" t="s">
        <v>5275</v>
      </c>
      <c r="F953" s="53" t="s">
        <v>5276</v>
      </c>
      <c r="G953" s="51" t="s">
        <v>4812</v>
      </c>
      <c r="H953" s="54"/>
      <c r="I953" s="55">
        <v>0</v>
      </c>
      <c r="K953" s="51" t="s">
        <v>5266</v>
      </c>
    </row>
    <row r="954" spans="1:11">
      <c r="A954" s="51">
        <v>925</v>
      </c>
      <c r="B954" s="51" t="s">
        <v>5265</v>
      </c>
      <c r="C954" s="51" t="s">
        <v>5266</v>
      </c>
      <c r="D954" s="52" t="s">
        <v>5277</v>
      </c>
      <c r="E954" s="52" t="s">
        <v>5278</v>
      </c>
      <c r="F954" s="53" t="s">
        <v>5279</v>
      </c>
      <c r="G954" s="51" t="s">
        <v>4812</v>
      </c>
      <c r="H954" s="54"/>
      <c r="I954" s="55">
        <v>0</v>
      </c>
      <c r="K954" s="51" t="s">
        <v>5266</v>
      </c>
    </row>
    <row r="955" spans="1:11">
      <c r="A955" s="51">
        <v>926</v>
      </c>
      <c r="B955" s="51" t="s">
        <v>5265</v>
      </c>
      <c r="C955" s="51" t="s">
        <v>5266</v>
      </c>
      <c r="D955" s="52" t="s">
        <v>5280</v>
      </c>
      <c r="E955" s="52" t="s">
        <v>5281</v>
      </c>
      <c r="F955" s="53" t="s">
        <v>5219</v>
      </c>
      <c r="G955" s="51" t="s">
        <v>4812</v>
      </c>
      <c r="H955" s="54"/>
      <c r="I955" s="55">
        <v>0</v>
      </c>
      <c r="K955" s="51" t="s">
        <v>5266</v>
      </c>
    </row>
    <row r="956" spans="1:11">
      <c r="A956" s="51">
        <v>927</v>
      </c>
      <c r="B956" s="51" t="s">
        <v>5265</v>
      </c>
      <c r="C956" s="51" t="s">
        <v>5266</v>
      </c>
      <c r="D956" s="52" t="s">
        <v>5282</v>
      </c>
      <c r="E956" s="52" t="s">
        <v>5283</v>
      </c>
      <c r="F956" s="53" t="s">
        <v>5138</v>
      </c>
      <c r="G956" s="51" t="s">
        <v>4812</v>
      </c>
      <c r="H956" s="54"/>
      <c r="I956" s="55">
        <v>0</v>
      </c>
      <c r="K956" s="51" t="s">
        <v>5266</v>
      </c>
    </row>
    <row r="957" spans="1:11">
      <c r="A957" s="51">
        <v>928</v>
      </c>
      <c r="B957" s="51" t="s">
        <v>5265</v>
      </c>
      <c r="C957" s="51" t="s">
        <v>5266</v>
      </c>
      <c r="D957" s="52" t="s">
        <v>5284</v>
      </c>
      <c r="E957" s="52" t="s">
        <v>5285</v>
      </c>
      <c r="F957" s="53" t="s">
        <v>5135</v>
      </c>
      <c r="G957" s="51" t="s">
        <v>4812</v>
      </c>
      <c r="H957" s="54"/>
      <c r="I957" s="55">
        <v>0</v>
      </c>
      <c r="K957" s="51" t="s">
        <v>5266</v>
      </c>
    </row>
    <row r="958" spans="1:11">
      <c r="A958" s="51">
        <v>929</v>
      </c>
      <c r="B958" s="51" t="s">
        <v>5265</v>
      </c>
      <c r="C958" s="51" t="s">
        <v>5266</v>
      </c>
      <c r="D958" s="52" t="s">
        <v>5286</v>
      </c>
      <c r="E958" s="52" t="s">
        <v>5287</v>
      </c>
      <c r="F958" s="53" t="s">
        <v>5288</v>
      </c>
      <c r="G958" s="51" t="s">
        <v>4812</v>
      </c>
      <c r="H958" s="54"/>
      <c r="I958" s="55">
        <v>0</v>
      </c>
      <c r="K958" s="51" t="s">
        <v>5266</v>
      </c>
    </row>
    <row r="959" spans="1:11">
      <c r="A959" s="51">
        <v>930</v>
      </c>
      <c r="B959" s="51" t="s">
        <v>5265</v>
      </c>
      <c r="C959" s="51" t="s">
        <v>5266</v>
      </c>
      <c r="D959" s="52" t="s">
        <v>5289</v>
      </c>
      <c r="E959" s="52" t="s">
        <v>5285</v>
      </c>
      <c r="F959" s="53" t="s">
        <v>5138</v>
      </c>
      <c r="G959" s="51" t="s">
        <v>4812</v>
      </c>
      <c r="H959" s="54"/>
      <c r="I959" s="55">
        <v>0</v>
      </c>
      <c r="K959" s="51" t="s">
        <v>5266</v>
      </c>
    </row>
    <row r="960" spans="1:11">
      <c r="A960" s="51">
        <v>931</v>
      </c>
      <c r="B960" s="51" t="s">
        <v>5265</v>
      </c>
      <c r="C960" s="51" t="s">
        <v>5266</v>
      </c>
      <c r="D960" s="52" t="s">
        <v>5290</v>
      </c>
      <c r="E960" s="52" t="s">
        <v>5291</v>
      </c>
      <c r="F960" s="53" t="s">
        <v>5138</v>
      </c>
      <c r="G960" s="51" t="s">
        <v>4812</v>
      </c>
      <c r="H960" s="54"/>
      <c r="I960" s="55">
        <v>0</v>
      </c>
      <c r="K960" s="51" t="s">
        <v>5266</v>
      </c>
    </row>
    <row r="961" spans="1:11">
      <c r="A961" s="51">
        <v>932</v>
      </c>
      <c r="B961" s="51" t="s">
        <v>5265</v>
      </c>
      <c r="C961" s="51" t="s">
        <v>5266</v>
      </c>
      <c r="D961" s="52" t="s">
        <v>5292</v>
      </c>
      <c r="E961" s="52" t="s">
        <v>5293</v>
      </c>
      <c r="F961" s="53" t="s">
        <v>5294</v>
      </c>
      <c r="G961" s="51" t="s">
        <v>4812</v>
      </c>
      <c r="H961" s="54"/>
      <c r="I961" s="55">
        <v>0</v>
      </c>
      <c r="K961" s="51" t="s">
        <v>5266</v>
      </c>
    </row>
    <row r="962" spans="1:11">
      <c r="A962" s="51">
        <v>933</v>
      </c>
      <c r="B962" s="51" t="s">
        <v>5265</v>
      </c>
      <c r="C962" s="51" t="s">
        <v>5266</v>
      </c>
      <c r="D962" s="52" t="s">
        <v>1543</v>
      </c>
      <c r="E962" s="52" t="s">
        <v>1542</v>
      </c>
      <c r="F962" s="53" t="s">
        <v>5231</v>
      </c>
      <c r="G962" s="51" t="s">
        <v>4812</v>
      </c>
      <c r="H962" s="54"/>
      <c r="I962" s="55">
        <v>123</v>
      </c>
      <c r="K962" s="51" t="s">
        <v>5266</v>
      </c>
    </row>
    <row r="963" spans="1:11">
      <c r="A963" s="51">
        <v>934</v>
      </c>
      <c r="B963" s="51" t="s">
        <v>5265</v>
      </c>
      <c r="C963" s="51" t="s">
        <v>5266</v>
      </c>
      <c r="D963" s="52" t="s">
        <v>1807</v>
      </c>
      <c r="E963" s="52" t="s">
        <v>1806</v>
      </c>
      <c r="F963" s="53" t="s">
        <v>5232</v>
      </c>
      <c r="G963" s="51" t="s">
        <v>4812</v>
      </c>
      <c r="H963" s="54"/>
      <c r="I963" s="55">
        <v>50</v>
      </c>
      <c r="K963" s="51" t="s">
        <v>5266</v>
      </c>
    </row>
    <row r="964" spans="1:11">
      <c r="A964" s="51">
        <v>935</v>
      </c>
      <c r="B964" s="51" t="s">
        <v>5265</v>
      </c>
      <c r="C964" s="51" t="s">
        <v>5266</v>
      </c>
      <c r="D964" s="52" t="s">
        <v>1968</v>
      </c>
      <c r="E964" s="52" t="s">
        <v>1967</v>
      </c>
      <c r="F964" s="53" t="s">
        <v>117</v>
      </c>
      <c r="G964" s="51" t="s">
        <v>4812</v>
      </c>
      <c r="H964" s="54"/>
      <c r="I964" s="55">
        <v>49</v>
      </c>
      <c r="K964" s="51" t="s">
        <v>5266</v>
      </c>
    </row>
    <row r="965" spans="1:11">
      <c r="A965" s="51">
        <v>936</v>
      </c>
      <c r="B965" s="51" t="s">
        <v>5265</v>
      </c>
      <c r="C965" s="51" t="s">
        <v>5266</v>
      </c>
      <c r="D965" s="52" t="s">
        <v>84</v>
      </c>
      <c r="E965" s="52" t="s">
        <v>46</v>
      </c>
      <c r="F965" s="53" t="s">
        <v>118</v>
      </c>
      <c r="G965" s="51" t="s">
        <v>4812</v>
      </c>
      <c r="H965" s="54"/>
      <c r="I965" s="55">
        <v>180</v>
      </c>
      <c r="K965" s="51" t="s">
        <v>5266</v>
      </c>
    </row>
    <row r="966" spans="1:11">
      <c r="A966" s="51">
        <v>937</v>
      </c>
      <c r="B966" s="51" t="s">
        <v>5265</v>
      </c>
      <c r="C966" s="51" t="s">
        <v>5266</v>
      </c>
      <c r="D966" s="52" t="s">
        <v>85</v>
      </c>
      <c r="E966" s="52" t="s">
        <v>47</v>
      </c>
      <c r="F966" s="53" t="s">
        <v>118</v>
      </c>
      <c r="G966" s="51" t="s">
        <v>4812</v>
      </c>
      <c r="H966" s="54"/>
      <c r="I966" s="55">
        <v>687</v>
      </c>
      <c r="K966" s="51" t="s">
        <v>5266</v>
      </c>
    </row>
    <row r="967" spans="1:11">
      <c r="A967" s="51">
        <v>938</v>
      </c>
      <c r="B967" s="51" t="s">
        <v>5265</v>
      </c>
      <c r="C967" s="51" t="s">
        <v>5266</v>
      </c>
      <c r="D967" s="52" t="s">
        <v>2456</v>
      </c>
      <c r="E967" s="52" t="s">
        <v>2455</v>
      </c>
      <c r="F967" s="53" t="s">
        <v>5295</v>
      </c>
      <c r="G967" s="51" t="s">
        <v>4812</v>
      </c>
      <c r="H967" s="54"/>
      <c r="I967" s="55">
        <v>921</v>
      </c>
      <c r="K967" s="51" t="s">
        <v>5266</v>
      </c>
    </row>
    <row r="968" spans="1:11">
      <c r="A968" s="51">
        <v>939</v>
      </c>
      <c r="B968" s="51" t="s">
        <v>5265</v>
      </c>
      <c r="C968" s="51" t="s">
        <v>5266</v>
      </c>
      <c r="D968" s="52" t="s">
        <v>2458</v>
      </c>
      <c r="E968" s="52" t="s">
        <v>2457</v>
      </c>
      <c r="F968" s="53" t="s">
        <v>5295</v>
      </c>
      <c r="G968" s="51" t="s">
        <v>4812</v>
      </c>
      <c r="H968" s="54"/>
      <c r="I968" s="55">
        <v>121</v>
      </c>
      <c r="K968" s="51" t="s">
        <v>5266</v>
      </c>
    </row>
    <row r="969" spans="1:11">
      <c r="A969" s="51">
        <v>940</v>
      </c>
      <c r="B969" s="51" t="s">
        <v>5265</v>
      </c>
      <c r="C969" s="51" t="s">
        <v>5266</v>
      </c>
      <c r="D969" s="52" t="s">
        <v>3650</v>
      </c>
      <c r="E969" s="52" t="s">
        <v>3649</v>
      </c>
      <c r="F969" s="53" t="s">
        <v>5234</v>
      </c>
      <c r="G969" s="51" t="s">
        <v>4812</v>
      </c>
      <c r="H969" s="54"/>
      <c r="I969" s="55">
        <v>269</v>
      </c>
      <c r="K969" s="51" t="s">
        <v>5266</v>
      </c>
    </row>
    <row r="970" spans="1:11">
      <c r="A970" s="51">
        <v>941</v>
      </c>
      <c r="B970" s="51" t="s">
        <v>5265</v>
      </c>
      <c r="C970" s="51" t="s">
        <v>5266</v>
      </c>
      <c r="D970" s="52" t="s">
        <v>1575</v>
      </c>
      <c r="E970" s="52" t="s">
        <v>1574</v>
      </c>
      <c r="F970" s="53" t="s">
        <v>4855</v>
      </c>
      <c r="G970" s="51" t="s">
        <v>4812</v>
      </c>
      <c r="H970" s="54"/>
      <c r="I970" s="55">
        <v>0</v>
      </c>
      <c r="K970" s="51" t="s">
        <v>5266</v>
      </c>
    </row>
    <row r="971" spans="1:11">
      <c r="A971" s="51">
        <v>942</v>
      </c>
      <c r="B971" s="51" t="s">
        <v>5265</v>
      </c>
      <c r="C971" s="51" t="s">
        <v>5266</v>
      </c>
      <c r="D971" s="52" t="s">
        <v>1681</v>
      </c>
      <c r="E971" s="52" t="s">
        <v>1680</v>
      </c>
      <c r="F971" s="53" t="s">
        <v>4852</v>
      </c>
      <c r="G971" s="51" t="s">
        <v>4812</v>
      </c>
      <c r="H971" s="54"/>
      <c r="I971" s="55">
        <v>0</v>
      </c>
      <c r="K971" s="51" t="s">
        <v>5266</v>
      </c>
    </row>
    <row r="972" spans="1:11">
      <c r="A972" s="51">
        <v>943</v>
      </c>
      <c r="B972" s="51" t="s">
        <v>5265</v>
      </c>
      <c r="C972" s="51" t="s">
        <v>5266</v>
      </c>
      <c r="D972" s="52" t="s">
        <v>1679</v>
      </c>
      <c r="E972" s="52" t="s">
        <v>1678</v>
      </c>
      <c r="F972" s="53" t="s">
        <v>4852</v>
      </c>
      <c r="G972" s="51" t="s">
        <v>4812</v>
      </c>
      <c r="H972" s="54"/>
      <c r="I972" s="55">
        <v>0</v>
      </c>
      <c r="K972" s="51" t="s">
        <v>5266</v>
      </c>
    </row>
    <row r="973" spans="1:11">
      <c r="A973" s="51">
        <v>944</v>
      </c>
      <c r="B973" s="51" t="s">
        <v>5265</v>
      </c>
      <c r="C973" s="51" t="s">
        <v>5266</v>
      </c>
      <c r="D973" s="52" t="s">
        <v>1740</v>
      </c>
      <c r="E973" s="52" t="s">
        <v>1739</v>
      </c>
      <c r="F973" s="53" t="s">
        <v>5204</v>
      </c>
      <c r="G973" s="51" t="s">
        <v>4812</v>
      </c>
      <c r="H973" s="54"/>
      <c r="I973" s="55">
        <v>0</v>
      </c>
      <c r="K973" s="51" t="s">
        <v>5266</v>
      </c>
    </row>
    <row r="974" spans="1:11">
      <c r="A974" s="51">
        <v>945</v>
      </c>
      <c r="B974" s="51" t="s">
        <v>5265</v>
      </c>
      <c r="C974" s="51" t="s">
        <v>5266</v>
      </c>
      <c r="D974" s="52" t="s">
        <v>1742</v>
      </c>
      <c r="E974" s="52" t="s">
        <v>1741</v>
      </c>
      <c r="F974" s="53" t="s">
        <v>5204</v>
      </c>
      <c r="G974" s="51" t="s">
        <v>4812</v>
      </c>
      <c r="H974" s="54"/>
      <c r="I974" s="55">
        <v>37</v>
      </c>
      <c r="K974" s="51" t="s">
        <v>5266</v>
      </c>
    </row>
    <row r="975" spans="1:11">
      <c r="A975" s="57" t="s">
        <v>5296</v>
      </c>
      <c r="B975" s="51"/>
      <c r="C975" s="51" t="s">
        <v>5266</v>
      </c>
      <c r="D975" s="52" t="s">
        <v>2251</v>
      </c>
      <c r="E975" s="52" t="s">
        <v>2250</v>
      </c>
      <c r="F975" s="53" t="s">
        <v>5235</v>
      </c>
      <c r="G975" s="51" t="s">
        <v>4812</v>
      </c>
      <c r="H975" s="54"/>
      <c r="I975" s="55">
        <v>93</v>
      </c>
      <c r="K975" s="51" t="s">
        <v>5266</v>
      </c>
    </row>
    <row r="976" spans="1:11">
      <c r="A976" s="51">
        <v>946</v>
      </c>
      <c r="B976" s="51" t="s">
        <v>5297</v>
      </c>
      <c r="C976" s="51" t="s">
        <v>5298</v>
      </c>
      <c r="D976" s="52" t="s">
        <v>4075</v>
      </c>
      <c r="E976" s="52" t="s">
        <v>4074</v>
      </c>
      <c r="F976" s="53" t="s">
        <v>4991</v>
      </c>
      <c r="G976" s="51" t="s">
        <v>4812</v>
      </c>
      <c r="H976" s="54"/>
      <c r="I976" s="55">
        <v>131</v>
      </c>
      <c r="K976" s="51" t="s">
        <v>5298</v>
      </c>
    </row>
    <row r="977" spans="1:11">
      <c r="A977" s="51">
        <v>947</v>
      </c>
      <c r="B977" s="51" t="s">
        <v>5297</v>
      </c>
      <c r="C977" s="51" t="s">
        <v>5298</v>
      </c>
      <c r="D977" s="52" t="s">
        <v>2100</v>
      </c>
      <c r="E977" s="52" t="s">
        <v>2099</v>
      </c>
      <c r="F977" s="53" t="s">
        <v>4891</v>
      </c>
      <c r="G977" s="51" t="s">
        <v>4812</v>
      </c>
      <c r="H977" s="54"/>
      <c r="I977" s="55">
        <v>1351</v>
      </c>
      <c r="K977" s="51" t="s">
        <v>5298</v>
      </c>
    </row>
    <row r="978" spans="1:11">
      <c r="A978" s="51">
        <v>948</v>
      </c>
      <c r="B978" s="51" t="s">
        <v>5297</v>
      </c>
      <c r="C978" s="51" t="s">
        <v>5298</v>
      </c>
      <c r="D978" s="52" t="s">
        <v>5299</v>
      </c>
      <c r="E978" s="52"/>
      <c r="F978" s="53"/>
      <c r="G978" s="51" t="s">
        <v>4812</v>
      </c>
      <c r="H978" s="54"/>
      <c r="I978" s="55">
        <v>125</v>
      </c>
      <c r="K978" s="51" t="s">
        <v>5298</v>
      </c>
    </row>
    <row r="979" spans="1:11">
      <c r="A979" s="51">
        <v>949</v>
      </c>
      <c r="B979" s="51" t="s">
        <v>5297</v>
      </c>
      <c r="C979" s="51" t="s">
        <v>5298</v>
      </c>
      <c r="D979" s="52" t="s">
        <v>5300</v>
      </c>
      <c r="E979" s="52"/>
      <c r="F979" s="53"/>
      <c r="G979" s="51" t="s">
        <v>4812</v>
      </c>
      <c r="H979" s="54"/>
      <c r="I979" s="55">
        <v>95</v>
      </c>
      <c r="K979" s="51" t="s">
        <v>5298</v>
      </c>
    </row>
    <row r="980" spans="1:11">
      <c r="A980" s="51">
        <v>950</v>
      </c>
      <c r="B980" s="51" t="s">
        <v>5297</v>
      </c>
      <c r="C980" s="51" t="s">
        <v>5298</v>
      </c>
      <c r="D980" s="52" t="s">
        <v>2392</v>
      </c>
      <c r="E980" s="52" t="s">
        <v>2391</v>
      </c>
      <c r="F980" s="53" t="s">
        <v>5301</v>
      </c>
      <c r="G980" s="51" t="s">
        <v>4812</v>
      </c>
      <c r="H980" s="54"/>
      <c r="I980" s="55">
        <v>60</v>
      </c>
      <c r="K980" s="51" t="s">
        <v>5298</v>
      </c>
    </row>
    <row r="981" spans="1:11">
      <c r="A981" s="51">
        <v>951</v>
      </c>
      <c r="B981" s="51" t="s">
        <v>5297</v>
      </c>
      <c r="C981" s="51" t="s">
        <v>5298</v>
      </c>
      <c r="D981" s="52" t="s">
        <v>5302</v>
      </c>
      <c r="E981" s="52" t="s">
        <v>5303</v>
      </c>
      <c r="F981" s="53" t="s">
        <v>5304</v>
      </c>
      <c r="G981" s="51" t="s">
        <v>4812</v>
      </c>
      <c r="H981" s="54"/>
      <c r="I981" s="55">
        <v>0</v>
      </c>
      <c r="K981" s="51" t="s">
        <v>5298</v>
      </c>
    </row>
    <row r="982" spans="1:11">
      <c r="A982" s="51">
        <v>952</v>
      </c>
      <c r="B982" s="51" t="s">
        <v>5297</v>
      </c>
      <c r="C982" s="51" t="s">
        <v>5298</v>
      </c>
      <c r="D982" s="52" t="s">
        <v>5305</v>
      </c>
      <c r="E982" s="52" t="s">
        <v>5306</v>
      </c>
      <c r="F982" s="53" t="s">
        <v>5307</v>
      </c>
      <c r="G982" s="51" t="s">
        <v>4812</v>
      </c>
      <c r="H982" s="54"/>
      <c r="I982" s="55">
        <v>0</v>
      </c>
      <c r="K982" s="51" t="s">
        <v>5298</v>
      </c>
    </row>
    <row r="983" spans="1:11">
      <c r="A983" s="51">
        <v>953</v>
      </c>
      <c r="B983" s="51" t="s">
        <v>5297</v>
      </c>
      <c r="C983" s="51" t="s">
        <v>5298</v>
      </c>
      <c r="D983" s="52" t="s">
        <v>5308</v>
      </c>
      <c r="E983" s="52" t="s">
        <v>5309</v>
      </c>
      <c r="F983" s="53" t="s">
        <v>5310</v>
      </c>
      <c r="G983" s="51" t="s">
        <v>4812</v>
      </c>
      <c r="H983" s="54"/>
      <c r="I983" s="55">
        <v>0</v>
      </c>
      <c r="K983" s="51" t="s">
        <v>5298</v>
      </c>
    </row>
    <row r="984" spans="1:11">
      <c r="A984" s="51">
        <v>954</v>
      </c>
      <c r="B984" s="51" t="s">
        <v>5297</v>
      </c>
      <c r="C984" s="51" t="s">
        <v>5298</v>
      </c>
      <c r="D984" s="52" t="s">
        <v>1459</v>
      </c>
      <c r="E984" s="52" t="s">
        <v>1458</v>
      </c>
      <c r="F984" s="53" t="s">
        <v>4993</v>
      </c>
      <c r="G984" s="51" t="s">
        <v>4812</v>
      </c>
      <c r="H984" s="54"/>
      <c r="I984" s="55">
        <v>12</v>
      </c>
      <c r="K984" s="51" t="s">
        <v>5298</v>
      </c>
    </row>
    <row r="985" spans="1:11">
      <c r="A985" s="51">
        <v>955</v>
      </c>
      <c r="B985" s="51" t="s">
        <v>5297</v>
      </c>
      <c r="C985" s="51" t="s">
        <v>5298</v>
      </c>
      <c r="D985" s="52" t="s">
        <v>1493</v>
      </c>
      <c r="E985" s="52" t="s">
        <v>1492</v>
      </c>
      <c r="F985" s="53" t="s">
        <v>4992</v>
      </c>
      <c r="G985" s="51" t="s">
        <v>4812</v>
      </c>
      <c r="H985" s="54"/>
      <c r="I985" s="55">
        <v>67</v>
      </c>
      <c r="K985" s="51" t="s">
        <v>5298</v>
      </c>
    </row>
    <row r="986" spans="1:11">
      <c r="A986" s="51">
        <v>956</v>
      </c>
      <c r="B986" s="51" t="s">
        <v>5297</v>
      </c>
      <c r="C986" s="51" t="s">
        <v>5298</v>
      </c>
      <c r="D986" s="52" t="s">
        <v>1332</v>
      </c>
      <c r="E986" s="52" t="s">
        <v>1331</v>
      </c>
      <c r="F986" s="53" t="s">
        <v>99</v>
      </c>
      <c r="G986" s="51" t="s">
        <v>4812</v>
      </c>
      <c r="H986" s="54"/>
      <c r="I986" s="55">
        <v>76</v>
      </c>
      <c r="K986" s="51" t="s">
        <v>5298</v>
      </c>
    </row>
    <row r="987" spans="1:11">
      <c r="A987" s="51">
        <v>957</v>
      </c>
      <c r="B987" s="51" t="s">
        <v>5297</v>
      </c>
      <c r="C987" s="51" t="s">
        <v>5298</v>
      </c>
      <c r="D987" s="52" t="s">
        <v>1334</v>
      </c>
      <c r="E987" s="52" t="s">
        <v>5311</v>
      </c>
      <c r="F987" s="53" t="s">
        <v>5312</v>
      </c>
      <c r="G987" s="51" t="s">
        <v>4812</v>
      </c>
      <c r="H987" s="54"/>
      <c r="I987" s="55">
        <v>67</v>
      </c>
      <c r="K987" s="51" t="s">
        <v>5298</v>
      </c>
    </row>
    <row r="988" spans="1:11">
      <c r="A988" s="51">
        <v>958</v>
      </c>
      <c r="B988" s="51" t="s">
        <v>5297</v>
      </c>
      <c r="C988" s="51" t="s">
        <v>5298</v>
      </c>
      <c r="D988" s="52" t="s">
        <v>5313</v>
      </c>
      <c r="E988" s="52" t="s">
        <v>5314</v>
      </c>
      <c r="F988" s="53" t="s">
        <v>5315</v>
      </c>
      <c r="G988" s="51" t="s">
        <v>4812</v>
      </c>
      <c r="H988" s="54"/>
      <c r="I988" s="55">
        <v>481</v>
      </c>
      <c r="K988" s="51" t="s">
        <v>5298</v>
      </c>
    </row>
    <row r="989" spans="1:11">
      <c r="A989" s="51">
        <v>959</v>
      </c>
      <c r="B989" s="51" t="s">
        <v>5297</v>
      </c>
      <c r="C989" s="51" t="s">
        <v>5298</v>
      </c>
      <c r="D989" s="52" t="s">
        <v>5316</v>
      </c>
      <c r="E989" s="52" t="s">
        <v>5317</v>
      </c>
      <c r="F989" s="53" t="s">
        <v>5318</v>
      </c>
      <c r="G989" s="51" t="s">
        <v>4812</v>
      </c>
      <c r="H989" s="54"/>
      <c r="I989" s="55">
        <v>121</v>
      </c>
      <c r="K989" s="51" t="s">
        <v>5298</v>
      </c>
    </row>
    <row r="990" spans="1:11">
      <c r="A990" s="51">
        <v>960</v>
      </c>
      <c r="B990" s="51" t="s">
        <v>5297</v>
      </c>
      <c r="C990" s="51" t="s">
        <v>5298</v>
      </c>
      <c r="D990" s="52" t="s">
        <v>5319</v>
      </c>
      <c r="E990" s="52" t="s">
        <v>4794</v>
      </c>
      <c r="F990" s="53" t="s">
        <v>5320</v>
      </c>
      <c r="G990" s="51" t="s">
        <v>4812</v>
      </c>
      <c r="H990" s="54"/>
      <c r="I990" s="55">
        <v>48</v>
      </c>
      <c r="K990" s="51" t="s">
        <v>5298</v>
      </c>
    </row>
    <row r="991" spans="1:11">
      <c r="A991" s="51">
        <v>961</v>
      </c>
      <c r="B991" s="51" t="s">
        <v>5297</v>
      </c>
      <c r="C991" s="51" t="s">
        <v>5298</v>
      </c>
      <c r="D991" s="52" t="s">
        <v>5321</v>
      </c>
      <c r="E991" s="52" t="s">
        <v>4794</v>
      </c>
      <c r="F991" s="53" t="s">
        <v>5318</v>
      </c>
      <c r="G991" s="51" t="s">
        <v>4812</v>
      </c>
      <c r="H991" s="54"/>
      <c r="I991" s="55">
        <v>82</v>
      </c>
      <c r="K991" s="51" t="s">
        <v>5298</v>
      </c>
    </row>
    <row r="992" spans="1:11">
      <c r="A992" s="51">
        <v>962</v>
      </c>
      <c r="B992" s="51" t="s">
        <v>5297</v>
      </c>
      <c r="C992" s="51" t="s">
        <v>5298</v>
      </c>
      <c r="D992" s="52" t="s">
        <v>5322</v>
      </c>
      <c r="E992" s="52" t="s">
        <v>5323</v>
      </c>
      <c r="F992" s="53" t="s">
        <v>5324</v>
      </c>
      <c r="G992" s="51" t="s">
        <v>4812</v>
      </c>
      <c r="H992" s="54"/>
      <c r="I992" s="55">
        <v>0</v>
      </c>
      <c r="K992" s="51" t="s">
        <v>5298</v>
      </c>
    </row>
    <row r="993" spans="1:11">
      <c r="A993" s="51">
        <v>963</v>
      </c>
      <c r="B993" s="51" t="s">
        <v>5297</v>
      </c>
      <c r="C993" s="51" t="s">
        <v>5298</v>
      </c>
      <c r="D993" s="52" t="s">
        <v>5325</v>
      </c>
      <c r="E993" s="52" t="s">
        <v>5323</v>
      </c>
      <c r="F993" s="53" t="s">
        <v>5326</v>
      </c>
      <c r="G993" s="51" t="s">
        <v>4812</v>
      </c>
      <c r="H993" s="54"/>
      <c r="I993" s="55">
        <v>73</v>
      </c>
      <c r="K993" s="51" t="s">
        <v>5298</v>
      </c>
    </row>
    <row r="994" spans="1:11">
      <c r="A994" s="51">
        <v>964</v>
      </c>
      <c r="B994" s="51" t="s">
        <v>5297</v>
      </c>
      <c r="C994" s="51" t="s">
        <v>5298</v>
      </c>
      <c r="D994" s="52" t="s">
        <v>5327</v>
      </c>
      <c r="E994" s="52" t="s">
        <v>5328</v>
      </c>
      <c r="F994" s="53" t="s">
        <v>5329</v>
      </c>
      <c r="G994" s="51" t="s">
        <v>4812</v>
      </c>
      <c r="H994" s="54"/>
      <c r="I994" s="55">
        <v>72</v>
      </c>
      <c r="K994" s="51" t="s">
        <v>5298</v>
      </c>
    </row>
    <row r="995" spans="1:11">
      <c r="A995" s="51">
        <v>965</v>
      </c>
      <c r="B995" s="51" t="s">
        <v>5297</v>
      </c>
      <c r="C995" s="51" t="s">
        <v>5298</v>
      </c>
      <c r="D995" s="52" t="s">
        <v>5330</v>
      </c>
      <c r="E995" s="52" t="s">
        <v>5331</v>
      </c>
      <c r="F995" s="53" t="s">
        <v>5332</v>
      </c>
      <c r="G995" s="51" t="s">
        <v>4812</v>
      </c>
      <c r="H995" s="54"/>
      <c r="I995" s="55">
        <v>122</v>
      </c>
      <c r="K995" s="51" t="s">
        <v>5298</v>
      </c>
    </row>
    <row r="996" spans="1:11">
      <c r="A996" s="51">
        <v>966</v>
      </c>
      <c r="B996" s="51" t="s">
        <v>5297</v>
      </c>
      <c r="C996" s="51" t="s">
        <v>5298</v>
      </c>
      <c r="D996" s="52" t="s">
        <v>5333</v>
      </c>
      <c r="E996" s="52" t="s">
        <v>5334</v>
      </c>
      <c r="F996" s="53" t="s">
        <v>5335</v>
      </c>
      <c r="G996" s="51" t="s">
        <v>4812</v>
      </c>
      <c r="H996" s="54"/>
      <c r="I996" s="55">
        <v>120</v>
      </c>
      <c r="K996" s="51" t="s">
        <v>5298</v>
      </c>
    </row>
    <row r="997" spans="1:11">
      <c r="A997" s="51">
        <v>967</v>
      </c>
      <c r="B997" s="51" t="s">
        <v>5297</v>
      </c>
      <c r="C997" s="51" t="s">
        <v>5298</v>
      </c>
      <c r="D997" s="52" t="s">
        <v>5336</v>
      </c>
      <c r="E997" s="52" t="s">
        <v>5337</v>
      </c>
      <c r="F997" s="53" t="s">
        <v>5338</v>
      </c>
      <c r="G997" s="51" t="s">
        <v>4812</v>
      </c>
      <c r="H997" s="54"/>
      <c r="I997" s="55">
        <v>524</v>
      </c>
      <c r="K997" s="51" t="s">
        <v>5298</v>
      </c>
    </row>
    <row r="998" spans="1:11">
      <c r="A998" s="51">
        <v>968</v>
      </c>
      <c r="B998" s="51" t="s">
        <v>5297</v>
      </c>
      <c r="C998" s="51" t="s">
        <v>5298</v>
      </c>
      <c r="D998" s="52" t="s">
        <v>5292</v>
      </c>
      <c r="E998" s="52" t="s">
        <v>5337</v>
      </c>
      <c r="F998" s="53" t="s">
        <v>5338</v>
      </c>
      <c r="G998" s="51" t="s">
        <v>4812</v>
      </c>
      <c r="H998" s="54"/>
      <c r="I998" s="55">
        <v>0</v>
      </c>
      <c r="K998" s="51" t="s">
        <v>5298</v>
      </c>
    </row>
    <row r="999" spans="1:11">
      <c r="A999" s="51">
        <v>969</v>
      </c>
      <c r="B999" s="51" t="s">
        <v>5297</v>
      </c>
      <c r="C999" s="51" t="s">
        <v>5298</v>
      </c>
      <c r="D999" s="52" t="s">
        <v>5339</v>
      </c>
      <c r="E999" s="52" t="s">
        <v>5340</v>
      </c>
      <c r="F999" s="53" t="s">
        <v>5341</v>
      </c>
      <c r="G999" s="51" t="s">
        <v>4812</v>
      </c>
      <c r="H999" s="54"/>
      <c r="I999" s="55">
        <v>72</v>
      </c>
      <c r="K999" s="51" t="s">
        <v>5298</v>
      </c>
    </row>
    <row r="1000" spans="1:11">
      <c r="A1000" s="51">
        <v>970</v>
      </c>
      <c r="B1000" s="51" t="s">
        <v>5297</v>
      </c>
      <c r="C1000" s="51" t="s">
        <v>5298</v>
      </c>
      <c r="D1000" s="52" t="s">
        <v>5342</v>
      </c>
      <c r="E1000" s="52" t="s">
        <v>5343</v>
      </c>
      <c r="F1000" s="53" t="s">
        <v>5344</v>
      </c>
      <c r="G1000" s="51" t="s">
        <v>4812</v>
      </c>
      <c r="H1000" s="54"/>
      <c r="I1000" s="55">
        <v>72</v>
      </c>
      <c r="K1000" s="51" t="s">
        <v>5298</v>
      </c>
    </row>
    <row r="1001" spans="1:11">
      <c r="A1001" s="51">
        <v>971</v>
      </c>
      <c r="B1001" s="51" t="s">
        <v>5297</v>
      </c>
      <c r="C1001" s="51" t="s">
        <v>5298</v>
      </c>
      <c r="D1001" s="52" t="s">
        <v>5345</v>
      </c>
      <c r="E1001" s="52" t="s">
        <v>5346</v>
      </c>
      <c r="F1001" s="53" t="s">
        <v>5347</v>
      </c>
      <c r="G1001" s="51" t="s">
        <v>4812</v>
      </c>
      <c r="H1001" s="54"/>
      <c r="I1001" s="55">
        <v>120</v>
      </c>
      <c r="K1001" s="51" t="s">
        <v>5298</v>
      </c>
    </row>
    <row r="1002" spans="1:11">
      <c r="A1002" s="51">
        <v>972</v>
      </c>
      <c r="B1002" s="51" t="s">
        <v>5297</v>
      </c>
      <c r="C1002" s="51" t="s">
        <v>5298</v>
      </c>
      <c r="D1002" s="52" t="s">
        <v>2454</v>
      </c>
      <c r="E1002" s="52" t="s">
        <v>2453</v>
      </c>
      <c r="F1002" s="53" t="s">
        <v>118</v>
      </c>
      <c r="G1002" s="51" t="s">
        <v>4812</v>
      </c>
      <c r="H1002" s="54"/>
      <c r="I1002" s="55">
        <v>535</v>
      </c>
      <c r="K1002" s="51" t="s">
        <v>5298</v>
      </c>
    </row>
    <row r="1003" spans="1:11">
      <c r="A1003" s="51">
        <v>973</v>
      </c>
      <c r="B1003" s="51" t="s">
        <v>5297</v>
      </c>
      <c r="C1003" s="51" t="s">
        <v>5298</v>
      </c>
      <c r="D1003" s="52" t="s">
        <v>3805</v>
      </c>
      <c r="E1003" s="52" t="s">
        <v>3804</v>
      </c>
      <c r="F1003" s="53" t="s">
        <v>100</v>
      </c>
      <c r="G1003" s="51" t="s">
        <v>4812</v>
      </c>
      <c r="H1003" s="54"/>
      <c r="I1003" s="55">
        <v>361</v>
      </c>
      <c r="K1003" s="51" t="s">
        <v>5298</v>
      </c>
    </row>
    <row r="1004" spans="1:11">
      <c r="A1004" s="51">
        <v>974</v>
      </c>
      <c r="B1004" s="51" t="s">
        <v>5297</v>
      </c>
      <c r="C1004" s="51" t="s">
        <v>5298</v>
      </c>
      <c r="D1004" s="52" t="s">
        <v>2368</v>
      </c>
      <c r="E1004" s="52" t="s">
        <v>2367</v>
      </c>
      <c r="F1004" s="53" t="s">
        <v>5348</v>
      </c>
      <c r="G1004" s="51" t="s">
        <v>4812</v>
      </c>
      <c r="H1004" s="54"/>
      <c r="I1004" s="55">
        <v>21</v>
      </c>
      <c r="K1004" s="51" t="s">
        <v>5298</v>
      </c>
    </row>
    <row r="1005" spans="1:11">
      <c r="A1005" s="51">
        <v>975</v>
      </c>
      <c r="B1005" s="51" t="s">
        <v>5297</v>
      </c>
      <c r="C1005" s="51" t="s">
        <v>5298</v>
      </c>
      <c r="D1005" s="52" t="s">
        <v>2370</v>
      </c>
      <c r="E1005" s="52" t="s">
        <v>2369</v>
      </c>
      <c r="F1005" s="53" t="s">
        <v>5349</v>
      </c>
      <c r="G1005" s="51" t="s">
        <v>4812</v>
      </c>
      <c r="H1005" s="54"/>
      <c r="I1005" s="55">
        <v>208</v>
      </c>
      <c r="K1005" s="51" t="s">
        <v>5298</v>
      </c>
    </row>
    <row r="1006" spans="1:11">
      <c r="A1006" s="51">
        <v>976</v>
      </c>
      <c r="B1006" s="51" t="s">
        <v>5297</v>
      </c>
      <c r="C1006" s="51" t="s">
        <v>5298</v>
      </c>
      <c r="D1006" s="52" t="s">
        <v>2524</v>
      </c>
      <c r="E1006" s="52" t="s">
        <v>2523</v>
      </c>
      <c r="F1006" s="53" t="s">
        <v>5260</v>
      </c>
      <c r="G1006" s="51" t="s">
        <v>4812</v>
      </c>
      <c r="H1006" s="54"/>
      <c r="I1006" s="55">
        <v>787</v>
      </c>
      <c r="K1006" s="51" t="s">
        <v>5298</v>
      </c>
    </row>
    <row r="1007" spans="1:11">
      <c r="A1007" s="51">
        <v>977</v>
      </c>
      <c r="B1007" s="51" t="s">
        <v>5297</v>
      </c>
      <c r="C1007" s="51" t="s">
        <v>5298</v>
      </c>
      <c r="D1007" s="52" t="s">
        <v>2526</v>
      </c>
      <c r="E1007" s="52" t="s">
        <v>2525</v>
      </c>
      <c r="F1007" s="53" t="s">
        <v>111</v>
      </c>
      <c r="G1007" s="51" t="s">
        <v>4812</v>
      </c>
      <c r="H1007" s="54"/>
      <c r="I1007" s="55">
        <v>1204</v>
      </c>
      <c r="K1007" s="51" t="s">
        <v>5298</v>
      </c>
    </row>
    <row r="1008" spans="1:11">
      <c r="A1008" s="51">
        <v>978</v>
      </c>
      <c r="B1008" s="51" t="s">
        <v>5297</v>
      </c>
      <c r="C1008" s="51" t="s">
        <v>5298</v>
      </c>
      <c r="D1008" s="52" t="s">
        <v>1513</v>
      </c>
      <c r="E1008" s="52" t="s">
        <v>1512</v>
      </c>
      <c r="F1008" s="53" t="s">
        <v>5350</v>
      </c>
      <c r="G1008" s="51" t="s">
        <v>4812</v>
      </c>
      <c r="H1008" s="54"/>
      <c r="I1008" s="55">
        <v>122</v>
      </c>
      <c r="K1008" s="51" t="s">
        <v>5298</v>
      </c>
    </row>
    <row r="1009" spans="1:11">
      <c r="A1009" s="51">
        <v>979</v>
      </c>
      <c r="B1009" s="51" t="s">
        <v>5297</v>
      </c>
      <c r="C1009" s="51" t="s">
        <v>5298</v>
      </c>
      <c r="D1009" s="52" t="s">
        <v>1537</v>
      </c>
      <c r="E1009" s="52" t="s">
        <v>1536</v>
      </c>
      <c r="F1009" s="53" t="s">
        <v>5351</v>
      </c>
      <c r="G1009" s="51" t="s">
        <v>4812</v>
      </c>
      <c r="H1009" s="54"/>
      <c r="I1009" s="55">
        <v>56</v>
      </c>
      <c r="K1009" s="51" t="s">
        <v>5298</v>
      </c>
    </row>
    <row r="1010" spans="1:11">
      <c r="A1010" s="51">
        <v>980</v>
      </c>
      <c r="B1010" s="51" t="s">
        <v>5297</v>
      </c>
      <c r="C1010" s="51" t="s">
        <v>5298</v>
      </c>
      <c r="D1010" s="52" t="s">
        <v>3374</v>
      </c>
      <c r="E1010" s="52" t="s">
        <v>3373</v>
      </c>
      <c r="F1010" s="53" t="s">
        <v>5352</v>
      </c>
      <c r="G1010" s="51" t="s">
        <v>4812</v>
      </c>
      <c r="H1010" s="54"/>
      <c r="I1010" s="55">
        <v>55</v>
      </c>
      <c r="K1010" s="51" t="s">
        <v>5298</v>
      </c>
    </row>
    <row r="1011" spans="1:11">
      <c r="A1011" s="51">
        <v>981</v>
      </c>
      <c r="B1011" s="51" t="s">
        <v>5297</v>
      </c>
      <c r="C1011" s="51" t="s">
        <v>5298</v>
      </c>
      <c r="D1011" s="52" t="s">
        <v>3408</v>
      </c>
      <c r="E1011" s="52" t="s">
        <v>3407</v>
      </c>
      <c r="F1011" s="53" t="s">
        <v>5353</v>
      </c>
      <c r="G1011" s="51" t="s">
        <v>4812</v>
      </c>
      <c r="H1011" s="54"/>
      <c r="I1011" s="55">
        <v>26</v>
      </c>
      <c r="K1011" s="51" t="s">
        <v>5298</v>
      </c>
    </row>
    <row r="1012" spans="1:11">
      <c r="A1012" s="51">
        <v>982</v>
      </c>
      <c r="B1012" s="51" t="s">
        <v>5354</v>
      </c>
      <c r="C1012" s="51" t="s">
        <v>5355</v>
      </c>
      <c r="D1012" s="52" t="s">
        <v>5069</v>
      </c>
      <c r="E1012" s="52" t="s">
        <v>5070</v>
      </c>
      <c r="F1012" s="53" t="s">
        <v>5216</v>
      </c>
      <c r="G1012" s="51" t="s">
        <v>4812</v>
      </c>
      <c r="H1012" s="54"/>
      <c r="I1012" s="55">
        <v>0</v>
      </c>
      <c r="K1012" s="51" t="s">
        <v>5355</v>
      </c>
    </row>
    <row r="1013" spans="1:11">
      <c r="A1013" s="51">
        <v>983</v>
      </c>
      <c r="B1013" s="51" t="s">
        <v>5354</v>
      </c>
      <c r="C1013" s="51" t="s">
        <v>5355</v>
      </c>
      <c r="D1013" s="52" t="s">
        <v>1400</v>
      </c>
      <c r="E1013" s="52" t="s">
        <v>1399</v>
      </c>
      <c r="F1013" s="53" t="s">
        <v>101</v>
      </c>
      <c r="G1013" s="51" t="s">
        <v>4812</v>
      </c>
      <c r="H1013" s="54"/>
      <c r="I1013" s="55">
        <v>32</v>
      </c>
      <c r="K1013" s="51" t="s">
        <v>5355</v>
      </c>
    </row>
    <row r="1014" spans="1:11">
      <c r="A1014" s="51">
        <v>984</v>
      </c>
      <c r="B1014" s="51" t="s">
        <v>5354</v>
      </c>
      <c r="C1014" s="51" t="s">
        <v>5355</v>
      </c>
      <c r="D1014" s="52" t="s">
        <v>1402</v>
      </c>
      <c r="E1014" s="52" t="s">
        <v>1401</v>
      </c>
      <c r="F1014" s="53" t="s">
        <v>5356</v>
      </c>
      <c r="G1014" s="51" t="s">
        <v>4812</v>
      </c>
      <c r="H1014" s="54"/>
      <c r="I1014" s="55">
        <v>26</v>
      </c>
      <c r="K1014" s="51" t="s">
        <v>5355</v>
      </c>
    </row>
    <row r="1015" spans="1:11">
      <c r="A1015" s="51">
        <v>985</v>
      </c>
      <c r="B1015" s="51" t="s">
        <v>5354</v>
      </c>
      <c r="C1015" s="51" t="s">
        <v>5355</v>
      </c>
      <c r="D1015" s="52" t="s">
        <v>562</v>
      </c>
      <c r="E1015" s="52" t="s">
        <v>561</v>
      </c>
      <c r="F1015" s="53" t="s">
        <v>5357</v>
      </c>
      <c r="G1015" s="51" t="s">
        <v>4812</v>
      </c>
      <c r="H1015" s="54"/>
      <c r="I1015" s="55">
        <v>22</v>
      </c>
      <c r="K1015" s="51" t="s">
        <v>5355</v>
      </c>
    </row>
    <row r="1016" spans="1:11">
      <c r="A1016" s="51">
        <v>986</v>
      </c>
      <c r="B1016" s="51" t="s">
        <v>5354</v>
      </c>
      <c r="C1016" s="51" t="s">
        <v>5355</v>
      </c>
      <c r="D1016" s="52" t="s">
        <v>1633</v>
      </c>
      <c r="E1016" s="52" t="s">
        <v>1632</v>
      </c>
      <c r="F1016" s="53" t="s">
        <v>5358</v>
      </c>
      <c r="G1016" s="51" t="s">
        <v>4812</v>
      </c>
      <c r="H1016" s="54"/>
      <c r="I1016" s="55">
        <v>141</v>
      </c>
      <c r="K1016" s="51" t="s">
        <v>5355</v>
      </c>
    </row>
    <row r="1017" spans="1:11">
      <c r="A1017" s="51">
        <v>987</v>
      </c>
      <c r="B1017" s="51" t="s">
        <v>5359</v>
      </c>
      <c r="C1017" s="51" t="s">
        <v>5360</v>
      </c>
      <c r="D1017" s="52" t="s">
        <v>4039</v>
      </c>
      <c r="E1017" s="52" t="s">
        <v>4038</v>
      </c>
      <c r="F1017" s="53" t="s">
        <v>4819</v>
      </c>
      <c r="G1017" s="51" t="s">
        <v>4812</v>
      </c>
      <c r="H1017" s="54"/>
      <c r="I1017" s="55">
        <v>0</v>
      </c>
      <c r="K1017" s="51" t="s">
        <v>5360</v>
      </c>
    </row>
    <row r="1018" spans="1:11">
      <c r="A1018" s="51">
        <v>988</v>
      </c>
      <c r="B1018" s="51" t="s">
        <v>5359</v>
      </c>
      <c r="C1018" s="51" t="s">
        <v>5360</v>
      </c>
      <c r="D1018" s="52" t="s">
        <v>5361</v>
      </c>
      <c r="E1018" s="52" t="s">
        <v>5362</v>
      </c>
      <c r="F1018" s="53" t="s">
        <v>5363</v>
      </c>
      <c r="G1018" s="51" t="s">
        <v>4812</v>
      </c>
      <c r="H1018" s="54"/>
      <c r="I1018" s="55">
        <v>0</v>
      </c>
      <c r="K1018" s="51" t="s">
        <v>5360</v>
      </c>
    </row>
    <row r="1019" spans="1:11">
      <c r="A1019" s="51">
        <v>989</v>
      </c>
      <c r="B1019" s="51" t="s">
        <v>5359</v>
      </c>
      <c r="C1019" s="51" t="s">
        <v>5360</v>
      </c>
      <c r="D1019" s="52" t="s">
        <v>5364</v>
      </c>
      <c r="E1019" s="52" t="s">
        <v>5365</v>
      </c>
      <c r="F1019" s="53" t="s">
        <v>5366</v>
      </c>
      <c r="G1019" s="51" t="s">
        <v>4812</v>
      </c>
      <c r="H1019" s="54"/>
      <c r="I1019" s="55">
        <v>0</v>
      </c>
      <c r="K1019" s="51" t="s">
        <v>5360</v>
      </c>
    </row>
    <row r="1020" spans="1:11">
      <c r="A1020" s="51">
        <v>990</v>
      </c>
      <c r="B1020" s="51" t="s">
        <v>5359</v>
      </c>
      <c r="C1020" s="51" t="s">
        <v>5360</v>
      </c>
      <c r="D1020" s="52" t="s">
        <v>5367</v>
      </c>
      <c r="E1020" s="52" t="s">
        <v>5368</v>
      </c>
      <c r="F1020" s="53" t="s">
        <v>5366</v>
      </c>
      <c r="G1020" s="51" t="s">
        <v>4812</v>
      </c>
      <c r="H1020" s="54"/>
      <c r="I1020" s="55">
        <v>0</v>
      </c>
      <c r="K1020" s="51" t="s">
        <v>5360</v>
      </c>
    </row>
    <row r="1021" spans="1:11">
      <c r="A1021" s="51">
        <v>991</v>
      </c>
      <c r="B1021" s="51" t="s">
        <v>5359</v>
      </c>
      <c r="C1021" s="51" t="s">
        <v>5360</v>
      </c>
      <c r="D1021" s="52" t="s">
        <v>5369</v>
      </c>
      <c r="E1021" s="52" t="s">
        <v>5370</v>
      </c>
      <c r="F1021" s="53" t="s">
        <v>5363</v>
      </c>
      <c r="G1021" s="51" t="s">
        <v>4812</v>
      </c>
      <c r="H1021" s="54"/>
      <c r="I1021" s="55">
        <v>0</v>
      </c>
      <c r="K1021" s="51" t="s">
        <v>5360</v>
      </c>
    </row>
    <row r="1022" spans="1:11">
      <c r="A1022" s="51">
        <v>992</v>
      </c>
      <c r="B1022" s="51" t="s">
        <v>5359</v>
      </c>
      <c r="C1022" s="51" t="s">
        <v>5360</v>
      </c>
      <c r="D1022" s="52" t="s">
        <v>5371</v>
      </c>
      <c r="E1022" s="52" t="s">
        <v>5372</v>
      </c>
      <c r="F1022" s="53" t="s">
        <v>5373</v>
      </c>
      <c r="G1022" s="51" t="s">
        <v>4812</v>
      </c>
      <c r="H1022" s="54"/>
      <c r="I1022" s="55">
        <v>0</v>
      </c>
      <c r="K1022" s="51" t="s">
        <v>5360</v>
      </c>
    </row>
    <row r="1023" spans="1:11">
      <c r="A1023" s="51">
        <v>993</v>
      </c>
      <c r="B1023" s="51" t="s">
        <v>5359</v>
      </c>
      <c r="C1023" s="51" t="s">
        <v>5360</v>
      </c>
      <c r="D1023" s="52" t="s">
        <v>5374</v>
      </c>
      <c r="E1023" s="52" t="s">
        <v>5375</v>
      </c>
      <c r="F1023" s="53" t="s">
        <v>5376</v>
      </c>
      <c r="G1023" s="51" t="s">
        <v>4812</v>
      </c>
      <c r="H1023" s="54"/>
      <c r="I1023" s="55">
        <v>0</v>
      </c>
      <c r="K1023" s="51" t="s">
        <v>5360</v>
      </c>
    </row>
    <row r="1024" spans="1:11">
      <c r="A1024" s="51">
        <v>994</v>
      </c>
      <c r="B1024" s="51" t="s">
        <v>5359</v>
      </c>
      <c r="C1024" s="51" t="s">
        <v>5360</v>
      </c>
      <c r="D1024" s="52" t="s">
        <v>5377</v>
      </c>
      <c r="E1024" s="52" t="s">
        <v>5378</v>
      </c>
      <c r="F1024" s="53" t="s">
        <v>5379</v>
      </c>
      <c r="G1024" s="51" t="s">
        <v>4812</v>
      </c>
      <c r="H1024" s="54"/>
      <c r="I1024" s="55">
        <v>0</v>
      </c>
      <c r="K1024" s="51" t="s">
        <v>5360</v>
      </c>
    </row>
    <row r="1025" spans="1:11">
      <c r="A1025" s="51">
        <v>995</v>
      </c>
      <c r="B1025" s="51" t="s">
        <v>5359</v>
      </c>
      <c r="C1025" s="51" t="s">
        <v>5360</v>
      </c>
      <c r="D1025" s="52" t="s">
        <v>5380</v>
      </c>
      <c r="E1025" s="52" t="s">
        <v>5381</v>
      </c>
      <c r="F1025" s="53" t="s">
        <v>5382</v>
      </c>
      <c r="G1025" s="51" t="s">
        <v>4812</v>
      </c>
      <c r="H1025" s="54"/>
      <c r="I1025" s="55">
        <v>0</v>
      </c>
      <c r="K1025" s="51" t="s">
        <v>5360</v>
      </c>
    </row>
    <row r="1026" spans="1:11">
      <c r="A1026" s="51">
        <v>996</v>
      </c>
      <c r="B1026" s="51" t="s">
        <v>5359</v>
      </c>
      <c r="C1026" s="51" t="s">
        <v>5360</v>
      </c>
      <c r="D1026" s="52" t="s">
        <v>2767</v>
      </c>
      <c r="E1026" s="52" t="s">
        <v>2766</v>
      </c>
      <c r="F1026" s="53" t="s">
        <v>4821</v>
      </c>
      <c r="G1026" s="51" t="s">
        <v>4812</v>
      </c>
      <c r="H1026" s="54"/>
      <c r="I1026" s="55">
        <v>11</v>
      </c>
      <c r="K1026" s="51" t="s">
        <v>5360</v>
      </c>
    </row>
    <row r="1027" spans="1:11">
      <c r="A1027" s="51">
        <v>997</v>
      </c>
      <c r="B1027" s="51" t="s">
        <v>5359</v>
      </c>
      <c r="C1027" s="51" t="s">
        <v>5360</v>
      </c>
      <c r="D1027" s="52" t="s">
        <v>2711</v>
      </c>
      <c r="E1027" s="52" t="s">
        <v>2710</v>
      </c>
      <c r="F1027" s="53" t="s">
        <v>4823</v>
      </c>
      <c r="G1027" s="51" t="s">
        <v>4812</v>
      </c>
      <c r="H1027" s="54"/>
      <c r="I1027" s="55">
        <v>46</v>
      </c>
      <c r="K1027" s="51" t="s">
        <v>5360</v>
      </c>
    </row>
    <row r="1028" spans="1:11">
      <c r="A1028" s="51">
        <v>998</v>
      </c>
      <c r="B1028" s="51" t="s">
        <v>5359</v>
      </c>
      <c r="C1028" s="51" t="s">
        <v>5360</v>
      </c>
      <c r="D1028" s="52" t="s">
        <v>2769</v>
      </c>
      <c r="E1028" s="52" t="s">
        <v>5383</v>
      </c>
      <c r="F1028" s="53" t="s">
        <v>5384</v>
      </c>
      <c r="G1028" s="51" t="s">
        <v>4812</v>
      </c>
      <c r="H1028" s="54"/>
      <c r="I1028" s="55">
        <v>10</v>
      </c>
      <c r="K1028" s="51" t="s">
        <v>5360</v>
      </c>
    </row>
    <row r="1029" spans="1:11">
      <c r="A1029" s="51">
        <v>999</v>
      </c>
      <c r="B1029" s="51" t="s">
        <v>5359</v>
      </c>
      <c r="C1029" s="51" t="s">
        <v>5360</v>
      </c>
      <c r="D1029" s="52" t="s">
        <v>2713</v>
      </c>
      <c r="E1029" s="52" t="s">
        <v>5385</v>
      </c>
      <c r="F1029" s="53" t="s">
        <v>4823</v>
      </c>
      <c r="G1029" s="51" t="s">
        <v>4812</v>
      </c>
      <c r="H1029" s="54"/>
      <c r="I1029" s="55">
        <v>6</v>
      </c>
      <c r="K1029" s="51" t="s">
        <v>5360</v>
      </c>
    </row>
    <row r="1030" spans="1:11">
      <c r="A1030" s="51">
        <v>1000</v>
      </c>
      <c r="B1030" s="51" t="s">
        <v>5359</v>
      </c>
      <c r="C1030" s="51" t="s">
        <v>5360</v>
      </c>
      <c r="D1030" s="52" t="s">
        <v>3803</v>
      </c>
      <c r="E1030" s="52" t="s">
        <v>3802</v>
      </c>
      <c r="F1030" s="53" t="s">
        <v>100</v>
      </c>
      <c r="G1030" s="51" t="s">
        <v>4812</v>
      </c>
      <c r="H1030" s="54"/>
      <c r="I1030" s="55">
        <v>90</v>
      </c>
      <c r="K1030" s="51" t="s">
        <v>5360</v>
      </c>
    </row>
    <row r="1031" spans="1:11">
      <c r="A1031" s="51">
        <v>1001</v>
      </c>
      <c r="B1031" s="51" t="s">
        <v>5359</v>
      </c>
      <c r="C1031" s="51" t="s">
        <v>5360</v>
      </c>
      <c r="D1031" s="52" t="s">
        <v>246</v>
      </c>
      <c r="E1031" s="52" t="s">
        <v>5386</v>
      </c>
      <c r="F1031" s="53" t="s">
        <v>5387</v>
      </c>
      <c r="G1031" s="51" t="s">
        <v>4812</v>
      </c>
      <c r="H1031" s="54"/>
      <c r="I1031" s="55">
        <v>102</v>
      </c>
      <c r="K1031" s="51" t="s">
        <v>5360</v>
      </c>
    </row>
    <row r="1032" spans="1:11">
      <c r="A1032" s="51">
        <v>1002</v>
      </c>
      <c r="B1032" s="51" t="s">
        <v>5359</v>
      </c>
      <c r="C1032" s="51" t="s">
        <v>5360</v>
      </c>
      <c r="D1032" s="52" t="s">
        <v>3632</v>
      </c>
      <c r="E1032" s="52" t="s">
        <v>3631</v>
      </c>
      <c r="F1032" s="53" t="s">
        <v>5388</v>
      </c>
      <c r="G1032" s="51" t="s">
        <v>4812</v>
      </c>
      <c r="H1032" s="54"/>
      <c r="I1032" s="55">
        <v>285</v>
      </c>
      <c r="K1032" s="51" t="s">
        <v>5360</v>
      </c>
    </row>
    <row r="1033" spans="1:11">
      <c r="A1033" s="51">
        <v>1003</v>
      </c>
      <c r="B1033" s="51" t="s">
        <v>5359</v>
      </c>
      <c r="C1033" s="51" t="s">
        <v>5360</v>
      </c>
      <c r="D1033" s="52" t="s">
        <v>279</v>
      </c>
      <c r="E1033" s="52" t="s">
        <v>278</v>
      </c>
      <c r="F1033" s="53" t="s">
        <v>5389</v>
      </c>
      <c r="G1033" s="51" t="s">
        <v>4812</v>
      </c>
      <c r="H1033" s="54"/>
      <c r="I1033" s="55">
        <v>0</v>
      </c>
      <c r="K1033" s="51" t="s">
        <v>5360</v>
      </c>
    </row>
    <row r="1034" spans="1:11">
      <c r="A1034" s="51">
        <v>1004</v>
      </c>
      <c r="B1034" s="51" t="s">
        <v>5359</v>
      </c>
      <c r="C1034" s="51" t="s">
        <v>5360</v>
      </c>
      <c r="D1034" s="52" t="s">
        <v>281</v>
      </c>
      <c r="E1034" s="52" t="s">
        <v>280</v>
      </c>
      <c r="F1034" s="53" t="s">
        <v>5390</v>
      </c>
      <c r="G1034" s="51" t="s">
        <v>4812</v>
      </c>
      <c r="H1034" s="54"/>
      <c r="I1034" s="55">
        <v>36</v>
      </c>
      <c r="K1034" s="51" t="s">
        <v>5360</v>
      </c>
    </row>
    <row r="1035" spans="1:11">
      <c r="A1035" s="51">
        <v>1005</v>
      </c>
      <c r="B1035" s="51" t="s">
        <v>5359</v>
      </c>
      <c r="C1035" s="51" t="s">
        <v>5360</v>
      </c>
      <c r="D1035" s="52" t="s">
        <v>3396</v>
      </c>
      <c r="E1035" s="52" t="s">
        <v>5391</v>
      </c>
      <c r="F1035" s="53" t="s">
        <v>5392</v>
      </c>
      <c r="G1035" s="51" t="s">
        <v>4812</v>
      </c>
      <c r="H1035" s="54"/>
      <c r="I1035" s="55">
        <v>7</v>
      </c>
      <c r="K1035" s="51" t="s">
        <v>5360</v>
      </c>
    </row>
    <row r="1036" spans="1:11">
      <c r="A1036" s="51">
        <v>1006</v>
      </c>
      <c r="B1036" s="51" t="s">
        <v>5359</v>
      </c>
      <c r="C1036" s="51" t="s">
        <v>5360</v>
      </c>
      <c r="D1036" s="52" t="s">
        <v>1475</v>
      </c>
      <c r="E1036" s="52" t="s">
        <v>1474</v>
      </c>
      <c r="F1036" s="53" t="s">
        <v>5393</v>
      </c>
      <c r="G1036" s="51" t="s">
        <v>4812</v>
      </c>
      <c r="H1036" s="54"/>
      <c r="I1036" s="55">
        <v>17</v>
      </c>
      <c r="K1036" s="51" t="s">
        <v>5360</v>
      </c>
    </row>
    <row r="1037" spans="1:11">
      <c r="A1037" s="51">
        <v>1007</v>
      </c>
      <c r="B1037" s="51" t="s">
        <v>5359</v>
      </c>
      <c r="C1037" s="51" t="s">
        <v>5360</v>
      </c>
      <c r="D1037" s="52" t="s">
        <v>3748</v>
      </c>
      <c r="E1037" s="52" t="s">
        <v>3747</v>
      </c>
      <c r="F1037" s="53" t="s">
        <v>4829</v>
      </c>
      <c r="G1037" s="51" t="s">
        <v>4812</v>
      </c>
      <c r="H1037" s="54"/>
      <c r="I1037" s="55">
        <v>80</v>
      </c>
      <c r="K1037" s="51" t="s">
        <v>5360</v>
      </c>
    </row>
    <row r="1038" spans="1:11">
      <c r="A1038" s="51">
        <v>1008</v>
      </c>
      <c r="B1038" s="51" t="s">
        <v>5359</v>
      </c>
      <c r="C1038" s="51" t="s">
        <v>5360</v>
      </c>
      <c r="D1038" s="52" t="s">
        <v>3200</v>
      </c>
      <c r="E1038" s="52" t="s">
        <v>3199</v>
      </c>
      <c r="F1038" s="53" t="s">
        <v>5394</v>
      </c>
      <c r="G1038" s="51" t="s">
        <v>4812</v>
      </c>
      <c r="H1038" s="54"/>
      <c r="I1038" s="55">
        <v>9</v>
      </c>
      <c r="K1038" s="51" t="s">
        <v>5360</v>
      </c>
    </row>
    <row r="1039" spans="1:11">
      <c r="A1039" s="51">
        <v>1009</v>
      </c>
      <c r="B1039" s="51" t="s">
        <v>5395</v>
      </c>
      <c r="C1039" s="51" t="s">
        <v>5396</v>
      </c>
      <c r="D1039" s="52" t="s">
        <v>2376</v>
      </c>
      <c r="E1039" s="52" t="s">
        <v>2375</v>
      </c>
      <c r="F1039" s="53" t="s">
        <v>5397</v>
      </c>
      <c r="G1039" s="51" t="s">
        <v>4812</v>
      </c>
      <c r="H1039" s="54"/>
      <c r="I1039" s="55">
        <v>0</v>
      </c>
      <c r="K1039" s="51" t="s">
        <v>5396</v>
      </c>
    </row>
    <row r="1040" spans="1:11">
      <c r="A1040" s="51">
        <v>1010</v>
      </c>
      <c r="B1040" s="51" t="s">
        <v>5395</v>
      </c>
      <c r="C1040" s="51" t="s">
        <v>5396</v>
      </c>
      <c r="D1040" s="52" t="s">
        <v>2308</v>
      </c>
      <c r="E1040" s="52" t="s">
        <v>2307</v>
      </c>
      <c r="F1040" s="53" t="s">
        <v>5398</v>
      </c>
      <c r="G1040" s="51" t="s">
        <v>4812</v>
      </c>
      <c r="H1040" s="54"/>
      <c r="I1040" s="55">
        <v>0</v>
      </c>
      <c r="K1040" s="51" t="s">
        <v>5396</v>
      </c>
    </row>
    <row r="1041" spans="1:11">
      <c r="A1041" s="51">
        <v>1011</v>
      </c>
      <c r="B1041" s="51" t="s">
        <v>5395</v>
      </c>
      <c r="C1041" s="51" t="s">
        <v>5396</v>
      </c>
      <c r="D1041" s="52" t="s">
        <v>3705</v>
      </c>
      <c r="E1041" s="52" t="s">
        <v>3704</v>
      </c>
      <c r="F1041" s="53" t="s">
        <v>5399</v>
      </c>
      <c r="G1041" s="51" t="s">
        <v>4812</v>
      </c>
      <c r="H1041" s="54"/>
      <c r="I1041" s="55">
        <v>43</v>
      </c>
      <c r="K1041" s="51" t="s">
        <v>5396</v>
      </c>
    </row>
    <row r="1042" spans="1:11">
      <c r="A1042" s="51">
        <v>1012</v>
      </c>
      <c r="B1042" s="51" t="s">
        <v>5395</v>
      </c>
      <c r="C1042" s="51" t="s">
        <v>5396</v>
      </c>
      <c r="D1042" s="52" t="s">
        <v>3712</v>
      </c>
      <c r="E1042" s="52" t="s">
        <v>3711</v>
      </c>
      <c r="F1042" s="53" t="s">
        <v>5400</v>
      </c>
      <c r="G1042" s="51" t="s">
        <v>4812</v>
      </c>
      <c r="H1042" s="54"/>
      <c r="I1042" s="55">
        <v>83</v>
      </c>
      <c r="K1042" s="51" t="s">
        <v>5396</v>
      </c>
    </row>
    <row r="1043" spans="1:11">
      <c r="A1043" s="51">
        <v>1013</v>
      </c>
      <c r="B1043" s="51" t="s">
        <v>5395</v>
      </c>
      <c r="C1043" s="51" t="s">
        <v>5396</v>
      </c>
      <c r="D1043" s="52" t="s">
        <v>5401</v>
      </c>
      <c r="E1043" s="52" t="s">
        <v>5402</v>
      </c>
      <c r="F1043" s="53" t="s">
        <v>5403</v>
      </c>
      <c r="G1043" s="51" t="s">
        <v>4812</v>
      </c>
      <c r="H1043" s="54"/>
      <c r="I1043" s="55">
        <v>0</v>
      </c>
      <c r="K1043" s="51" t="s">
        <v>5396</v>
      </c>
    </row>
    <row r="1044" spans="1:11">
      <c r="A1044" s="51">
        <v>1014</v>
      </c>
      <c r="B1044" s="51" t="s">
        <v>5395</v>
      </c>
      <c r="C1044" s="51" t="s">
        <v>5396</v>
      </c>
      <c r="D1044" s="52" t="s">
        <v>5404</v>
      </c>
      <c r="E1044" s="52" t="s">
        <v>5405</v>
      </c>
      <c r="F1044" s="53" t="s">
        <v>5406</v>
      </c>
      <c r="G1044" s="51" t="s">
        <v>4812</v>
      </c>
      <c r="H1044" s="54"/>
      <c r="I1044" s="55">
        <v>0</v>
      </c>
      <c r="K1044" s="51" t="s">
        <v>5396</v>
      </c>
    </row>
    <row r="1045" spans="1:11">
      <c r="A1045" s="51">
        <v>1015</v>
      </c>
      <c r="B1045" s="51" t="s">
        <v>5395</v>
      </c>
      <c r="C1045" s="51" t="s">
        <v>5396</v>
      </c>
      <c r="D1045" s="52" t="s">
        <v>3676</v>
      </c>
      <c r="E1045" s="52" t="s">
        <v>3675</v>
      </c>
      <c r="F1045" s="53" t="s">
        <v>5407</v>
      </c>
      <c r="G1045" s="51" t="s">
        <v>4812</v>
      </c>
      <c r="H1045" s="54"/>
      <c r="I1045" s="55">
        <v>126</v>
      </c>
      <c r="K1045" s="51" t="s">
        <v>5396</v>
      </c>
    </row>
    <row r="1046" spans="1:11">
      <c r="A1046" s="51">
        <v>1016</v>
      </c>
      <c r="B1046" s="51" t="s">
        <v>5395</v>
      </c>
      <c r="C1046" s="51" t="s">
        <v>5396</v>
      </c>
      <c r="D1046" s="52" t="s">
        <v>3685</v>
      </c>
      <c r="E1046" s="52" t="s">
        <v>3684</v>
      </c>
      <c r="F1046" s="53" t="s">
        <v>5408</v>
      </c>
      <c r="G1046" s="51" t="s">
        <v>4812</v>
      </c>
      <c r="H1046" s="54"/>
      <c r="I1046" s="55">
        <v>112</v>
      </c>
      <c r="K1046" s="51" t="s">
        <v>5396</v>
      </c>
    </row>
    <row r="1047" spans="1:11">
      <c r="A1047" s="51">
        <v>1017</v>
      </c>
      <c r="B1047" s="51" t="s">
        <v>5395</v>
      </c>
      <c r="C1047" s="51" t="s">
        <v>5396</v>
      </c>
      <c r="D1047" s="52" t="s">
        <v>3679</v>
      </c>
      <c r="E1047" s="52" t="s">
        <v>3678</v>
      </c>
      <c r="F1047" s="53" t="s">
        <v>5407</v>
      </c>
      <c r="G1047" s="51" t="s">
        <v>4812</v>
      </c>
      <c r="H1047" s="54"/>
      <c r="I1047" s="55">
        <v>158</v>
      </c>
      <c r="K1047" s="51" t="s">
        <v>5396</v>
      </c>
    </row>
    <row r="1048" spans="1:11">
      <c r="A1048" s="51">
        <v>1018</v>
      </c>
      <c r="B1048" s="51" t="s">
        <v>5395</v>
      </c>
      <c r="C1048" s="51" t="s">
        <v>5396</v>
      </c>
      <c r="D1048" s="52" t="s">
        <v>3687</v>
      </c>
      <c r="E1048" s="52" t="s">
        <v>3686</v>
      </c>
      <c r="F1048" s="53" t="s">
        <v>5408</v>
      </c>
      <c r="G1048" s="51" t="s">
        <v>4812</v>
      </c>
      <c r="H1048" s="54"/>
      <c r="I1048" s="55">
        <v>117</v>
      </c>
      <c r="K1048" s="51" t="s">
        <v>5396</v>
      </c>
    </row>
    <row r="1049" spans="1:11">
      <c r="A1049" s="51">
        <v>1019</v>
      </c>
      <c r="B1049" s="51" t="s">
        <v>5395</v>
      </c>
      <c r="C1049" s="51" t="s">
        <v>5396</v>
      </c>
      <c r="D1049" s="52" t="s">
        <v>3681</v>
      </c>
      <c r="E1049" s="52" t="s">
        <v>3680</v>
      </c>
      <c r="F1049" s="53" t="s">
        <v>5407</v>
      </c>
      <c r="G1049" s="51" t="s">
        <v>4812</v>
      </c>
      <c r="H1049" s="54"/>
      <c r="I1049" s="55">
        <v>135</v>
      </c>
      <c r="K1049" s="51" t="s">
        <v>5396</v>
      </c>
    </row>
    <row r="1050" spans="1:11">
      <c r="A1050" s="51">
        <v>1020</v>
      </c>
      <c r="B1050" s="51" t="s">
        <v>5395</v>
      </c>
      <c r="C1050" s="51" t="s">
        <v>5396</v>
      </c>
      <c r="D1050" s="52" t="s">
        <v>3689</v>
      </c>
      <c r="E1050" s="52" t="s">
        <v>3688</v>
      </c>
      <c r="F1050" s="53" t="s">
        <v>5408</v>
      </c>
      <c r="G1050" s="51" t="s">
        <v>4812</v>
      </c>
      <c r="H1050" s="54"/>
      <c r="I1050" s="55">
        <v>105</v>
      </c>
      <c r="K1050" s="51" t="s">
        <v>5396</v>
      </c>
    </row>
    <row r="1051" spans="1:11">
      <c r="A1051" s="51">
        <v>1021</v>
      </c>
      <c r="B1051" s="51" t="s">
        <v>5395</v>
      </c>
      <c r="C1051" s="51" t="s">
        <v>5396</v>
      </c>
      <c r="D1051" s="52" t="s">
        <v>3683</v>
      </c>
      <c r="E1051" s="52" t="s">
        <v>3682</v>
      </c>
      <c r="F1051" s="53" t="s">
        <v>5407</v>
      </c>
      <c r="G1051" s="51" t="s">
        <v>4812</v>
      </c>
      <c r="H1051" s="54"/>
      <c r="I1051" s="55">
        <v>42</v>
      </c>
      <c r="K1051" s="51" t="s">
        <v>5396</v>
      </c>
    </row>
    <row r="1052" spans="1:11">
      <c r="A1052" s="51">
        <v>1022</v>
      </c>
      <c r="B1052" s="51" t="s">
        <v>5395</v>
      </c>
      <c r="C1052" s="51" t="s">
        <v>5396</v>
      </c>
      <c r="D1052" s="52" t="s">
        <v>3691</v>
      </c>
      <c r="E1052" s="52" t="s">
        <v>3690</v>
      </c>
      <c r="F1052" s="53" t="s">
        <v>5408</v>
      </c>
      <c r="G1052" s="51" t="s">
        <v>4812</v>
      </c>
      <c r="H1052" s="54"/>
      <c r="I1052" s="55">
        <v>90</v>
      </c>
      <c r="K1052" s="51" t="s">
        <v>5396</v>
      </c>
    </row>
    <row r="1053" spans="1:11">
      <c r="A1053" s="51">
        <v>1023</v>
      </c>
      <c r="B1053" s="51" t="s">
        <v>5395</v>
      </c>
      <c r="C1053" s="51" t="s">
        <v>5396</v>
      </c>
      <c r="D1053" s="52" t="s">
        <v>3724</v>
      </c>
      <c r="E1053" s="52" t="s">
        <v>3723</v>
      </c>
      <c r="F1053" s="53" t="s">
        <v>5409</v>
      </c>
      <c r="G1053" s="51" t="s">
        <v>4812</v>
      </c>
      <c r="H1053" s="54"/>
      <c r="I1053" s="55">
        <v>121</v>
      </c>
      <c r="K1053" s="51" t="s">
        <v>5396</v>
      </c>
    </row>
    <row r="1054" spans="1:11">
      <c r="A1054" s="51">
        <v>1024</v>
      </c>
      <c r="B1054" s="51" t="s">
        <v>5395</v>
      </c>
      <c r="C1054" s="51" t="s">
        <v>5396</v>
      </c>
      <c r="D1054" s="52" t="s">
        <v>4003</v>
      </c>
      <c r="E1054" s="52" t="s">
        <v>4002</v>
      </c>
      <c r="F1054" s="53" t="s">
        <v>4979</v>
      </c>
      <c r="G1054" s="51" t="s">
        <v>4812</v>
      </c>
      <c r="H1054" s="54"/>
      <c r="I1054" s="55">
        <v>785</v>
      </c>
      <c r="K1054" s="51" t="s">
        <v>5396</v>
      </c>
    </row>
    <row r="1055" spans="1:11">
      <c r="A1055" s="51">
        <v>1025</v>
      </c>
      <c r="B1055" s="51" t="s">
        <v>5395</v>
      </c>
      <c r="C1055" s="51" t="s">
        <v>5396</v>
      </c>
      <c r="D1055" s="52" t="s">
        <v>3738</v>
      </c>
      <c r="E1055" s="52" t="s">
        <v>3737</v>
      </c>
      <c r="F1055" s="53" t="s">
        <v>5410</v>
      </c>
      <c r="G1055" s="51" t="s">
        <v>4812</v>
      </c>
      <c r="H1055" s="54"/>
      <c r="I1055" s="55">
        <v>185</v>
      </c>
      <c r="K1055" s="51" t="s">
        <v>5396</v>
      </c>
    </row>
    <row r="1056" spans="1:11">
      <c r="A1056" s="51">
        <v>1026</v>
      </c>
      <c r="B1056" s="51" t="s">
        <v>5395</v>
      </c>
      <c r="C1056" s="51" t="s">
        <v>5396</v>
      </c>
      <c r="D1056" s="52" t="s">
        <v>3740</v>
      </c>
      <c r="E1056" s="52" t="s">
        <v>3739</v>
      </c>
      <c r="F1056" s="53" t="s">
        <v>5410</v>
      </c>
      <c r="G1056" s="51" t="s">
        <v>4812</v>
      </c>
      <c r="H1056" s="54"/>
      <c r="I1056" s="55">
        <v>188</v>
      </c>
      <c r="K1056" s="51" t="s">
        <v>5396</v>
      </c>
    </row>
    <row r="1057" spans="1:11">
      <c r="A1057" s="51">
        <v>1027</v>
      </c>
      <c r="B1057" s="51" t="s">
        <v>5395</v>
      </c>
      <c r="C1057" s="51" t="s">
        <v>5396</v>
      </c>
      <c r="D1057" s="52" t="s">
        <v>3742</v>
      </c>
      <c r="E1057" s="52" t="s">
        <v>3741</v>
      </c>
      <c r="F1057" s="53" t="s">
        <v>5410</v>
      </c>
      <c r="G1057" s="51" t="s">
        <v>4812</v>
      </c>
      <c r="H1057" s="54"/>
      <c r="I1057" s="55">
        <v>446</v>
      </c>
      <c r="K1057" s="51" t="s">
        <v>5396</v>
      </c>
    </row>
    <row r="1058" spans="1:11">
      <c r="A1058" s="51">
        <v>1028</v>
      </c>
      <c r="B1058" s="51" t="s">
        <v>5395</v>
      </c>
      <c r="C1058" s="51" t="s">
        <v>5396</v>
      </c>
      <c r="D1058" s="52" t="s">
        <v>3744</v>
      </c>
      <c r="E1058" s="52" t="s">
        <v>3743</v>
      </c>
      <c r="F1058" s="53" t="s">
        <v>5410</v>
      </c>
      <c r="G1058" s="51" t="s">
        <v>4812</v>
      </c>
      <c r="H1058" s="54"/>
      <c r="I1058" s="55">
        <v>371</v>
      </c>
      <c r="K1058" s="51" t="s">
        <v>5396</v>
      </c>
    </row>
    <row r="1059" spans="1:11">
      <c r="A1059" s="51">
        <v>1029</v>
      </c>
      <c r="B1059" s="51" t="s">
        <v>5395</v>
      </c>
      <c r="C1059" s="51" t="s">
        <v>5396</v>
      </c>
      <c r="D1059" s="52" t="s">
        <v>3662</v>
      </c>
      <c r="E1059" s="52" t="s">
        <v>3661</v>
      </c>
      <c r="F1059" s="53" t="s">
        <v>5411</v>
      </c>
      <c r="G1059" s="51" t="s">
        <v>4812</v>
      </c>
      <c r="H1059" s="54"/>
      <c r="I1059" s="55">
        <v>270</v>
      </c>
      <c r="K1059" s="51" t="s">
        <v>5396</v>
      </c>
    </row>
    <row r="1060" spans="1:11">
      <c r="A1060" s="51">
        <v>1030</v>
      </c>
      <c r="B1060" s="51" t="s">
        <v>5395</v>
      </c>
      <c r="C1060" s="51" t="s">
        <v>5396</v>
      </c>
      <c r="D1060" s="52" t="s">
        <v>3668</v>
      </c>
      <c r="E1060" s="52" t="s">
        <v>3667</v>
      </c>
      <c r="F1060" s="53" t="s">
        <v>5412</v>
      </c>
      <c r="G1060" s="51" t="s">
        <v>4812</v>
      </c>
      <c r="H1060" s="54"/>
      <c r="I1060" s="55">
        <v>105</v>
      </c>
      <c r="K1060" s="51" t="s">
        <v>5396</v>
      </c>
    </row>
    <row r="1061" spans="1:11">
      <c r="A1061" s="51">
        <v>1031</v>
      </c>
      <c r="B1061" s="51" t="s">
        <v>5395</v>
      </c>
      <c r="C1061" s="51" t="s">
        <v>5396</v>
      </c>
      <c r="D1061" s="52" t="s">
        <v>2456</v>
      </c>
      <c r="E1061" s="52" t="s">
        <v>2455</v>
      </c>
      <c r="F1061" s="53" t="s">
        <v>5295</v>
      </c>
      <c r="G1061" s="51" t="s">
        <v>4812</v>
      </c>
      <c r="H1061" s="54"/>
      <c r="I1061" s="55">
        <v>0</v>
      </c>
      <c r="K1061" s="51" t="s">
        <v>5396</v>
      </c>
    </row>
    <row r="1062" spans="1:11">
      <c r="A1062" s="51">
        <v>1032</v>
      </c>
      <c r="B1062" s="51" t="s">
        <v>5395</v>
      </c>
      <c r="C1062" s="51" t="s">
        <v>5396</v>
      </c>
      <c r="D1062" s="52" t="s">
        <v>3664</v>
      </c>
      <c r="E1062" s="52" t="s">
        <v>3663</v>
      </c>
      <c r="F1062" s="53" t="s">
        <v>5411</v>
      </c>
      <c r="G1062" s="51" t="s">
        <v>4812</v>
      </c>
      <c r="H1062" s="54"/>
      <c r="I1062" s="55">
        <v>61</v>
      </c>
      <c r="K1062" s="51" t="s">
        <v>5396</v>
      </c>
    </row>
    <row r="1063" spans="1:11">
      <c r="A1063" s="51">
        <v>1033</v>
      </c>
      <c r="B1063" s="51" t="s">
        <v>5395</v>
      </c>
      <c r="C1063" s="51" t="s">
        <v>5396</v>
      </c>
      <c r="D1063" s="52" t="s">
        <v>3670</v>
      </c>
      <c r="E1063" s="52" t="s">
        <v>3669</v>
      </c>
      <c r="F1063" s="53" t="s">
        <v>5412</v>
      </c>
      <c r="G1063" s="51" t="s">
        <v>4812</v>
      </c>
      <c r="H1063" s="54"/>
      <c r="I1063" s="55">
        <v>66</v>
      </c>
      <c r="K1063" s="51" t="s">
        <v>5396</v>
      </c>
    </row>
    <row r="1064" spans="1:11">
      <c r="A1064" s="51">
        <v>1034</v>
      </c>
      <c r="B1064" s="51" t="s">
        <v>5395</v>
      </c>
      <c r="C1064" s="51" t="s">
        <v>5396</v>
      </c>
      <c r="D1064" s="52" t="s">
        <v>3658</v>
      </c>
      <c r="E1064" s="52" t="s">
        <v>3657</v>
      </c>
      <c r="F1064" s="53" t="s">
        <v>5413</v>
      </c>
      <c r="G1064" s="51" t="s">
        <v>4812</v>
      </c>
      <c r="H1064" s="54"/>
      <c r="I1064" s="55">
        <v>80</v>
      </c>
      <c r="K1064" s="51" t="s">
        <v>5396</v>
      </c>
    </row>
    <row r="1065" spans="1:11">
      <c r="A1065" s="51">
        <v>1035</v>
      </c>
      <c r="B1065" s="51" t="s">
        <v>5395</v>
      </c>
      <c r="C1065" s="51" t="s">
        <v>5396</v>
      </c>
      <c r="D1065" s="52" t="s">
        <v>3695</v>
      </c>
      <c r="E1065" s="52" t="s">
        <v>3694</v>
      </c>
      <c r="F1065" s="53" t="s">
        <v>5414</v>
      </c>
      <c r="G1065" s="51" t="s">
        <v>4812</v>
      </c>
      <c r="H1065" s="54"/>
      <c r="I1065" s="55">
        <v>20</v>
      </c>
      <c r="K1065" s="51" t="s">
        <v>5396</v>
      </c>
    </row>
    <row r="1066" spans="1:11">
      <c r="A1066" s="51">
        <v>1036</v>
      </c>
      <c r="B1066" s="51" t="s">
        <v>5395</v>
      </c>
      <c r="C1066" s="51" t="s">
        <v>5396</v>
      </c>
      <c r="D1066" s="52" t="s">
        <v>3699</v>
      </c>
      <c r="E1066" s="52" t="s">
        <v>3698</v>
      </c>
      <c r="F1066" s="53" t="s">
        <v>5415</v>
      </c>
      <c r="G1066" s="51" t="s">
        <v>4812</v>
      </c>
      <c r="H1066" s="54"/>
      <c r="I1066" s="55">
        <v>18</v>
      </c>
      <c r="K1066" s="51" t="s">
        <v>5396</v>
      </c>
    </row>
    <row r="1067" spans="1:11">
      <c r="A1067" s="51">
        <v>1037</v>
      </c>
      <c r="B1067" s="51" t="s">
        <v>5395</v>
      </c>
      <c r="C1067" s="51" t="s">
        <v>5396</v>
      </c>
      <c r="D1067" s="52" t="s">
        <v>3701</v>
      </c>
      <c r="E1067" s="52" t="s">
        <v>3700</v>
      </c>
      <c r="F1067" s="53" t="s">
        <v>5416</v>
      </c>
      <c r="G1067" s="51" t="s">
        <v>4812</v>
      </c>
      <c r="H1067" s="54"/>
      <c r="I1067" s="55">
        <v>34</v>
      </c>
      <c r="K1067" s="51" t="s">
        <v>5396</v>
      </c>
    </row>
    <row r="1068" spans="1:11">
      <c r="A1068" s="51">
        <v>1038</v>
      </c>
      <c r="B1068" s="51" t="s">
        <v>5395</v>
      </c>
      <c r="C1068" s="51" t="s">
        <v>5396</v>
      </c>
      <c r="D1068" s="52" t="s">
        <v>3707</v>
      </c>
      <c r="E1068" s="52" t="s">
        <v>3706</v>
      </c>
      <c r="F1068" s="53" t="s">
        <v>5399</v>
      </c>
      <c r="G1068" s="51" t="s">
        <v>4812</v>
      </c>
      <c r="H1068" s="54"/>
      <c r="I1068" s="55">
        <v>28</v>
      </c>
      <c r="K1068" s="51" t="s">
        <v>5396</v>
      </c>
    </row>
    <row r="1069" spans="1:11">
      <c r="A1069" s="51">
        <v>1039</v>
      </c>
      <c r="B1069" s="51" t="s">
        <v>5395</v>
      </c>
      <c r="C1069" s="51" t="s">
        <v>5396</v>
      </c>
      <c r="D1069" s="52" t="s">
        <v>3714</v>
      </c>
      <c r="E1069" s="52" t="s">
        <v>3713</v>
      </c>
      <c r="F1069" s="53" t="s">
        <v>5400</v>
      </c>
      <c r="G1069" s="51" t="s">
        <v>4812</v>
      </c>
      <c r="H1069" s="54"/>
      <c r="I1069" s="55">
        <v>35</v>
      </c>
      <c r="K1069" s="51" t="s">
        <v>5396</v>
      </c>
    </row>
    <row r="1070" spans="1:11">
      <c r="A1070" s="51">
        <v>1040</v>
      </c>
      <c r="B1070" s="51" t="s">
        <v>5395</v>
      </c>
      <c r="C1070" s="51" t="s">
        <v>5396</v>
      </c>
      <c r="D1070" s="52" t="s">
        <v>3709</v>
      </c>
      <c r="E1070" s="52" t="s">
        <v>3708</v>
      </c>
      <c r="F1070" s="53" t="s">
        <v>5399</v>
      </c>
      <c r="G1070" s="51" t="s">
        <v>4812</v>
      </c>
      <c r="H1070" s="54"/>
      <c r="I1070" s="55">
        <v>19</v>
      </c>
      <c r="K1070" s="51" t="s">
        <v>5396</v>
      </c>
    </row>
    <row r="1071" spans="1:11">
      <c r="A1071" s="51">
        <v>1041</v>
      </c>
      <c r="B1071" s="51" t="s">
        <v>5395</v>
      </c>
      <c r="C1071" s="51" t="s">
        <v>5396</v>
      </c>
      <c r="D1071" s="52" t="s">
        <v>3716</v>
      </c>
      <c r="E1071" s="52" t="s">
        <v>3715</v>
      </c>
      <c r="F1071" s="53" t="s">
        <v>5400</v>
      </c>
      <c r="G1071" s="51" t="s">
        <v>4812</v>
      </c>
      <c r="H1071" s="54"/>
      <c r="I1071" s="55">
        <v>38</v>
      </c>
      <c r="K1071" s="51" t="s">
        <v>5396</v>
      </c>
    </row>
    <row r="1072" spans="1:11">
      <c r="A1072" s="51">
        <v>1042</v>
      </c>
      <c r="B1072" s="51" t="s">
        <v>5395</v>
      </c>
      <c r="C1072" s="51" t="s">
        <v>5396</v>
      </c>
      <c r="D1072" s="52" t="s">
        <v>3726</v>
      </c>
      <c r="E1072" s="52" t="s">
        <v>3725</v>
      </c>
      <c r="F1072" s="53" t="s">
        <v>5409</v>
      </c>
      <c r="G1072" s="51" t="s">
        <v>4812</v>
      </c>
      <c r="H1072" s="54"/>
      <c r="I1072" s="55">
        <v>75</v>
      </c>
      <c r="K1072" s="51" t="s">
        <v>5396</v>
      </c>
    </row>
    <row r="1073" spans="1:11">
      <c r="A1073" s="51">
        <v>1043</v>
      </c>
      <c r="B1073" s="51" t="s">
        <v>5395</v>
      </c>
      <c r="C1073" s="51" t="s">
        <v>5396</v>
      </c>
      <c r="D1073" s="52" t="s">
        <v>3728</v>
      </c>
      <c r="E1073" s="52" t="s">
        <v>3727</v>
      </c>
      <c r="F1073" s="53" t="s">
        <v>5409</v>
      </c>
      <c r="G1073" s="51" t="s">
        <v>4812</v>
      </c>
      <c r="H1073" s="54"/>
      <c r="I1073" s="55">
        <v>212</v>
      </c>
      <c r="K1073" s="51" t="s">
        <v>5396</v>
      </c>
    </row>
    <row r="1074" spans="1:11">
      <c r="A1074" s="51">
        <v>1044</v>
      </c>
      <c r="B1074" s="51" t="s">
        <v>5417</v>
      </c>
      <c r="C1074" s="51" t="s">
        <v>5418</v>
      </c>
      <c r="D1074" s="52" t="s">
        <v>4039</v>
      </c>
      <c r="E1074" s="52" t="s">
        <v>4038</v>
      </c>
      <c r="F1074" s="53" t="s">
        <v>4819</v>
      </c>
      <c r="G1074" s="51" t="s">
        <v>4812</v>
      </c>
      <c r="H1074" s="54"/>
      <c r="I1074" s="55">
        <v>0</v>
      </c>
      <c r="K1074" s="51" t="s">
        <v>5418</v>
      </c>
    </row>
    <row r="1075" spans="1:11">
      <c r="A1075" s="51">
        <v>1045</v>
      </c>
      <c r="B1075" s="51" t="s">
        <v>5417</v>
      </c>
      <c r="C1075" s="51" t="s">
        <v>5418</v>
      </c>
      <c r="D1075" s="52" t="s">
        <v>4102</v>
      </c>
      <c r="E1075" s="52" t="s">
        <v>4101</v>
      </c>
      <c r="F1075" s="53" t="s">
        <v>5419</v>
      </c>
      <c r="G1075" s="51" t="s">
        <v>4812</v>
      </c>
      <c r="H1075" s="54"/>
      <c r="I1075" s="55">
        <v>0</v>
      </c>
      <c r="K1075" s="51" t="s">
        <v>5418</v>
      </c>
    </row>
    <row r="1076" spans="1:11">
      <c r="A1076" s="51">
        <v>1046</v>
      </c>
      <c r="B1076" s="51" t="s">
        <v>5417</v>
      </c>
      <c r="C1076" s="51" t="s">
        <v>5418</v>
      </c>
      <c r="D1076" s="52" t="s">
        <v>4104</v>
      </c>
      <c r="E1076" s="52" t="s">
        <v>4103</v>
      </c>
      <c r="F1076" s="53" t="s">
        <v>5420</v>
      </c>
      <c r="G1076" s="51" t="s">
        <v>4812</v>
      </c>
      <c r="H1076" s="54"/>
      <c r="I1076" s="55">
        <v>0</v>
      </c>
      <c r="K1076" s="51" t="s">
        <v>5418</v>
      </c>
    </row>
    <row r="1077" spans="1:11">
      <c r="A1077" s="51">
        <v>1047</v>
      </c>
      <c r="B1077" s="51" t="s">
        <v>5417</v>
      </c>
      <c r="C1077" s="51" t="s">
        <v>5418</v>
      </c>
      <c r="D1077" s="52" t="s">
        <v>4027</v>
      </c>
      <c r="E1077" s="52" t="s">
        <v>4026</v>
      </c>
      <c r="F1077" s="53" t="s">
        <v>5421</v>
      </c>
      <c r="G1077" s="51" t="s">
        <v>4812</v>
      </c>
      <c r="H1077" s="54"/>
      <c r="I1077" s="55">
        <v>0</v>
      </c>
      <c r="K1077" s="51" t="s">
        <v>5418</v>
      </c>
    </row>
    <row r="1078" spans="1:11">
      <c r="A1078" s="51">
        <v>1048</v>
      </c>
      <c r="B1078" s="51" t="s">
        <v>5417</v>
      </c>
      <c r="C1078" s="51" t="s">
        <v>5418</v>
      </c>
      <c r="D1078" s="52" t="s">
        <v>5422</v>
      </c>
      <c r="E1078" s="52" t="s">
        <v>5423</v>
      </c>
      <c r="F1078" s="53" t="s">
        <v>5424</v>
      </c>
      <c r="G1078" s="51" t="s">
        <v>4812</v>
      </c>
      <c r="H1078" s="54"/>
      <c r="I1078" s="55">
        <v>0</v>
      </c>
      <c r="K1078" s="51" t="s">
        <v>5418</v>
      </c>
    </row>
    <row r="1079" spans="1:11">
      <c r="A1079" s="51">
        <v>1049</v>
      </c>
      <c r="B1079" s="51" t="s">
        <v>5417</v>
      </c>
      <c r="C1079" s="51" t="s">
        <v>5418</v>
      </c>
      <c r="D1079" s="52" t="s">
        <v>5425</v>
      </c>
      <c r="E1079" s="52" t="s">
        <v>5426</v>
      </c>
      <c r="F1079" s="53" t="s">
        <v>5427</v>
      </c>
      <c r="G1079" s="51" t="s">
        <v>4812</v>
      </c>
      <c r="H1079" s="54"/>
      <c r="I1079" s="55">
        <v>0</v>
      </c>
      <c r="K1079" s="51" t="s">
        <v>5418</v>
      </c>
    </row>
    <row r="1080" spans="1:11">
      <c r="A1080" s="51">
        <v>1050</v>
      </c>
      <c r="B1080" s="51" t="s">
        <v>5417</v>
      </c>
      <c r="C1080" s="51" t="s">
        <v>5418</v>
      </c>
      <c r="D1080" s="52" t="s">
        <v>2699</v>
      </c>
      <c r="E1080" s="52" t="s">
        <v>5428</v>
      </c>
      <c r="F1080" s="53" t="s">
        <v>4823</v>
      </c>
      <c r="G1080" s="51" t="s">
        <v>4812</v>
      </c>
      <c r="H1080" s="54"/>
      <c r="I1080" s="55">
        <v>0</v>
      </c>
      <c r="K1080" s="51" t="s">
        <v>5418</v>
      </c>
    </row>
    <row r="1081" spans="1:11">
      <c r="A1081" s="51">
        <v>1051</v>
      </c>
      <c r="B1081" s="51" t="s">
        <v>5417</v>
      </c>
      <c r="C1081" s="51" t="s">
        <v>5418</v>
      </c>
      <c r="D1081" s="52" t="s">
        <v>2753</v>
      </c>
      <c r="E1081" s="52" t="s">
        <v>5429</v>
      </c>
      <c r="F1081" s="53" t="s">
        <v>4821</v>
      </c>
      <c r="G1081" s="51" t="s">
        <v>4812</v>
      </c>
      <c r="H1081" s="54"/>
      <c r="I1081" s="55">
        <v>0</v>
      </c>
      <c r="K1081" s="51" t="s">
        <v>5418</v>
      </c>
    </row>
    <row r="1082" spans="1:11">
      <c r="A1082" s="51">
        <v>1052</v>
      </c>
      <c r="B1082" s="51" t="s">
        <v>5417</v>
      </c>
      <c r="C1082" s="51" t="s">
        <v>5418</v>
      </c>
      <c r="D1082" s="52" t="s">
        <v>3648</v>
      </c>
      <c r="E1082" s="52" t="s">
        <v>5430</v>
      </c>
      <c r="F1082" s="53" t="s">
        <v>5431</v>
      </c>
      <c r="G1082" s="51" t="s">
        <v>4812</v>
      </c>
      <c r="H1082" s="54"/>
      <c r="I1082" s="55">
        <v>0</v>
      </c>
      <c r="K1082" s="51" t="s">
        <v>5418</v>
      </c>
    </row>
    <row r="1083" spans="1:11">
      <c r="A1083" s="51">
        <v>1053</v>
      </c>
      <c r="B1083" s="51" t="s">
        <v>5417</v>
      </c>
      <c r="C1083" s="51" t="s">
        <v>5418</v>
      </c>
      <c r="D1083" s="52" t="s">
        <v>2501</v>
      </c>
      <c r="E1083" s="52" t="s">
        <v>2500</v>
      </c>
      <c r="F1083" s="53" t="s">
        <v>5432</v>
      </c>
      <c r="G1083" s="51" t="s">
        <v>4812</v>
      </c>
      <c r="H1083" s="54"/>
      <c r="I1083" s="55">
        <v>0</v>
      </c>
      <c r="K1083" s="51" t="s">
        <v>5418</v>
      </c>
    </row>
    <row r="1084" spans="1:11">
      <c r="A1084" s="51">
        <v>1054</v>
      </c>
      <c r="B1084" s="51" t="s">
        <v>5433</v>
      </c>
      <c r="C1084" s="51" t="s">
        <v>5434</v>
      </c>
      <c r="D1084" s="52" t="s">
        <v>4039</v>
      </c>
      <c r="E1084" s="52" t="s">
        <v>4038</v>
      </c>
      <c r="F1084" s="53" t="s">
        <v>4819</v>
      </c>
      <c r="G1084" s="51" t="s">
        <v>4812</v>
      </c>
      <c r="H1084" s="54"/>
      <c r="I1084" s="55">
        <v>695</v>
      </c>
      <c r="K1084" s="51" t="s">
        <v>5434</v>
      </c>
    </row>
    <row r="1085" spans="1:11">
      <c r="A1085" s="51">
        <v>1055</v>
      </c>
      <c r="B1085" s="51" t="s">
        <v>5433</v>
      </c>
      <c r="C1085" s="51" t="s">
        <v>5434</v>
      </c>
      <c r="D1085" s="52" t="s">
        <v>4106</v>
      </c>
      <c r="E1085" s="52" t="s">
        <v>4105</v>
      </c>
      <c r="F1085" s="53" t="s">
        <v>5435</v>
      </c>
      <c r="G1085" s="51" t="s">
        <v>4812</v>
      </c>
      <c r="H1085" s="54"/>
      <c r="I1085" s="55">
        <v>0</v>
      </c>
      <c r="K1085" s="51" t="s">
        <v>5434</v>
      </c>
    </row>
    <row r="1086" spans="1:11">
      <c r="A1086" s="51">
        <v>1056</v>
      </c>
      <c r="B1086" s="51" t="s">
        <v>5433</v>
      </c>
      <c r="C1086" s="51" t="s">
        <v>5434</v>
      </c>
      <c r="D1086" s="52" t="s">
        <v>4108</v>
      </c>
      <c r="E1086" s="52" t="s">
        <v>4107</v>
      </c>
      <c r="F1086" s="53" t="s">
        <v>5436</v>
      </c>
      <c r="G1086" s="51" t="s">
        <v>4812</v>
      </c>
      <c r="H1086" s="54"/>
      <c r="I1086" s="55">
        <v>0</v>
      </c>
      <c r="K1086" s="51" t="s">
        <v>5434</v>
      </c>
    </row>
    <row r="1087" spans="1:11">
      <c r="A1087" s="51">
        <v>1057</v>
      </c>
      <c r="B1087" s="51" t="s">
        <v>5433</v>
      </c>
      <c r="C1087" s="51" t="s">
        <v>5434</v>
      </c>
      <c r="D1087" s="52" t="s">
        <v>4027</v>
      </c>
      <c r="E1087" s="52" t="s">
        <v>4026</v>
      </c>
      <c r="F1087" s="53" t="s">
        <v>5421</v>
      </c>
      <c r="G1087" s="51" t="s">
        <v>4812</v>
      </c>
      <c r="H1087" s="54"/>
      <c r="I1087" s="55">
        <v>470</v>
      </c>
      <c r="K1087" s="51" t="s">
        <v>5434</v>
      </c>
    </row>
    <row r="1088" spans="1:11">
      <c r="A1088" s="51">
        <v>1058</v>
      </c>
      <c r="B1088" s="51" t="s">
        <v>5433</v>
      </c>
      <c r="C1088" s="51" t="s">
        <v>5434</v>
      </c>
      <c r="D1088" s="52" t="s">
        <v>2262</v>
      </c>
      <c r="E1088" s="52" t="s">
        <v>5437</v>
      </c>
      <c r="F1088" s="53" t="s">
        <v>5438</v>
      </c>
      <c r="G1088" s="51" t="s">
        <v>4812</v>
      </c>
      <c r="H1088" s="54"/>
      <c r="I1088" s="55">
        <v>18</v>
      </c>
      <c r="K1088" s="51" t="s">
        <v>5434</v>
      </c>
    </row>
    <row r="1089" spans="1:11">
      <c r="A1089" s="51">
        <v>1059</v>
      </c>
      <c r="B1089" s="51" t="s">
        <v>5433</v>
      </c>
      <c r="C1089" s="51" t="s">
        <v>5434</v>
      </c>
      <c r="D1089" s="52" t="s">
        <v>2274</v>
      </c>
      <c r="E1089" s="52" t="s">
        <v>5439</v>
      </c>
      <c r="F1089" s="53" t="s">
        <v>5440</v>
      </c>
      <c r="G1089" s="51" t="s">
        <v>4812</v>
      </c>
      <c r="H1089" s="54"/>
      <c r="I1089" s="55">
        <v>84</v>
      </c>
      <c r="K1089" s="51" t="s">
        <v>5434</v>
      </c>
    </row>
    <row r="1090" spans="1:11">
      <c r="A1090" s="51">
        <v>1060</v>
      </c>
      <c r="B1090" s="51" t="s">
        <v>5433</v>
      </c>
      <c r="C1090" s="51" t="s">
        <v>5434</v>
      </c>
      <c r="D1090" s="52" t="s">
        <v>5441</v>
      </c>
      <c r="E1090" s="52" t="s">
        <v>5442</v>
      </c>
      <c r="F1090" s="53" t="s">
        <v>5427</v>
      </c>
      <c r="G1090" s="51" t="s">
        <v>4812</v>
      </c>
      <c r="H1090" s="54"/>
      <c r="I1090" s="55">
        <v>0</v>
      </c>
      <c r="K1090" s="51" t="s">
        <v>5434</v>
      </c>
    </row>
    <row r="1091" spans="1:11">
      <c r="A1091" s="51">
        <v>1061</v>
      </c>
      <c r="B1091" s="51" t="s">
        <v>5433</v>
      </c>
      <c r="C1091" s="51" t="s">
        <v>5434</v>
      </c>
      <c r="D1091" s="52" t="s">
        <v>5443</v>
      </c>
      <c r="E1091" s="52" t="s">
        <v>5444</v>
      </c>
      <c r="F1091" s="53" t="s">
        <v>5445</v>
      </c>
      <c r="G1091" s="51" t="s">
        <v>4812</v>
      </c>
      <c r="H1091" s="54"/>
      <c r="I1091" s="55">
        <v>0</v>
      </c>
      <c r="K1091" s="51" t="s">
        <v>5434</v>
      </c>
    </row>
    <row r="1092" spans="1:11">
      <c r="A1092" s="51">
        <v>1062</v>
      </c>
      <c r="B1092" s="51" t="s">
        <v>5433</v>
      </c>
      <c r="C1092" s="51" t="s">
        <v>5434</v>
      </c>
      <c r="D1092" s="52" t="s">
        <v>2699</v>
      </c>
      <c r="E1092" s="52" t="s">
        <v>2698</v>
      </c>
      <c r="F1092" s="53" t="s">
        <v>5446</v>
      </c>
      <c r="G1092" s="51" t="s">
        <v>4812</v>
      </c>
      <c r="H1092" s="54"/>
      <c r="I1092" s="55">
        <v>21</v>
      </c>
      <c r="K1092" s="51" t="s">
        <v>5434</v>
      </c>
    </row>
    <row r="1093" spans="1:11">
      <c r="A1093" s="51">
        <v>1063</v>
      </c>
      <c r="B1093" s="51" t="s">
        <v>5433</v>
      </c>
      <c r="C1093" s="51" t="s">
        <v>5434</v>
      </c>
      <c r="D1093" s="52" t="s">
        <v>2753</v>
      </c>
      <c r="E1093" s="52" t="s">
        <v>2752</v>
      </c>
      <c r="F1093" s="53" t="s">
        <v>5447</v>
      </c>
      <c r="G1093" s="51" t="s">
        <v>4812</v>
      </c>
      <c r="H1093" s="54"/>
      <c r="I1093" s="55">
        <v>9</v>
      </c>
      <c r="K1093" s="51" t="s">
        <v>5434</v>
      </c>
    </row>
    <row r="1094" spans="1:11">
      <c r="A1094" s="51">
        <v>1064</v>
      </c>
      <c r="B1094" s="51" t="s">
        <v>5433</v>
      </c>
      <c r="C1094" s="51" t="s">
        <v>5434</v>
      </c>
      <c r="D1094" s="52" t="s">
        <v>2412</v>
      </c>
      <c r="E1094" s="52" t="s">
        <v>2411</v>
      </c>
      <c r="F1094" s="53" t="s">
        <v>5448</v>
      </c>
      <c r="G1094" s="51" t="s">
        <v>4812</v>
      </c>
      <c r="H1094" s="54"/>
      <c r="I1094" s="55">
        <v>135</v>
      </c>
      <c r="K1094" s="51" t="s">
        <v>5434</v>
      </c>
    </row>
    <row r="1095" spans="1:11">
      <c r="A1095" s="51">
        <v>1065</v>
      </c>
      <c r="B1095" s="51" t="s">
        <v>5433</v>
      </c>
      <c r="C1095" s="51" t="s">
        <v>5434</v>
      </c>
      <c r="D1095" s="52" t="s">
        <v>2396</v>
      </c>
      <c r="E1095" s="52" t="s">
        <v>2395</v>
      </c>
      <c r="F1095" s="53" t="s">
        <v>5449</v>
      </c>
      <c r="G1095" s="51" t="s">
        <v>4812</v>
      </c>
      <c r="H1095" s="54"/>
      <c r="I1095" s="55">
        <v>270</v>
      </c>
      <c r="K1095" s="51" t="s">
        <v>5434</v>
      </c>
    </row>
    <row r="1096" spans="1:11">
      <c r="A1096" s="51">
        <v>1066</v>
      </c>
      <c r="B1096" s="51" t="s">
        <v>5433</v>
      </c>
      <c r="C1096" s="51" t="s">
        <v>5434</v>
      </c>
      <c r="D1096" s="52" t="s">
        <v>3648</v>
      </c>
      <c r="E1096" s="52" t="s">
        <v>5430</v>
      </c>
      <c r="F1096" s="53" t="s">
        <v>5431</v>
      </c>
      <c r="G1096" s="51" t="s">
        <v>4812</v>
      </c>
      <c r="H1096" s="54"/>
      <c r="I1096" s="55">
        <v>121</v>
      </c>
      <c r="K1096" s="51" t="s">
        <v>5434</v>
      </c>
    </row>
    <row r="1097" spans="1:11">
      <c r="A1097" s="51">
        <v>1067</v>
      </c>
      <c r="B1097" s="51" t="s">
        <v>5433</v>
      </c>
      <c r="C1097" s="51" t="s">
        <v>5434</v>
      </c>
      <c r="D1097" s="52" t="s">
        <v>5450</v>
      </c>
      <c r="E1097" s="52" t="s">
        <v>5451</v>
      </c>
      <c r="F1097" s="53" t="s">
        <v>5363</v>
      </c>
      <c r="G1097" s="51" t="s">
        <v>4812</v>
      </c>
      <c r="H1097" s="54"/>
      <c r="I1097" s="55">
        <v>0</v>
      </c>
      <c r="K1097" s="51" t="s">
        <v>5434</v>
      </c>
    </row>
    <row r="1098" spans="1:11">
      <c r="A1098" s="51">
        <v>1068</v>
      </c>
      <c r="B1098" s="51" t="s">
        <v>5433</v>
      </c>
      <c r="C1098" s="51" t="s">
        <v>5434</v>
      </c>
      <c r="D1098" s="52" t="s">
        <v>2501</v>
      </c>
      <c r="E1098" s="52" t="s">
        <v>2500</v>
      </c>
      <c r="F1098" s="53" t="s">
        <v>5432</v>
      </c>
      <c r="G1098" s="51" t="s">
        <v>4812</v>
      </c>
      <c r="H1098" s="54"/>
      <c r="I1098" s="55">
        <v>500</v>
      </c>
      <c r="K1098" s="51" t="s">
        <v>5434</v>
      </c>
    </row>
    <row r="1099" spans="1:11">
      <c r="A1099" s="51">
        <v>1069</v>
      </c>
      <c r="B1099" s="51" t="s">
        <v>5433</v>
      </c>
      <c r="C1099" s="51" t="s">
        <v>5434</v>
      </c>
      <c r="D1099" s="52" t="s">
        <v>2122</v>
      </c>
      <c r="E1099" s="52" t="s">
        <v>2121</v>
      </c>
      <c r="F1099" s="53" t="s">
        <v>5452</v>
      </c>
      <c r="G1099" s="51" t="s">
        <v>4812</v>
      </c>
      <c r="H1099" s="54"/>
      <c r="I1099" s="55">
        <v>59</v>
      </c>
      <c r="K1099" s="51" t="s">
        <v>5434</v>
      </c>
    </row>
    <row r="1100" spans="1:11">
      <c r="A1100" s="51">
        <v>1070</v>
      </c>
      <c r="B1100" s="51" t="s">
        <v>5433</v>
      </c>
      <c r="C1100" s="51" t="s">
        <v>5434</v>
      </c>
      <c r="D1100" s="52" t="s">
        <v>2169</v>
      </c>
      <c r="E1100" s="52" t="s">
        <v>2168</v>
      </c>
      <c r="F1100" s="53" t="s">
        <v>5453</v>
      </c>
      <c r="G1100" s="51" t="s">
        <v>4812</v>
      </c>
      <c r="H1100" s="54"/>
      <c r="I1100" s="55">
        <v>36</v>
      </c>
      <c r="K1100" s="51" t="s">
        <v>5434</v>
      </c>
    </row>
    <row r="1101" spans="1:11">
      <c r="A1101" s="51">
        <v>1071</v>
      </c>
      <c r="B1101" s="51" t="s">
        <v>5433</v>
      </c>
      <c r="C1101" s="51" t="s">
        <v>5434</v>
      </c>
      <c r="D1101" s="52" t="s">
        <v>2151</v>
      </c>
      <c r="E1101" s="52" t="s">
        <v>2150</v>
      </c>
      <c r="F1101" s="53" t="s">
        <v>5454</v>
      </c>
      <c r="G1101" s="51" t="s">
        <v>4812</v>
      </c>
      <c r="H1101" s="54"/>
      <c r="I1101" s="55">
        <v>13</v>
      </c>
      <c r="K1101" s="51" t="s">
        <v>5434</v>
      </c>
    </row>
    <row r="1102" spans="1:11">
      <c r="A1102" s="51">
        <v>1072</v>
      </c>
      <c r="B1102" s="51" t="s">
        <v>5433</v>
      </c>
      <c r="C1102" s="51" t="s">
        <v>5434</v>
      </c>
      <c r="D1102" s="52" t="s">
        <v>2173</v>
      </c>
      <c r="E1102" s="52" t="s">
        <v>2172</v>
      </c>
      <c r="F1102" s="53" t="s">
        <v>5455</v>
      </c>
      <c r="G1102" s="51" t="s">
        <v>4812</v>
      </c>
      <c r="H1102" s="54"/>
      <c r="I1102" s="55">
        <v>8</v>
      </c>
      <c r="K1102" s="51" t="s">
        <v>5434</v>
      </c>
    </row>
    <row r="1103" spans="1:11">
      <c r="A1103" s="51">
        <v>1073</v>
      </c>
      <c r="B1103" s="51" t="s">
        <v>5433</v>
      </c>
      <c r="C1103" s="51" t="s">
        <v>5434</v>
      </c>
      <c r="D1103" s="52" t="s">
        <v>3422</v>
      </c>
      <c r="E1103" s="52" t="s">
        <v>3421</v>
      </c>
      <c r="F1103" s="53" t="s">
        <v>5456</v>
      </c>
      <c r="G1103" s="51" t="s">
        <v>4812</v>
      </c>
      <c r="H1103" s="54"/>
      <c r="I1103" s="55">
        <v>148</v>
      </c>
      <c r="K1103" s="51" t="s">
        <v>5434</v>
      </c>
    </row>
    <row r="1104" spans="1:11">
      <c r="A1104" s="51">
        <v>1074</v>
      </c>
      <c r="B1104" s="51" t="s">
        <v>5433</v>
      </c>
      <c r="C1104" s="51" t="s">
        <v>5434</v>
      </c>
      <c r="D1104" s="52" t="s">
        <v>5457</v>
      </c>
      <c r="E1104" s="52" t="s">
        <v>5458</v>
      </c>
      <c r="F1104" s="53" t="s">
        <v>5459</v>
      </c>
      <c r="G1104" s="51" t="s">
        <v>4812</v>
      </c>
      <c r="H1104" s="54"/>
      <c r="I1104" s="55">
        <v>0</v>
      </c>
      <c r="K1104" s="51" t="s">
        <v>5434</v>
      </c>
    </row>
    <row r="1105" spans="1:11">
      <c r="A1105" s="51">
        <v>1075</v>
      </c>
      <c r="B1105" s="51" t="s">
        <v>5460</v>
      </c>
      <c r="C1105" s="51" t="s">
        <v>5461</v>
      </c>
      <c r="D1105" s="52" t="s">
        <v>4039</v>
      </c>
      <c r="E1105" s="52" t="s">
        <v>4038</v>
      </c>
      <c r="F1105" s="53" t="s">
        <v>4819</v>
      </c>
      <c r="G1105" s="51" t="s">
        <v>4812</v>
      </c>
      <c r="H1105" s="54"/>
      <c r="I1105" s="55">
        <v>3091</v>
      </c>
      <c r="K1105" s="51" t="s">
        <v>5461</v>
      </c>
    </row>
    <row r="1106" spans="1:11">
      <c r="A1106" s="51">
        <v>1076</v>
      </c>
      <c r="B1106" s="51" t="s">
        <v>5460</v>
      </c>
      <c r="C1106" s="51" t="s">
        <v>5461</v>
      </c>
      <c r="D1106" s="52" t="s">
        <v>4110</v>
      </c>
      <c r="E1106" s="52" t="s">
        <v>4109</v>
      </c>
      <c r="F1106" s="53" t="s">
        <v>5435</v>
      </c>
      <c r="G1106" s="51" t="s">
        <v>4812</v>
      </c>
      <c r="H1106" s="54"/>
      <c r="I1106" s="55">
        <v>0</v>
      </c>
      <c r="K1106" s="51" t="s">
        <v>5461</v>
      </c>
    </row>
    <row r="1107" spans="1:11">
      <c r="A1107" s="51">
        <v>1077</v>
      </c>
      <c r="B1107" s="51" t="s">
        <v>5460</v>
      </c>
      <c r="C1107" s="51" t="s">
        <v>5461</v>
      </c>
      <c r="D1107" s="52" t="s">
        <v>4112</v>
      </c>
      <c r="E1107" s="52" t="s">
        <v>4111</v>
      </c>
      <c r="F1107" s="53" t="s">
        <v>5436</v>
      </c>
      <c r="G1107" s="51" t="s">
        <v>4812</v>
      </c>
      <c r="H1107" s="54"/>
      <c r="I1107" s="55">
        <v>0</v>
      </c>
      <c r="K1107" s="51" t="s">
        <v>5461</v>
      </c>
    </row>
    <row r="1108" spans="1:11">
      <c r="A1108" s="51">
        <v>1078</v>
      </c>
      <c r="B1108" s="51" t="s">
        <v>5460</v>
      </c>
      <c r="C1108" s="51" t="s">
        <v>5461</v>
      </c>
      <c r="D1108" s="52" t="s">
        <v>4027</v>
      </c>
      <c r="E1108" s="52" t="s">
        <v>4026</v>
      </c>
      <c r="F1108" s="53" t="s">
        <v>5421</v>
      </c>
      <c r="G1108" s="51" t="s">
        <v>4812</v>
      </c>
      <c r="H1108" s="54"/>
      <c r="I1108" s="55">
        <v>266</v>
      </c>
      <c r="K1108" s="51" t="s">
        <v>5461</v>
      </c>
    </row>
    <row r="1109" spans="1:11">
      <c r="A1109" s="51">
        <v>1079</v>
      </c>
      <c r="B1109" s="51" t="s">
        <v>5460</v>
      </c>
      <c r="C1109" s="51" t="s">
        <v>5461</v>
      </c>
      <c r="D1109" s="52" t="s">
        <v>4029</v>
      </c>
      <c r="E1109" s="52" t="s">
        <v>4028</v>
      </c>
      <c r="F1109" s="53" t="s">
        <v>5421</v>
      </c>
      <c r="G1109" s="51" t="s">
        <v>4812</v>
      </c>
      <c r="H1109" s="54"/>
      <c r="I1109" s="55">
        <v>253</v>
      </c>
      <c r="K1109" s="51" t="s">
        <v>5461</v>
      </c>
    </row>
    <row r="1110" spans="1:11">
      <c r="A1110" s="51">
        <v>1080</v>
      </c>
      <c r="B1110" s="51" t="s">
        <v>5460</v>
      </c>
      <c r="C1110" s="51" t="s">
        <v>5461</v>
      </c>
      <c r="D1110" s="52" t="s">
        <v>2276</v>
      </c>
      <c r="E1110" s="52" t="s">
        <v>2275</v>
      </c>
      <c r="F1110" s="53" t="s">
        <v>5462</v>
      </c>
      <c r="G1110" s="51" t="s">
        <v>4812</v>
      </c>
      <c r="H1110" s="54"/>
      <c r="I1110" s="55">
        <v>104</v>
      </c>
      <c r="K1110" s="51" t="s">
        <v>5461</v>
      </c>
    </row>
    <row r="1111" spans="1:11">
      <c r="A1111" s="51">
        <v>1081</v>
      </c>
      <c r="B1111" s="51" t="s">
        <v>5460</v>
      </c>
      <c r="C1111" s="51" t="s">
        <v>5461</v>
      </c>
      <c r="D1111" s="52" t="s">
        <v>534</v>
      </c>
      <c r="E1111" s="52" t="s">
        <v>533</v>
      </c>
      <c r="F1111" s="53" t="s">
        <v>5463</v>
      </c>
      <c r="G1111" s="51" t="s">
        <v>4812</v>
      </c>
      <c r="H1111" s="54"/>
      <c r="I1111" s="55">
        <v>100</v>
      </c>
      <c r="K1111" s="51" t="s">
        <v>5461</v>
      </c>
    </row>
    <row r="1112" spans="1:11">
      <c r="A1112" s="51">
        <v>1082</v>
      </c>
      <c r="B1112" s="51" t="s">
        <v>5460</v>
      </c>
      <c r="C1112" s="51" t="s">
        <v>5461</v>
      </c>
      <c r="D1112" s="52" t="s">
        <v>536</v>
      </c>
      <c r="E1112" s="52" t="s">
        <v>535</v>
      </c>
      <c r="F1112" s="53" t="s">
        <v>5464</v>
      </c>
      <c r="G1112" s="51" t="s">
        <v>4812</v>
      </c>
      <c r="H1112" s="54"/>
      <c r="I1112" s="55">
        <v>0</v>
      </c>
      <c r="K1112" s="51" t="s">
        <v>5461</v>
      </c>
    </row>
    <row r="1113" spans="1:11">
      <c r="A1113" s="51">
        <v>1083</v>
      </c>
      <c r="B1113" s="51" t="s">
        <v>5460</v>
      </c>
      <c r="C1113" s="51" t="s">
        <v>5461</v>
      </c>
      <c r="D1113" s="52" t="s">
        <v>258</v>
      </c>
      <c r="E1113" s="52" t="s">
        <v>5465</v>
      </c>
      <c r="F1113" s="53" t="s">
        <v>5466</v>
      </c>
      <c r="G1113" s="51" t="s">
        <v>4812</v>
      </c>
      <c r="H1113" s="54"/>
      <c r="I1113" s="55">
        <v>0</v>
      </c>
      <c r="K1113" s="51" t="s">
        <v>5461</v>
      </c>
    </row>
    <row r="1114" spans="1:11">
      <c r="A1114" s="51">
        <v>1084</v>
      </c>
      <c r="B1114" s="51" t="s">
        <v>5460</v>
      </c>
      <c r="C1114" s="51" t="s">
        <v>5461</v>
      </c>
      <c r="D1114" s="52" t="s">
        <v>5467</v>
      </c>
      <c r="E1114" s="52" t="s">
        <v>5468</v>
      </c>
      <c r="F1114" s="53" t="s">
        <v>5445</v>
      </c>
      <c r="G1114" s="51" t="s">
        <v>4812</v>
      </c>
      <c r="H1114" s="54"/>
      <c r="I1114" s="55">
        <v>0</v>
      </c>
      <c r="K1114" s="51" t="s">
        <v>5461</v>
      </c>
    </row>
    <row r="1115" spans="1:11">
      <c r="A1115" s="51">
        <v>1085</v>
      </c>
      <c r="B1115" s="51" t="s">
        <v>5460</v>
      </c>
      <c r="C1115" s="51" t="s">
        <v>5461</v>
      </c>
      <c r="D1115" s="52" t="s">
        <v>5469</v>
      </c>
      <c r="E1115" s="52" t="s">
        <v>5470</v>
      </c>
      <c r="F1115" s="53" t="s">
        <v>5445</v>
      </c>
      <c r="G1115" s="51" t="s">
        <v>4812</v>
      </c>
      <c r="H1115" s="54"/>
      <c r="I1115" s="55">
        <v>0</v>
      </c>
      <c r="K1115" s="51" t="s">
        <v>5461</v>
      </c>
    </row>
    <row r="1116" spans="1:11">
      <c r="A1116" s="51">
        <v>1086</v>
      </c>
      <c r="B1116" s="51" t="s">
        <v>5460</v>
      </c>
      <c r="C1116" s="51" t="s">
        <v>5461</v>
      </c>
      <c r="D1116" s="52" t="s">
        <v>5471</v>
      </c>
      <c r="E1116" s="52" t="s">
        <v>5472</v>
      </c>
      <c r="F1116" s="53" t="s">
        <v>5427</v>
      </c>
      <c r="G1116" s="51" t="s">
        <v>4812</v>
      </c>
      <c r="H1116" s="54"/>
      <c r="I1116" s="55">
        <v>0</v>
      </c>
      <c r="K1116" s="51" t="s">
        <v>5461</v>
      </c>
    </row>
    <row r="1117" spans="1:11">
      <c r="A1117" s="51">
        <v>1087</v>
      </c>
      <c r="B1117" s="51" t="s">
        <v>5460</v>
      </c>
      <c r="C1117" s="51" t="s">
        <v>5461</v>
      </c>
      <c r="D1117" s="52" t="s">
        <v>5473</v>
      </c>
      <c r="E1117" s="52" t="s">
        <v>5474</v>
      </c>
      <c r="F1117" s="53" t="s">
        <v>5424</v>
      </c>
      <c r="G1117" s="51" t="s">
        <v>4812</v>
      </c>
      <c r="H1117" s="54"/>
      <c r="I1117" s="55">
        <v>0</v>
      </c>
      <c r="K1117" s="51" t="s">
        <v>5461</v>
      </c>
    </row>
    <row r="1118" spans="1:11">
      <c r="A1118" s="51">
        <v>1088</v>
      </c>
      <c r="B1118" s="51" t="s">
        <v>5460</v>
      </c>
      <c r="C1118" s="51" t="s">
        <v>5461</v>
      </c>
      <c r="D1118" s="52" t="s">
        <v>2701</v>
      </c>
      <c r="E1118" s="52" t="s">
        <v>2700</v>
      </c>
      <c r="F1118" s="53" t="s">
        <v>5446</v>
      </c>
      <c r="G1118" s="51" t="s">
        <v>4812</v>
      </c>
      <c r="H1118" s="54"/>
      <c r="I1118" s="55">
        <v>20</v>
      </c>
      <c r="K1118" s="51" t="s">
        <v>5461</v>
      </c>
    </row>
    <row r="1119" spans="1:11">
      <c r="A1119" s="51">
        <v>1089</v>
      </c>
      <c r="B1119" s="51" t="s">
        <v>5460</v>
      </c>
      <c r="C1119" s="51" t="s">
        <v>5461</v>
      </c>
      <c r="D1119" s="52" t="s">
        <v>2755</v>
      </c>
      <c r="E1119" s="52" t="s">
        <v>2754</v>
      </c>
      <c r="F1119" s="53" t="s">
        <v>5447</v>
      </c>
      <c r="G1119" s="51" t="s">
        <v>4812</v>
      </c>
      <c r="H1119" s="54"/>
      <c r="I1119" s="55">
        <v>0</v>
      </c>
      <c r="K1119" s="51" t="s">
        <v>5461</v>
      </c>
    </row>
    <row r="1120" spans="1:11">
      <c r="A1120" s="51">
        <v>1090</v>
      </c>
      <c r="B1120" s="51" t="s">
        <v>5460</v>
      </c>
      <c r="C1120" s="51" t="s">
        <v>5461</v>
      </c>
      <c r="D1120" s="52" t="s">
        <v>2410</v>
      </c>
      <c r="E1120" s="52" t="s">
        <v>2409</v>
      </c>
      <c r="F1120" s="53" t="s">
        <v>5448</v>
      </c>
      <c r="G1120" s="51" t="s">
        <v>4812</v>
      </c>
      <c r="H1120" s="54"/>
      <c r="I1120" s="55">
        <v>259</v>
      </c>
      <c r="K1120" s="51" t="s">
        <v>5461</v>
      </c>
    </row>
    <row r="1121" spans="1:11">
      <c r="A1121" s="51">
        <v>1091</v>
      </c>
      <c r="B1121" s="51" t="s">
        <v>5460</v>
      </c>
      <c r="C1121" s="51" t="s">
        <v>5461</v>
      </c>
      <c r="D1121" s="52" t="s">
        <v>2448</v>
      </c>
      <c r="E1121" s="52" t="s">
        <v>5475</v>
      </c>
      <c r="F1121" s="53" t="s">
        <v>5476</v>
      </c>
      <c r="G1121" s="51" t="s">
        <v>4812</v>
      </c>
      <c r="H1121" s="54"/>
      <c r="I1121" s="55">
        <v>1784</v>
      </c>
      <c r="K1121" s="51" t="s">
        <v>5461</v>
      </c>
    </row>
    <row r="1122" spans="1:11">
      <c r="A1122" s="51">
        <v>1092</v>
      </c>
      <c r="B1122" s="51" t="s">
        <v>5460</v>
      </c>
      <c r="C1122" s="51" t="s">
        <v>5461</v>
      </c>
      <c r="D1122" s="52" t="s">
        <v>3648</v>
      </c>
      <c r="E1122" s="52" t="s">
        <v>5430</v>
      </c>
      <c r="F1122" s="53" t="s">
        <v>5477</v>
      </c>
      <c r="G1122" s="51" t="s">
        <v>4812</v>
      </c>
      <c r="H1122" s="54"/>
      <c r="I1122" s="55">
        <v>62</v>
      </c>
      <c r="K1122" s="51" t="s">
        <v>5461</v>
      </c>
    </row>
    <row r="1123" spans="1:11">
      <c r="A1123" s="51">
        <v>1093</v>
      </c>
      <c r="B1123" s="51" t="s">
        <v>5460</v>
      </c>
      <c r="C1123" s="51" t="s">
        <v>5461</v>
      </c>
      <c r="D1123" s="52" t="s">
        <v>2501</v>
      </c>
      <c r="E1123" s="52" t="s">
        <v>2500</v>
      </c>
      <c r="F1123" s="53" t="s">
        <v>5432</v>
      </c>
      <c r="G1123" s="51" t="s">
        <v>4812</v>
      </c>
      <c r="H1123" s="54"/>
      <c r="I1123" s="55">
        <v>426</v>
      </c>
      <c r="K1123" s="51" t="s">
        <v>5461</v>
      </c>
    </row>
    <row r="1124" spans="1:11">
      <c r="A1124" s="51">
        <v>1094</v>
      </c>
      <c r="B1124" s="51" t="s">
        <v>5460</v>
      </c>
      <c r="C1124" s="51" t="s">
        <v>5461</v>
      </c>
      <c r="D1124" s="52" t="s">
        <v>2503</v>
      </c>
      <c r="E1124" s="52" t="s">
        <v>2502</v>
      </c>
      <c r="F1124" s="53" t="s">
        <v>5478</v>
      </c>
      <c r="G1124" s="51" t="s">
        <v>4812</v>
      </c>
      <c r="H1124" s="54"/>
      <c r="I1124" s="55">
        <v>259</v>
      </c>
      <c r="K1124" s="51" t="s">
        <v>5461</v>
      </c>
    </row>
    <row r="1125" spans="1:11">
      <c r="A1125" s="51">
        <v>1095</v>
      </c>
      <c r="B1125" s="51" t="s">
        <v>5460</v>
      </c>
      <c r="C1125" s="51" t="s">
        <v>5461</v>
      </c>
      <c r="D1125" s="52" t="s">
        <v>538</v>
      </c>
      <c r="E1125" s="52" t="s">
        <v>537</v>
      </c>
      <c r="F1125" s="53" t="s">
        <v>5479</v>
      </c>
      <c r="G1125" s="51" t="s">
        <v>4812</v>
      </c>
      <c r="H1125" s="54"/>
      <c r="I1125" s="55">
        <v>418</v>
      </c>
      <c r="K1125" s="51" t="s">
        <v>5461</v>
      </c>
    </row>
    <row r="1126" spans="1:11">
      <c r="A1126" s="51">
        <v>1096</v>
      </c>
      <c r="B1126" s="51" t="s">
        <v>5480</v>
      </c>
      <c r="C1126" s="51" t="s">
        <v>5481</v>
      </c>
      <c r="D1126" s="52" t="s">
        <v>4039</v>
      </c>
      <c r="E1126" s="52" t="s">
        <v>4038</v>
      </c>
      <c r="F1126" s="53" t="s">
        <v>4819</v>
      </c>
      <c r="G1126" s="51" t="s">
        <v>4812</v>
      </c>
      <c r="H1126" s="54"/>
      <c r="I1126" s="55">
        <v>0</v>
      </c>
      <c r="K1126" s="51" t="s">
        <v>5481</v>
      </c>
    </row>
    <row r="1127" spans="1:11">
      <c r="A1127" s="51">
        <v>1097</v>
      </c>
      <c r="B1127" s="51" t="s">
        <v>5480</v>
      </c>
      <c r="C1127" s="51" t="s">
        <v>5481</v>
      </c>
      <c r="D1127" s="52" t="s">
        <v>4102</v>
      </c>
      <c r="E1127" s="52" t="s">
        <v>4101</v>
      </c>
      <c r="F1127" s="53" t="s">
        <v>5419</v>
      </c>
      <c r="G1127" s="51" t="s">
        <v>4812</v>
      </c>
      <c r="H1127" s="54"/>
      <c r="I1127" s="55">
        <v>0</v>
      </c>
      <c r="K1127" s="51" t="s">
        <v>5481</v>
      </c>
    </row>
    <row r="1128" spans="1:11">
      <c r="A1128" s="51">
        <v>1098</v>
      </c>
      <c r="B1128" s="51" t="s">
        <v>5480</v>
      </c>
      <c r="C1128" s="51" t="s">
        <v>5481</v>
      </c>
      <c r="D1128" s="52" t="s">
        <v>4104</v>
      </c>
      <c r="E1128" s="52" t="s">
        <v>4103</v>
      </c>
      <c r="F1128" s="53" t="s">
        <v>5420</v>
      </c>
      <c r="G1128" s="51" t="s">
        <v>4812</v>
      </c>
      <c r="H1128" s="54"/>
      <c r="I1128" s="55">
        <v>0</v>
      </c>
      <c r="K1128" s="51" t="s">
        <v>5481</v>
      </c>
    </row>
    <row r="1129" spans="1:11">
      <c r="A1129" s="51">
        <v>1099</v>
      </c>
      <c r="B1129" s="51" t="s">
        <v>5480</v>
      </c>
      <c r="C1129" s="51" t="s">
        <v>5481</v>
      </c>
      <c r="D1129" s="52" t="s">
        <v>4027</v>
      </c>
      <c r="E1129" s="52" t="s">
        <v>4026</v>
      </c>
      <c r="F1129" s="53" t="s">
        <v>5421</v>
      </c>
      <c r="G1129" s="51" t="s">
        <v>4812</v>
      </c>
      <c r="H1129" s="54"/>
      <c r="I1129" s="55">
        <v>665</v>
      </c>
      <c r="K1129" s="51" t="s">
        <v>5481</v>
      </c>
    </row>
    <row r="1130" spans="1:11">
      <c r="A1130" s="51">
        <v>1100</v>
      </c>
      <c r="B1130" s="51" t="s">
        <v>5480</v>
      </c>
      <c r="C1130" s="51" t="s">
        <v>5481</v>
      </c>
      <c r="D1130" s="52" t="s">
        <v>4029</v>
      </c>
      <c r="E1130" s="52" t="s">
        <v>4028</v>
      </c>
      <c r="F1130" s="53" t="s">
        <v>5421</v>
      </c>
      <c r="G1130" s="51" t="s">
        <v>4812</v>
      </c>
      <c r="H1130" s="54"/>
      <c r="I1130" s="55">
        <v>1378</v>
      </c>
      <c r="K1130" s="51" t="s">
        <v>5481</v>
      </c>
    </row>
    <row r="1131" spans="1:11">
      <c r="A1131" s="51">
        <v>1101</v>
      </c>
      <c r="B1131" s="51" t="s">
        <v>5480</v>
      </c>
      <c r="C1131" s="51" t="s">
        <v>5481</v>
      </c>
      <c r="D1131" s="52" t="s">
        <v>277</v>
      </c>
      <c r="E1131" s="52" t="s">
        <v>276</v>
      </c>
      <c r="F1131" s="53" t="s">
        <v>5482</v>
      </c>
      <c r="G1131" s="51" t="s">
        <v>4812</v>
      </c>
      <c r="H1131" s="54"/>
      <c r="I1131" s="55">
        <v>206</v>
      </c>
      <c r="K1131" s="51" t="s">
        <v>5481</v>
      </c>
    </row>
    <row r="1132" spans="1:11">
      <c r="A1132" s="51">
        <v>1102</v>
      </c>
      <c r="B1132" s="51" t="s">
        <v>5480</v>
      </c>
      <c r="C1132" s="51" t="s">
        <v>5481</v>
      </c>
      <c r="D1132" s="52" t="s">
        <v>263</v>
      </c>
      <c r="E1132" s="52" t="s">
        <v>262</v>
      </c>
      <c r="F1132" s="53" t="s">
        <v>5483</v>
      </c>
      <c r="G1132" s="51" t="s">
        <v>4812</v>
      </c>
      <c r="H1132" s="54"/>
      <c r="I1132" s="55">
        <v>23</v>
      </c>
      <c r="K1132" s="51" t="s">
        <v>5481</v>
      </c>
    </row>
    <row r="1133" spans="1:11">
      <c r="A1133" s="51">
        <v>1103</v>
      </c>
      <c r="B1133" s="51" t="s">
        <v>5480</v>
      </c>
      <c r="C1133" s="51" t="s">
        <v>5481</v>
      </c>
      <c r="D1133" s="52" t="s">
        <v>2701</v>
      </c>
      <c r="E1133" s="52" t="s">
        <v>2700</v>
      </c>
      <c r="F1133" s="53" t="s">
        <v>5446</v>
      </c>
      <c r="G1133" s="51" t="s">
        <v>4812</v>
      </c>
      <c r="H1133" s="54"/>
      <c r="I1133" s="55">
        <v>0</v>
      </c>
      <c r="K1133" s="51" t="s">
        <v>5481</v>
      </c>
    </row>
    <row r="1134" spans="1:11">
      <c r="A1134" s="51">
        <v>1104</v>
      </c>
      <c r="B1134" s="51" t="s">
        <v>5480</v>
      </c>
      <c r="C1134" s="51" t="s">
        <v>5481</v>
      </c>
      <c r="D1134" s="52" t="s">
        <v>2755</v>
      </c>
      <c r="E1134" s="52" t="s">
        <v>2754</v>
      </c>
      <c r="F1134" s="53" t="s">
        <v>5447</v>
      </c>
      <c r="G1134" s="51" t="s">
        <v>4812</v>
      </c>
      <c r="H1134" s="54"/>
      <c r="I1134" s="55">
        <v>12</v>
      </c>
      <c r="K1134" s="51" t="s">
        <v>5481</v>
      </c>
    </row>
    <row r="1135" spans="1:11">
      <c r="A1135" s="51">
        <v>1105</v>
      </c>
      <c r="B1135" s="51" t="s">
        <v>5480</v>
      </c>
      <c r="C1135" s="51" t="s">
        <v>5481</v>
      </c>
      <c r="D1135" s="52" t="s">
        <v>5484</v>
      </c>
      <c r="E1135" s="52" t="s">
        <v>5485</v>
      </c>
      <c r="F1135" s="53" t="s">
        <v>5424</v>
      </c>
      <c r="G1135" s="51" t="s">
        <v>4812</v>
      </c>
      <c r="H1135" s="54"/>
      <c r="I1135" s="55">
        <v>0</v>
      </c>
      <c r="K1135" s="51" t="s">
        <v>5481</v>
      </c>
    </row>
    <row r="1136" spans="1:11">
      <c r="A1136" s="51">
        <v>1106</v>
      </c>
      <c r="B1136" s="51" t="s">
        <v>5480</v>
      </c>
      <c r="C1136" s="51" t="s">
        <v>5481</v>
      </c>
      <c r="D1136" s="52" t="s">
        <v>5486</v>
      </c>
      <c r="E1136" s="52" t="s">
        <v>5487</v>
      </c>
      <c r="F1136" s="53" t="s">
        <v>5427</v>
      </c>
      <c r="G1136" s="51" t="s">
        <v>4812</v>
      </c>
      <c r="H1136" s="54"/>
      <c r="I1136" s="55">
        <v>0</v>
      </c>
      <c r="K1136" s="51" t="s">
        <v>5481</v>
      </c>
    </row>
    <row r="1137" spans="1:11">
      <c r="A1137" s="51">
        <v>1107</v>
      </c>
      <c r="B1137" s="51" t="s">
        <v>5480</v>
      </c>
      <c r="C1137" s="51" t="s">
        <v>5481</v>
      </c>
      <c r="D1137" s="52" t="s">
        <v>3648</v>
      </c>
      <c r="E1137" s="52" t="s">
        <v>5488</v>
      </c>
      <c r="F1137" s="53" t="s">
        <v>5489</v>
      </c>
      <c r="G1137" s="51" t="s">
        <v>4812</v>
      </c>
      <c r="H1137" s="54"/>
      <c r="I1137" s="55">
        <v>23</v>
      </c>
      <c r="K1137" s="51" t="s">
        <v>5481</v>
      </c>
    </row>
    <row r="1138" spans="1:11">
      <c r="A1138" s="51">
        <v>1108</v>
      </c>
      <c r="B1138" s="51" t="s">
        <v>5480</v>
      </c>
      <c r="C1138" s="51" t="s">
        <v>5481</v>
      </c>
      <c r="D1138" s="52" t="s">
        <v>2501</v>
      </c>
      <c r="E1138" s="52" t="s">
        <v>2500</v>
      </c>
      <c r="F1138" s="53" t="s">
        <v>5432</v>
      </c>
      <c r="G1138" s="51" t="s">
        <v>4812</v>
      </c>
      <c r="H1138" s="54"/>
      <c r="I1138" s="55">
        <v>365</v>
      </c>
      <c r="K1138" s="51" t="s">
        <v>5481</v>
      </c>
    </row>
    <row r="1139" spans="1:11">
      <c r="A1139" s="51">
        <v>1109</v>
      </c>
      <c r="B1139" s="51" t="s">
        <v>5480</v>
      </c>
      <c r="C1139" s="51" t="s">
        <v>5481</v>
      </c>
      <c r="D1139" s="52" t="s">
        <v>2503</v>
      </c>
      <c r="E1139" s="52" t="s">
        <v>2502</v>
      </c>
      <c r="F1139" s="53" t="s">
        <v>5478</v>
      </c>
      <c r="G1139" s="51" t="s">
        <v>4812</v>
      </c>
      <c r="H1139" s="54"/>
      <c r="I1139" s="55">
        <v>123</v>
      </c>
      <c r="K1139" s="51" t="s">
        <v>5481</v>
      </c>
    </row>
    <row r="1140" spans="1:11">
      <c r="A1140" s="51">
        <v>1110</v>
      </c>
      <c r="B1140" s="51" t="s">
        <v>5490</v>
      </c>
      <c r="C1140" s="51" t="s">
        <v>5491</v>
      </c>
      <c r="D1140" s="52" t="s">
        <v>4102</v>
      </c>
      <c r="E1140" s="52" t="s">
        <v>4101</v>
      </c>
      <c r="F1140" s="53" t="s">
        <v>5419</v>
      </c>
      <c r="G1140" s="51" t="s">
        <v>4812</v>
      </c>
      <c r="H1140" s="54"/>
      <c r="I1140" s="55">
        <v>240</v>
      </c>
      <c r="K1140" s="51" t="s">
        <v>5491</v>
      </c>
    </row>
    <row r="1141" spans="1:11">
      <c r="A1141" s="51">
        <v>1111</v>
      </c>
      <c r="B1141" s="51" t="s">
        <v>5490</v>
      </c>
      <c r="C1141" s="51" t="s">
        <v>5491</v>
      </c>
      <c r="D1141" s="52" t="s">
        <v>4104</v>
      </c>
      <c r="E1141" s="52" t="s">
        <v>4103</v>
      </c>
      <c r="F1141" s="53" t="s">
        <v>5420</v>
      </c>
      <c r="G1141" s="51" t="s">
        <v>4812</v>
      </c>
      <c r="H1141" s="54"/>
      <c r="I1141" s="55">
        <v>240</v>
      </c>
      <c r="K1141" s="51" t="s">
        <v>5491</v>
      </c>
    </row>
    <row r="1142" spans="1:11">
      <c r="A1142" s="51">
        <v>1112</v>
      </c>
      <c r="B1142" s="51" t="s">
        <v>5490</v>
      </c>
      <c r="C1142" s="51" t="s">
        <v>5491</v>
      </c>
      <c r="D1142" s="52" t="s">
        <v>4106</v>
      </c>
      <c r="E1142" s="52" t="s">
        <v>4105</v>
      </c>
      <c r="F1142" s="53" t="s">
        <v>5435</v>
      </c>
      <c r="G1142" s="51" t="s">
        <v>4812</v>
      </c>
      <c r="H1142" s="54"/>
      <c r="I1142" s="55">
        <v>121</v>
      </c>
      <c r="K1142" s="51" t="s">
        <v>5491</v>
      </c>
    </row>
    <row r="1143" spans="1:11">
      <c r="A1143" s="51">
        <v>1113</v>
      </c>
      <c r="B1143" s="51" t="s">
        <v>5490</v>
      </c>
      <c r="C1143" s="51" t="s">
        <v>5491</v>
      </c>
      <c r="D1143" s="52" t="s">
        <v>4108</v>
      </c>
      <c r="E1143" s="52" t="s">
        <v>4107</v>
      </c>
      <c r="F1143" s="53" t="s">
        <v>5436</v>
      </c>
      <c r="G1143" s="51" t="s">
        <v>4812</v>
      </c>
      <c r="H1143" s="54"/>
      <c r="I1143" s="55">
        <v>120</v>
      </c>
      <c r="K1143" s="51" t="s">
        <v>5491</v>
      </c>
    </row>
    <row r="1144" spans="1:11">
      <c r="A1144" s="51">
        <v>1114</v>
      </c>
      <c r="B1144" s="51" t="s">
        <v>5490</v>
      </c>
      <c r="C1144" s="51" t="s">
        <v>5491</v>
      </c>
      <c r="D1144" s="52" t="s">
        <v>4110</v>
      </c>
      <c r="E1144" s="52" t="s">
        <v>4109</v>
      </c>
      <c r="F1144" s="53" t="s">
        <v>5435</v>
      </c>
      <c r="G1144" s="51" t="s">
        <v>4812</v>
      </c>
      <c r="H1144" s="54"/>
      <c r="I1144" s="55">
        <v>257</v>
      </c>
      <c r="K1144" s="51" t="s">
        <v>5491</v>
      </c>
    </row>
    <row r="1145" spans="1:11">
      <c r="A1145" s="51">
        <v>1115</v>
      </c>
      <c r="B1145" s="51" t="s">
        <v>5490</v>
      </c>
      <c r="C1145" s="51" t="s">
        <v>5491</v>
      </c>
      <c r="D1145" s="52" t="s">
        <v>4112</v>
      </c>
      <c r="E1145" s="52" t="s">
        <v>4111</v>
      </c>
      <c r="F1145" s="53" t="s">
        <v>5436</v>
      </c>
      <c r="G1145" s="51" t="s">
        <v>4812</v>
      </c>
      <c r="H1145" s="54"/>
      <c r="I1145" s="55">
        <v>125</v>
      </c>
      <c r="K1145" s="51" t="s">
        <v>5491</v>
      </c>
    </row>
    <row r="1146" spans="1:11">
      <c r="A1146" s="51">
        <v>1116</v>
      </c>
      <c r="B1146" s="51" t="s">
        <v>5490</v>
      </c>
      <c r="C1146" s="51" t="s">
        <v>5491</v>
      </c>
      <c r="D1146" s="52" t="s">
        <v>2404</v>
      </c>
      <c r="E1146" s="52" t="s">
        <v>2403</v>
      </c>
      <c r="F1146" s="53" t="s">
        <v>5492</v>
      </c>
      <c r="G1146" s="51" t="s">
        <v>4812</v>
      </c>
      <c r="H1146" s="54"/>
      <c r="I1146" s="55">
        <v>221</v>
      </c>
      <c r="K1146" s="51" t="s">
        <v>5491</v>
      </c>
    </row>
    <row r="1147" spans="1:11">
      <c r="A1147" s="51">
        <v>1117</v>
      </c>
      <c r="B1147" s="51" t="s">
        <v>5490</v>
      </c>
      <c r="C1147" s="51" t="s">
        <v>5491</v>
      </c>
      <c r="D1147" s="52" t="s">
        <v>2330</v>
      </c>
      <c r="E1147" s="52" t="s">
        <v>2329</v>
      </c>
      <c r="F1147" s="53" t="s">
        <v>5493</v>
      </c>
      <c r="G1147" s="51" t="s">
        <v>4812</v>
      </c>
      <c r="H1147" s="54"/>
      <c r="I1147" s="55">
        <v>10</v>
      </c>
      <c r="K1147" s="51" t="s">
        <v>5491</v>
      </c>
    </row>
    <row r="1148" spans="1:11">
      <c r="A1148" s="51">
        <v>1118</v>
      </c>
      <c r="B1148" s="51" t="s">
        <v>5490</v>
      </c>
      <c r="C1148" s="51" t="s">
        <v>5491</v>
      </c>
      <c r="D1148" s="52" t="s">
        <v>2328</v>
      </c>
      <c r="E1148" s="52" t="s">
        <v>2327</v>
      </c>
      <c r="F1148" s="53" t="s">
        <v>5494</v>
      </c>
      <c r="G1148" s="51" t="s">
        <v>4812</v>
      </c>
      <c r="H1148" s="54"/>
      <c r="I1148" s="55">
        <v>46</v>
      </c>
      <c r="K1148" s="51" t="s">
        <v>5491</v>
      </c>
    </row>
    <row r="1149" spans="1:11">
      <c r="A1149" s="51">
        <v>1119</v>
      </c>
      <c r="B1149" s="51" t="s">
        <v>5490</v>
      </c>
      <c r="C1149" s="51" t="s">
        <v>5491</v>
      </c>
      <c r="D1149" s="52" t="s">
        <v>2496</v>
      </c>
      <c r="E1149" s="52" t="s">
        <v>2495</v>
      </c>
      <c r="F1149" s="53" t="s">
        <v>5432</v>
      </c>
      <c r="G1149" s="51" t="s">
        <v>4812</v>
      </c>
      <c r="H1149" s="54"/>
      <c r="I1149" s="55">
        <v>300</v>
      </c>
      <c r="K1149" s="51" t="s">
        <v>5491</v>
      </c>
    </row>
    <row r="1150" spans="1:11">
      <c r="A1150" s="51">
        <v>1120</v>
      </c>
      <c r="B1150" s="51" t="s">
        <v>5490</v>
      </c>
      <c r="C1150" s="51" t="s">
        <v>5491</v>
      </c>
      <c r="D1150" s="52" t="s">
        <v>2499</v>
      </c>
      <c r="E1150" s="52" t="s">
        <v>2498</v>
      </c>
      <c r="F1150" s="53" t="s">
        <v>5432</v>
      </c>
      <c r="G1150" s="51" t="s">
        <v>4812</v>
      </c>
      <c r="H1150" s="54"/>
      <c r="I1150" s="55">
        <v>448</v>
      </c>
      <c r="K1150" s="51" t="s">
        <v>5491</v>
      </c>
    </row>
    <row r="1151" spans="1:11">
      <c r="A1151" s="51">
        <v>1121</v>
      </c>
      <c r="B1151" s="51" t="s">
        <v>5490</v>
      </c>
      <c r="C1151" s="51" t="s">
        <v>5491</v>
      </c>
      <c r="D1151" s="52" t="s">
        <v>2378</v>
      </c>
      <c r="E1151" s="52" t="s">
        <v>2377</v>
      </c>
      <c r="F1151" s="53" t="s">
        <v>5495</v>
      </c>
      <c r="G1151" s="51" t="s">
        <v>4812</v>
      </c>
      <c r="H1151" s="54"/>
      <c r="I1151" s="55">
        <v>30</v>
      </c>
      <c r="K1151" s="51" t="s">
        <v>5491</v>
      </c>
    </row>
    <row r="1152" spans="1:11">
      <c r="A1152" s="51">
        <v>1122</v>
      </c>
      <c r="B1152" s="51" t="s">
        <v>5496</v>
      </c>
      <c r="C1152" s="51" t="s">
        <v>5497</v>
      </c>
      <c r="D1152" s="52" t="s">
        <v>5498</v>
      </c>
      <c r="E1152" s="52" t="s">
        <v>4081</v>
      </c>
      <c r="F1152" s="53" t="s">
        <v>5499</v>
      </c>
      <c r="G1152" s="51" t="s">
        <v>4812</v>
      </c>
      <c r="H1152" s="54"/>
      <c r="I1152" s="55">
        <v>120</v>
      </c>
      <c r="K1152" s="51" t="s">
        <v>5497</v>
      </c>
    </row>
    <row r="1153" spans="1:11">
      <c r="A1153" s="51">
        <v>1123</v>
      </c>
      <c r="B1153" s="51" t="s">
        <v>5496</v>
      </c>
      <c r="C1153" s="51" t="s">
        <v>5497</v>
      </c>
      <c r="D1153" s="52" t="s">
        <v>5500</v>
      </c>
      <c r="E1153" s="52" t="s">
        <v>4083</v>
      </c>
      <c r="F1153" s="53" t="s">
        <v>5501</v>
      </c>
      <c r="G1153" s="51" t="s">
        <v>4812</v>
      </c>
      <c r="H1153" s="54"/>
      <c r="I1153" s="55">
        <v>80</v>
      </c>
      <c r="K1153" s="51" t="s">
        <v>5497</v>
      </c>
    </row>
    <row r="1154" spans="1:11">
      <c r="A1154" s="51">
        <v>1124</v>
      </c>
      <c r="B1154" s="51" t="s">
        <v>5496</v>
      </c>
      <c r="C1154" s="51" t="s">
        <v>5497</v>
      </c>
      <c r="D1154" s="52" t="s">
        <v>5502</v>
      </c>
      <c r="E1154" s="52" t="s">
        <v>4085</v>
      </c>
      <c r="F1154" s="53" t="s">
        <v>5503</v>
      </c>
      <c r="G1154" s="51" t="s">
        <v>4812</v>
      </c>
      <c r="H1154" s="54"/>
      <c r="I1154" s="55">
        <v>120</v>
      </c>
      <c r="K1154" s="51" t="s">
        <v>5497</v>
      </c>
    </row>
    <row r="1155" spans="1:11">
      <c r="A1155" s="51">
        <v>1125</v>
      </c>
      <c r="B1155" s="51" t="s">
        <v>5496</v>
      </c>
      <c r="C1155" s="51" t="s">
        <v>5497</v>
      </c>
      <c r="D1155" s="52" t="s">
        <v>5504</v>
      </c>
      <c r="E1155" s="52" t="s">
        <v>4087</v>
      </c>
      <c r="F1155" s="53" t="s">
        <v>5505</v>
      </c>
      <c r="G1155" s="51" t="s">
        <v>4812</v>
      </c>
      <c r="H1155" s="54"/>
      <c r="I1155" s="55">
        <v>90</v>
      </c>
      <c r="K1155" s="51" t="s">
        <v>5497</v>
      </c>
    </row>
    <row r="1156" spans="1:11">
      <c r="A1156" s="51">
        <v>1126</v>
      </c>
      <c r="B1156" s="51" t="s">
        <v>5496</v>
      </c>
      <c r="C1156" s="51" t="s">
        <v>5497</v>
      </c>
      <c r="D1156" s="52" t="s">
        <v>230</v>
      </c>
      <c r="E1156" s="52" t="s">
        <v>5506</v>
      </c>
      <c r="F1156" s="53" t="s">
        <v>5507</v>
      </c>
      <c r="G1156" s="51" t="s">
        <v>4812</v>
      </c>
      <c r="H1156" s="54"/>
      <c r="I1156" s="55">
        <v>25</v>
      </c>
      <c r="K1156" s="51" t="s">
        <v>5497</v>
      </c>
    </row>
    <row r="1157" spans="1:11">
      <c r="A1157" s="51">
        <v>1127</v>
      </c>
      <c r="B1157" s="51" t="s">
        <v>5496</v>
      </c>
      <c r="C1157" s="51" t="s">
        <v>5497</v>
      </c>
      <c r="D1157" s="52" t="s">
        <v>240</v>
      </c>
      <c r="E1157" s="52" t="s">
        <v>5508</v>
      </c>
      <c r="F1157" s="53" t="s">
        <v>5509</v>
      </c>
      <c r="G1157" s="51" t="s">
        <v>4812</v>
      </c>
      <c r="H1157" s="54"/>
      <c r="I1157" s="55">
        <v>10</v>
      </c>
      <c r="K1157" s="51" t="s">
        <v>5497</v>
      </c>
    </row>
    <row r="1158" spans="1:11">
      <c r="A1158" s="51">
        <v>1128</v>
      </c>
      <c r="B1158" s="51" t="s">
        <v>5496</v>
      </c>
      <c r="C1158" s="51" t="s">
        <v>5497</v>
      </c>
      <c r="D1158" s="52" t="s">
        <v>242</v>
      </c>
      <c r="E1158" s="52" t="s">
        <v>5510</v>
      </c>
      <c r="F1158" s="53" t="s">
        <v>5509</v>
      </c>
      <c r="G1158" s="51" t="s">
        <v>4812</v>
      </c>
      <c r="H1158" s="54"/>
      <c r="I1158" s="55">
        <v>89</v>
      </c>
      <c r="K1158" s="51" t="s">
        <v>5497</v>
      </c>
    </row>
    <row r="1159" spans="1:11">
      <c r="A1159" s="51">
        <v>1129</v>
      </c>
      <c r="B1159" s="51" t="s">
        <v>5496</v>
      </c>
      <c r="C1159" s="51" t="s">
        <v>5497</v>
      </c>
      <c r="D1159" s="52" t="s">
        <v>236</v>
      </c>
      <c r="E1159" s="52" t="s">
        <v>5511</v>
      </c>
      <c r="F1159" s="53" t="s">
        <v>5507</v>
      </c>
      <c r="G1159" s="51" t="s">
        <v>4812</v>
      </c>
      <c r="H1159" s="54"/>
      <c r="I1159" s="55">
        <v>49</v>
      </c>
      <c r="K1159" s="51" t="s">
        <v>5497</v>
      </c>
    </row>
    <row r="1160" spans="1:11">
      <c r="A1160" s="51">
        <v>1130</v>
      </c>
      <c r="B1160" s="51" t="s">
        <v>5496</v>
      </c>
      <c r="C1160" s="51" t="s">
        <v>5497</v>
      </c>
      <c r="D1160" s="52" t="s">
        <v>2394</v>
      </c>
      <c r="E1160" s="52" t="s">
        <v>2393</v>
      </c>
      <c r="F1160" s="53" t="s">
        <v>118</v>
      </c>
      <c r="G1160" s="51" t="s">
        <v>4812</v>
      </c>
      <c r="H1160" s="54"/>
      <c r="I1160" s="55">
        <v>0</v>
      </c>
      <c r="K1160" s="51" t="s">
        <v>5497</v>
      </c>
    </row>
    <row r="1161" spans="1:11">
      <c r="A1161" s="51">
        <v>1131</v>
      </c>
      <c r="B1161" s="51" t="s">
        <v>5496</v>
      </c>
      <c r="C1161" s="51" t="s">
        <v>5497</v>
      </c>
      <c r="D1161" s="52" t="s">
        <v>2406</v>
      </c>
      <c r="E1161" s="52" t="s">
        <v>2405</v>
      </c>
      <c r="F1161" s="53" t="s">
        <v>5492</v>
      </c>
      <c r="G1161" s="51" t="s">
        <v>4812</v>
      </c>
      <c r="H1161" s="54"/>
      <c r="I1161" s="55">
        <v>588</v>
      </c>
      <c r="K1161" s="51" t="s">
        <v>5497</v>
      </c>
    </row>
    <row r="1162" spans="1:11">
      <c r="A1162" s="51">
        <v>1132</v>
      </c>
      <c r="B1162" s="51" t="s">
        <v>5496</v>
      </c>
      <c r="C1162" s="51" t="s">
        <v>5497</v>
      </c>
      <c r="D1162" s="52" t="s">
        <v>2460</v>
      </c>
      <c r="E1162" s="52" t="s">
        <v>2459</v>
      </c>
      <c r="F1162" s="53" t="s">
        <v>5512</v>
      </c>
      <c r="G1162" s="51" t="s">
        <v>4812</v>
      </c>
      <c r="H1162" s="54"/>
      <c r="I1162" s="55">
        <v>113</v>
      </c>
      <c r="K1162" s="51" t="s">
        <v>5497</v>
      </c>
    </row>
    <row r="1163" spans="1:11">
      <c r="A1163" s="51">
        <v>1133</v>
      </c>
      <c r="B1163" s="51" t="s">
        <v>5496</v>
      </c>
      <c r="C1163" s="51" t="s">
        <v>5497</v>
      </c>
      <c r="D1163" s="52" t="s">
        <v>2462</v>
      </c>
      <c r="E1163" s="52" t="s">
        <v>2461</v>
      </c>
      <c r="F1163" s="53" t="s">
        <v>5512</v>
      </c>
      <c r="G1163" s="51" t="s">
        <v>4812</v>
      </c>
      <c r="H1163" s="54"/>
      <c r="I1163" s="55">
        <v>780</v>
      </c>
      <c r="K1163" s="51" t="s">
        <v>5497</v>
      </c>
    </row>
    <row r="1164" spans="1:11">
      <c r="A1164" s="51">
        <v>1134</v>
      </c>
      <c r="B1164" s="51" t="s">
        <v>5496</v>
      </c>
      <c r="C1164" s="51" t="s">
        <v>5497</v>
      </c>
      <c r="D1164" s="52" t="s">
        <v>3648</v>
      </c>
      <c r="E1164" s="52" t="s">
        <v>5430</v>
      </c>
      <c r="F1164" s="53" t="s">
        <v>5431</v>
      </c>
      <c r="G1164" s="51" t="s">
        <v>4812</v>
      </c>
      <c r="H1164" s="54"/>
      <c r="I1164" s="55">
        <v>0</v>
      </c>
      <c r="K1164" s="51" t="s">
        <v>5497</v>
      </c>
    </row>
    <row r="1165" spans="1:11">
      <c r="A1165" s="51">
        <v>1135</v>
      </c>
      <c r="B1165" s="51" t="s">
        <v>5496</v>
      </c>
      <c r="C1165" s="51" t="s">
        <v>5497</v>
      </c>
      <c r="D1165" s="52" t="s">
        <v>2332</v>
      </c>
      <c r="E1165" s="52" t="s">
        <v>2331</v>
      </c>
      <c r="F1165" s="53" t="s">
        <v>5513</v>
      </c>
      <c r="G1165" s="51" t="s">
        <v>4812</v>
      </c>
      <c r="H1165" s="54"/>
      <c r="I1165" s="55">
        <v>83</v>
      </c>
      <c r="K1165" s="51" t="s">
        <v>5497</v>
      </c>
    </row>
    <row r="1166" spans="1:11">
      <c r="A1166" s="51">
        <v>1136</v>
      </c>
      <c r="B1166" s="51" t="s">
        <v>5496</v>
      </c>
      <c r="C1166" s="51" t="s">
        <v>5497</v>
      </c>
      <c r="D1166" s="52" t="s">
        <v>2372</v>
      </c>
      <c r="E1166" s="52" t="s">
        <v>2371</v>
      </c>
      <c r="F1166" s="53" t="s">
        <v>5514</v>
      </c>
      <c r="G1166" s="51" t="s">
        <v>4812</v>
      </c>
      <c r="H1166" s="54"/>
      <c r="I1166" s="55">
        <v>173</v>
      </c>
      <c r="K1166" s="51" t="s">
        <v>5497</v>
      </c>
    </row>
    <row r="1167" spans="1:11">
      <c r="A1167" s="51">
        <v>1137</v>
      </c>
      <c r="B1167" s="51" t="s">
        <v>5496</v>
      </c>
      <c r="C1167" s="51" t="s">
        <v>5497</v>
      </c>
      <c r="D1167" s="52" t="s">
        <v>2496</v>
      </c>
      <c r="E1167" s="52" t="s">
        <v>2495</v>
      </c>
      <c r="F1167" s="53" t="s">
        <v>5515</v>
      </c>
      <c r="G1167" s="51" t="s">
        <v>4812</v>
      </c>
      <c r="H1167" s="54"/>
      <c r="I1167" s="55">
        <v>0</v>
      </c>
      <c r="K1167" s="51" t="s">
        <v>5497</v>
      </c>
    </row>
    <row r="1168" spans="1:11">
      <c r="A1168" s="51">
        <v>1138</v>
      </c>
      <c r="B1168" s="51" t="s">
        <v>5496</v>
      </c>
      <c r="C1168" s="51" t="s">
        <v>5497</v>
      </c>
      <c r="D1168" s="52" t="s">
        <v>2288</v>
      </c>
      <c r="E1168" s="52" t="s">
        <v>2287</v>
      </c>
      <c r="F1168" s="53" t="s">
        <v>5398</v>
      </c>
      <c r="G1168" s="51" t="s">
        <v>4812</v>
      </c>
      <c r="H1168" s="54"/>
      <c r="I1168" s="55">
        <v>0</v>
      </c>
      <c r="K1168" s="51" t="s">
        <v>5497</v>
      </c>
    </row>
    <row r="1169" spans="1:11">
      <c r="A1169" s="51">
        <v>1139</v>
      </c>
      <c r="B1169" s="51" t="s">
        <v>5496</v>
      </c>
      <c r="C1169" s="51" t="s">
        <v>5497</v>
      </c>
      <c r="D1169" s="52" t="s">
        <v>2290</v>
      </c>
      <c r="E1169" s="52" t="s">
        <v>2289</v>
      </c>
      <c r="F1169" s="53" t="s">
        <v>5516</v>
      </c>
      <c r="G1169" s="51" t="s">
        <v>4812</v>
      </c>
      <c r="H1169" s="54"/>
      <c r="I1169" s="55">
        <v>194</v>
      </c>
      <c r="K1169" s="51" t="s">
        <v>5497</v>
      </c>
    </row>
    <row r="1170" spans="1:11">
      <c r="A1170" s="51">
        <v>1140</v>
      </c>
      <c r="B1170" s="51" t="s">
        <v>5496</v>
      </c>
      <c r="C1170" s="51" t="s">
        <v>5497</v>
      </c>
      <c r="D1170" s="52" t="s">
        <v>2292</v>
      </c>
      <c r="E1170" s="52" t="s">
        <v>2291</v>
      </c>
      <c r="F1170" s="53" t="s">
        <v>5398</v>
      </c>
      <c r="G1170" s="51" t="s">
        <v>4812</v>
      </c>
      <c r="H1170" s="54"/>
      <c r="I1170" s="55">
        <v>338</v>
      </c>
      <c r="K1170" s="51" t="s">
        <v>5497</v>
      </c>
    </row>
    <row r="1171" spans="1:11">
      <c r="A1171" s="51">
        <v>1141</v>
      </c>
      <c r="B1171" s="51" t="s">
        <v>5517</v>
      </c>
      <c r="C1171" s="51" t="s">
        <v>5518</v>
      </c>
      <c r="D1171" s="52" t="s">
        <v>2362</v>
      </c>
      <c r="E1171" s="52" t="s">
        <v>2361</v>
      </c>
      <c r="F1171" s="53" t="s">
        <v>5519</v>
      </c>
      <c r="G1171" s="51" t="s">
        <v>4812</v>
      </c>
      <c r="H1171" s="54"/>
      <c r="I1171" s="55">
        <v>30</v>
      </c>
      <c r="K1171" s="51" t="s">
        <v>5518</v>
      </c>
    </row>
    <row r="1172" spans="1:11">
      <c r="A1172" s="51">
        <v>1142</v>
      </c>
      <c r="B1172" s="51" t="s">
        <v>5517</v>
      </c>
      <c r="C1172" s="51" t="s">
        <v>5518</v>
      </c>
      <c r="D1172" s="52" t="s">
        <v>2306</v>
      </c>
      <c r="E1172" s="52" t="s">
        <v>2305</v>
      </c>
      <c r="F1172" s="53" t="s">
        <v>5520</v>
      </c>
      <c r="G1172" s="51" t="s">
        <v>4812</v>
      </c>
      <c r="H1172" s="54"/>
      <c r="I1172" s="55">
        <v>2</v>
      </c>
      <c r="K1172" s="51" t="s">
        <v>5518</v>
      </c>
    </row>
    <row r="1173" spans="1:11">
      <c r="A1173" s="51">
        <v>1143</v>
      </c>
      <c r="B1173" s="51" t="s">
        <v>5517</v>
      </c>
      <c r="C1173" s="51" t="s">
        <v>5518</v>
      </c>
      <c r="D1173" s="52" t="s">
        <v>4077</v>
      </c>
      <c r="E1173" s="52" t="s">
        <v>4076</v>
      </c>
      <c r="F1173" s="53" t="s">
        <v>4991</v>
      </c>
      <c r="G1173" s="51" t="s">
        <v>4812</v>
      </c>
      <c r="H1173" s="54"/>
      <c r="I1173" s="55">
        <v>921</v>
      </c>
      <c r="K1173" s="51" t="s">
        <v>5518</v>
      </c>
    </row>
    <row r="1174" spans="1:11">
      <c r="A1174" s="51">
        <v>1144</v>
      </c>
      <c r="B1174" s="51" t="s">
        <v>5521</v>
      </c>
      <c r="C1174" s="51" t="s">
        <v>5522</v>
      </c>
      <c r="D1174" s="52" t="s">
        <v>3094</v>
      </c>
      <c r="E1174" s="52" t="s">
        <v>3093</v>
      </c>
      <c r="F1174" s="53" t="s">
        <v>5523</v>
      </c>
      <c r="G1174" s="51" t="s">
        <v>4812</v>
      </c>
      <c r="H1174" s="54"/>
      <c r="I1174" s="55">
        <v>34</v>
      </c>
      <c r="K1174" s="51" t="s">
        <v>5522</v>
      </c>
    </row>
    <row r="1175" spans="1:11">
      <c r="A1175" s="51">
        <v>1145</v>
      </c>
      <c r="B1175" s="51" t="s">
        <v>5521</v>
      </c>
      <c r="C1175" s="51" t="s">
        <v>5522</v>
      </c>
      <c r="D1175" s="52" t="s">
        <v>3096</v>
      </c>
      <c r="E1175" s="52" t="s">
        <v>3095</v>
      </c>
      <c r="F1175" s="53" t="s">
        <v>5523</v>
      </c>
      <c r="G1175" s="51" t="s">
        <v>4812</v>
      </c>
      <c r="H1175" s="54"/>
      <c r="I1175" s="55">
        <v>23</v>
      </c>
      <c r="K1175" s="51" t="s">
        <v>5522</v>
      </c>
    </row>
    <row r="1176" spans="1:11">
      <c r="A1176" s="51">
        <v>1146</v>
      </c>
      <c r="B1176" s="51" t="s">
        <v>5521</v>
      </c>
      <c r="C1176" s="51" t="s">
        <v>5522</v>
      </c>
      <c r="D1176" s="52" t="s">
        <v>3098</v>
      </c>
      <c r="E1176" s="52" t="s">
        <v>3097</v>
      </c>
      <c r="F1176" s="53" t="s">
        <v>5523</v>
      </c>
      <c r="G1176" s="51" t="s">
        <v>4812</v>
      </c>
      <c r="H1176" s="54"/>
      <c r="I1176" s="55">
        <v>49</v>
      </c>
      <c r="K1176" s="51" t="s">
        <v>5522</v>
      </c>
    </row>
    <row r="1177" spans="1:11">
      <c r="A1177" s="51">
        <v>1147</v>
      </c>
      <c r="B1177" s="51" t="s">
        <v>5521</v>
      </c>
      <c r="C1177" s="51" t="s">
        <v>5522</v>
      </c>
      <c r="D1177" s="52" t="s">
        <v>3100</v>
      </c>
      <c r="E1177" s="52" t="s">
        <v>3099</v>
      </c>
      <c r="F1177" s="53" t="s">
        <v>5523</v>
      </c>
      <c r="G1177" s="51" t="s">
        <v>4812</v>
      </c>
      <c r="H1177" s="54"/>
      <c r="I1177" s="55">
        <v>45</v>
      </c>
      <c r="K1177" s="51" t="s">
        <v>5522</v>
      </c>
    </row>
    <row r="1178" spans="1:11">
      <c r="A1178" s="51">
        <v>1148</v>
      </c>
      <c r="B1178" s="51" t="s">
        <v>5521</v>
      </c>
      <c r="C1178" s="51" t="s">
        <v>5522</v>
      </c>
      <c r="D1178" s="52" t="s">
        <v>5524</v>
      </c>
      <c r="E1178" s="52" t="s">
        <v>5525</v>
      </c>
      <c r="F1178" s="53" t="s">
        <v>5526</v>
      </c>
      <c r="G1178" s="51" t="s">
        <v>4812</v>
      </c>
      <c r="H1178" s="54"/>
      <c r="I1178" s="55">
        <v>0</v>
      </c>
      <c r="K1178" s="51" t="s">
        <v>5522</v>
      </c>
    </row>
    <row r="1179" spans="1:11">
      <c r="A1179" s="51">
        <v>1149</v>
      </c>
      <c r="B1179" s="51" t="s">
        <v>5521</v>
      </c>
      <c r="C1179" s="51" t="s">
        <v>5522</v>
      </c>
      <c r="D1179" s="52" t="s">
        <v>5527</v>
      </c>
      <c r="E1179" s="52" t="s">
        <v>5528</v>
      </c>
      <c r="F1179" s="53" t="s">
        <v>5526</v>
      </c>
      <c r="G1179" s="51" t="s">
        <v>4812</v>
      </c>
      <c r="H1179" s="54"/>
      <c r="I1179" s="55">
        <v>0</v>
      </c>
      <c r="K1179" s="51" t="s">
        <v>5522</v>
      </c>
    </row>
    <row r="1180" spans="1:11">
      <c r="A1180" s="51">
        <v>1150</v>
      </c>
      <c r="B1180" s="51" t="s">
        <v>5521</v>
      </c>
      <c r="C1180" s="51" t="s">
        <v>5522</v>
      </c>
      <c r="D1180" s="52" t="s">
        <v>5529</v>
      </c>
      <c r="E1180" s="52" t="s">
        <v>5530</v>
      </c>
      <c r="F1180" s="53" t="s">
        <v>5531</v>
      </c>
      <c r="G1180" s="51" t="s">
        <v>4812</v>
      </c>
      <c r="H1180" s="54"/>
      <c r="I1180" s="55">
        <v>0</v>
      </c>
      <c r="K1180" s="51" t="s">
        <v>5522</v>
      </c>
    </row>
    <row r="1181" spans="1:11">
      <c r="A1181" s="51">
        <v>1151</v>
      </c>
      <c r="B1181" s="51" t="s">
        <v>5521</v>
      </c>
      <c r="C1181" s="51" t="s">
        <v>5522</v>
      </c>
      <c r="D1181" s="52" t="s">
        <v>5532</v>
      </c>
      <c r="E1181" s="52" t="s">
        <v>5533</v>
      </c>
      <c r="F1181" s="53" t="s">
        <v>5531</v>
      </c>
      <c r="G1181" s="51" t="s">
        <v>4812</v>
      </c>
      <c r="H1181" s="54"/>
      <c r="I1181" s="55">
        <v>0</v>
      </c>
      <c r="K1181" s="51" t="s">
        <v>5522</v>
      </c>
    </row>
    <row r="1182" spans="1:11">
      <c r="A1182" s="51">
        <v>1152</v>
      </c>
      <c r="B1182" s="51" t="s">
        <v>5521</v>
      </c>
      <c r="C1182" s="51" t="s">
        <v>5522</v>
      </c>
      <c r="D1182" s="52" t="s">
        <v>3292</v>
      </c>
      <c r="E1182" s="52" t="s">
        <v>3291</v>
      </c>
      <c r="F1182" s="53" t="s">
        <v>5534</v>
      </c>
      <c r="G1182" s="51" t="s">
        <v>4812</v>
      </c>
      <c r="H1182" s="54"/>
      <c r="I1182" s="55">
        <v>89</v>
      </c>
      <c r="K1182" s="51" t="s">
        <v>5522</v>
      </c>
    </row>
    <row r="1183" spans="1:11">
      <c r="A1183" s="51">
        <v>1153</v>
      </c>
      <c r="B1183" s="51" t="s">
        <v>5521</v>
      </c>
      <c r="C1183" s="51" t="s">
        <v>5522</v>
      </c>
      <c r="D1183" s="52" t="s">
        <v>512</v>
      </c>
      <c r="E1183" s="52" t="s">
        <v>511</v>
      </c>
      <c r="F1183" s="53" t="s">
        <v>5535</v>
      </c>
      <c r="G1183" s="51" t="s">
        <v>4812</v>
      </c>
      <c r="H1183" s="54"/>
      <c r="I1183" s="55">
        <v>35</v>
      </c>
      <c r="K1183" s="51" t="s">
        <v>5522</v>
      </c>
    </row>
    <row r="1184" spans="1:11">
      <c r="A1184" s="51">
        <v>1154</v>
      </c>
      <c r="B1184" s="51" t="s">
        <v>5521</v>
      </c>
      <c r="C1184" s="51" t="s">
        <v>5522</v>
      </c>
      <c r="D1184" s="52" t="s">
        <v>494</v>
      </c>
      <c r="E1184" s="52" t="s">
        <v>493</v>
      </c>
      <c r="F1184" s="53" t="s">
        <v>5536</v>
      </c>
      <c r="G1184" s="51" t="s">
        <v>4812</v>
      </c>
      <c r="H1184" s="54"/>
      <c r="I1184" s="55">
        <v>28</v>
      </c>
      <c r="K1184" s="51" t="s">
        <v>5522</v>
      </c>
    </row>
    <row r="1185" spans="1:11">
      <c r="A1185" s="51">
        <v>1155</v>
      </c>
      <c r="B1185" s="51" t="s">
        <v>5521</v>
      </c>
      <c r="C1185" s="51" t="s">
        <v>5522</v>
      </c>
      <c r="D1185" s="52" t="s">
        <v>4063</v>
      </c>
      <c r="E1185" s="52" t="s">
        <v>4062</v>
      </c>
      <c r="F1185" s="53" t="s">
        <v>5456</v>
      </c>
      <c r="G1185" s="51" t="s">
        <v>4812</v>
      </c>
      <c r="H1185" s="54"/>
      <c r="I1185" s="55">
        <v>2522</v>
      </c>
      <c r="K1185" s="51" t="s">
        <v>5522</v>
      </c>
    </row>
    <row r="1186" spans="1:11">
      <c r="A1186" s="51">
        <v>1156</v>
      </c>
      <c r="B1186" s="51" t="s">
        <v>5521</v>
      </c>
      <c r="C1186" s="51" t="s">
        <v>5522</v>
      </c>
      <c r="D1186" s="52" t="s">
        <v>506</v>
      </c>
      <c r="E1186" s="52" t="s">
        <v>505</v>
      </c>
      <c r="F1186" s="53" t="s">
        <v>5537</v>
      </c>
      <c r="G1186" s="51" t="s">
        <v>4812</v>
      </c>
      <c r="H1186" s="54"/>
      <c r="I1186" s="55">
        <v>8</v>
      </c>
      <c r="K1186" s="51" t="s">
        <v>5522</v>
      </c>
    </row>
    <row r="1187" spans="1:11">
      <c r="A1187" s="51">
        <v>1157</v>
      </c>
      <c r="B1187" s="51" t="s">
        <v>5521</v>
      </c>
      <c r="C1187" s="51" t="s">
        <v>5522</v>
      </c>
      <c r="D1187" s="52" t="s">
        <v>452</v>
      </c>
      <c r="E1187" s="52" t="s">
        <v>451</v>
      </c>
      <c r="F1187" s="53" t="s">
        <v>5538</v>
      </c>
      <c r="G1187" s="51" t="s">
        <v>4812</v>
      </c>
      <c r="H1187" s="54"/>
      <c r="I1187" s="55">
        <v>20</v>
      </c>
      <c r="K1187" s="51" t="s">
        <v>5522</v>
      </c>
    </row>
    <row r="1188" spans="1:11">
      <c r="A1188" s="51">
        <v>1158</v>
      </c>
      <c r="B1188" s="51" t="s">
        <v>5521</v>
      </c>
      <c r="C1188" s="51" t="s">
        <v>5522</v>
      </c>
      <c r="D1188" s="52" t="s">
        <v>454</v>
      </c>
      <c r="E1188" s="52" t="s">
        <v>453</v>
      </c>
      <c r="F1188" s="53" t="s">
        <v>5539</v>
      </c>
      <c r="G1188" s="51" t="s">
        <v>4812</v>
      </c>
      <c r="H1188" s="54"/>
      <c r="I1188" s="55">
        <v>6</v>
      </c>
      <c r="K1188" s="51" t="s">
        <v>5522</v>
      </c>
    </row>
    <row r="1189" spans="1:11">
      <c r="A1189" s="51">
        <v>1159</v>
      </c>
      <c r="B1189" s="51" t="s">
        <v>5521</v>
      </c>
      <c r="C1189" s="51" t="s">
        <v>5522</v>
      </c>
      <c r="D1189" s="52" t="s">
        <v>468</v>
      </c>
      <c r="E1189" s="52" t="s">
        <v>467</v>
      </c>
      <c r="F1189" s="53" t="s">
        <v>5540</v>
      </c>
      <c r="G1189" s="51" t="s">
        <v>4812</v>
      </c>
      <c r="H1189" s="54"/>
      <c r="I1189" s="55">
        <v>6</v>
      </c>
      <c r="K1189" s="51" t="s">
        <v>5522</v>
      </c>
    </row>
    <row r="1190" spans="1:11">
      <c r="A1190" s="51">
        <v>1160</v>
      </c>
      <c r="B1190" s="51" t="s">
        <v>5521</v>
      </c>
      <c r="C1190" s="51" t="s">
        <v>5522</v>
      </c>
      <c r="D1190" s="52" t="s">
        <v>470</v>
      </c>
      <c r="E1190" s="52" t="s">
        <v>469</v>
      </c>
      <c r="F1190" s="53" t="s">
        <v>5540</v>
      </c>
      <c r="G1190" s="51" t="s">
        <v>4812</v>
      </c>
      <c r="H1190" s="54"/>
      <c r="I1190" s="55">
        <v>11</v>
      </c>
      <c r="K1190" s="51" t="s">
        <v>5522</v>
      </c>
    </row>
    <row r="1191" spans="1:11">
      <c r="A1191" s="51">
        <v>1161</v>
      </c>
      <c r="B1191" s="51" t="s">
        <v>5521</v>
      </c>
      <c r="C1191" s="51" t="s">
        <v>5522</v>
      </c>
      <c r="D1191" s="52" t="s">
        <v>200</v>
      </c>
      <c r="E1191" s="52" t="s">
        <v>199</v>
      </c>
      <c r="F1191" s="53" t="s">
        <v>5541</v>
      </c>
      <c r="G1191" s="51" t="s">
        <v>4812</v>
      </c>
      <c r="H1191" s="54"/>
      <c r="I1191" s="55">
        <v>13</v>
      </c>
      <c r="K1191" s="51" t="s">
        <v>5522</v>
      </c>
    </row>
    <row r="1192" spans="1:11">
      <c r="A1192" s="51">
        <v>1162</v>
      </c>
      <c r="B1192" s="51" t="s">
        <v>5521</v>
      </c>
      <c r="C1192" s="51" t="s">
        <v>5522</v>
      </c>
      <c r="D1192" s="52" t="s">
        <v>202</v>
      </c>
      <c r="E1192" s="52" t="s">
        <v>201</v>
      </c>
      <c r="F1192" s="53" t="s">
        <v>5542</v>
      </c>
      <c r="G1192" s="51" t="s">
        <v>4812</v>
      </c>
      <c r="H1192" s="54"/>
      <c r="I1192" s="55">
        <v>5</v>
      </c>
      <c r="K1192" s="51" t="s">
        <v>5522</v>
      </c>
    </row>
    <row r="1193" spans="1:11">
      <c r="A1193" s="51">
        <v>1163</v>
      </c>
      <c r="B1193" s="51" t="s">
        <v>5543</v>
      </c>
      <c r="C1193" s="51" t="s">
        <v>5544</v>
      </c>
      <c r="D1193" s="52" t="s">
        <v>3078</v>
      </c>
      <c r="E1193" s="52" t="s">
        <v>3077</v>
      </c>
      <c r="F1193" s="53" t="s">
        <v>5545</v>
      </c>
      <c r="G1193" s="51" t="s">
        <v>4812</v>
      </c>
      <c r="H1193" s="54"/>
      <c r="I1193" s="55">
        <v>180</v>
      </c>
      <c r="K1193" s="51" t="s">
        <v>5544</v>
      </c>
    </row>
    <row r="1194" spans="1:11">
      <c r="A1194" s="51">
        <v>1164</v>
      </c>
      <c r="B1194" s="51" t="s">
        <v>5543</v>
      </c>
      <c r="C1194" s="51" t="s">
        <v>5544</v>
      </c>
      <c r="D1194" s="52" t="s">
        <v>3086</v>
      </c>
      <c r="E1194" s="52" t="s">
        <v>3085</v>
      </c>
      <c r="F1194" s="53" t="s">
        <v>5546</v>
      </c>
      <c r="G1194" s="51" t="s">
        <v>4812</v>
      </c>
      <c r="H1194" s="54"/>
      <c r="I1194" s="55">
        <v>242</v>
      </c>
      <c r="K1194" s="51" t="s">
        <v>5544</v>
      </c>
    </row>
    <row r="1195" spans="1:11">
      <c r="A1195" s="51">
        <v>1165</v>
      </c>
      <c r="B1195" s="51" t="s">
        <v>5543</v>
      </c>
      <c r="C1195" s="51" t="s">
        <v>5544</v>
      </c>
      <c r="D1195" s="52" t="s">
        <v>3835</v>
      </c>
      <c r="E1195" s="52" t="s">
        <v>3834</v>
      </c>
      <c r="F1195" s="53" t="s">
        <v>5547</v>
      </c>
      <c r="G1195" s="51" t="s">
        <v>4812</v>
      </c>
      <c r="H1195" s="54"/>
      <c r="I1195" s="55">
        <v>2013</v>
      </c>
      <c r="K1195" s="51" t="s">
        <v>5544</v>
      </c>
    </row>
    <row r="1196" spans="1:11">
      <c r="A1196" s="51">
        <v>1166</v>
      </c>
      <c r="B1196" s="51" t="s">
        <v>5543</v>
      </c>
      <c r="C1196" s="51" t="s">
        <v>5544</v>
      </c>
      <c r="D1196" s="52" t="s">
        <v>3869</v>
      </c>
      <c r="E1196" s="52" t="s">
        <v>3868</v>
      </c>
      <c r="F1196" s="53" t="s">
        <v>5548</v>
      </c>
      <c r="G1196" s="51" t="s">
        <v>4812</v>
      </c>
      <c r="H1196" s="54"/>
      <c r="I1196" s="55">
        <v>19</v>
      </c>
      <c r="K1196" s="51" t="s">
        <v>5544</v>
      </c>
    </row>
    <row r="1197" spans="1:11">
      <c r="A1197" s="51">
        <v>1167</v>
      </c>
      <c r="B1197" s="51" t="s">
        <v>5543</v>
      </c>
      <c r="C1197" s="51" t="s">
        <v>5544</v>
      </c>
      <c r="D1197" s="52" t="s">
        <v>3453</v>
      </c>
      <c r="E1197" s="52" t="s">
        <v>3452</v>
      </c>
      <c r="F1197" s="53" t="s">
        <v>5549</v>
      </c>
      <c r="G1197" s="51" t="s">
        <v>4812</v>
      </c>
      <c r="H1197" s="54"/>
      <c r="I1197" s="55">
        <v>52</v>
      </c>
      <c r="K1197" s="51" t="s">
        <v>5544</v>
      </c>
    </row>
    <row r="1198" spans="1:11">
      <c r="A1198" s="51">
        <v>1168</v>
      </c>
      <c r="B1198" s="51" t="s">
        <v>5543</v>
      </c>
      <c r="C1198" s="51" t="s">
        <v>5544</v>
      </c>
      <c r="D1198" s="52" t="s">
        <v>3469</v>
      </c>
      <c r="E1198" s="52" t="s">
        <v>3468</v>
      </c>
      <c r="F1198" s="53" t="s">
        <v>5550</v>
      </c>
      <c r="G1198" s="51" t="s">
        <v>4812</v>
      </c>
      <c r="H1198" s="54"/>
      <c r="I1198" s="55">
        <v>79</v>
      </c>
      <c r="K1198" s="51" t="s">
        <v>5544</v>
      </c>
    </row>
    <row r="1199" spans="1:11">
      <c r="A1199" s="51">
        <v>1169</v>
      </c>
      <c r="B1199" s="51" t="s">
        <v>5543</v>
      </c>
      <c r="C1199" s="51" t="s">
        <v>5544</v>
      </c>
      <c r="D1199" s="52" t="s">
        <v>3867</v>
      </c>
      <c r="E1199" s="52" t="s">
        <v>3866</v>
      </c>
      <c r="F1199" s="53" t="s">
        <v>5548</v>
      </c>
      <c r="G1199" s="51" t="s">
        <v>4812</v>
      </c>
      <c r="H1199" s="54"/>
      <c r="I1199" s="55">
        <v>26</v>
      </c>
      <c r="K1199" s="51" t="s">
        <v>5544</v>
      </c>
    </row>
    <row r="1200" spans="1:11">
      <c r="A1200" s="51">
        <v>1170</v>
      </c>
      <c r="B1200" s="51" t="s">
        <v>5543</v>
      </c>
      <c r="C1200" s="51" t="s">
        <v>5544</v>
      </c>
      <c r="D1200" s="52" t="s">
        <v>3839</v>
      </c>
      <c r="E1200" s="52" t="s">
        <v>3838</v>
      </c>
      <c r="F1200" s="53" t="s">
        <v>5547</v>
      </c>
      <c r="G1200" s="51" t="s">
        <v>4812</v>
      </c>
      <c r="H1200" s="54"/>
      <c r="I1200" s="55">
        <v>2083</v>
      </c>
      <c r="K1200" s="51" t="s">
        <v>5544</v>
      </c>
    </row>
    <row r="1201" spans="1:11">
      <c r="A1201" s="51">
        <v>1171</v>
      </c>
      <c r="B1201" s="51" t="s">
        <v>5543</v>
      </c>
      <c r="C1201" s="51" t="s">
        <v>5544</v>
      </c>
      <c r="D1201" s="52" t="s">
        <v>5551</v>
      </c>
      <c r="E1201" s="52" t="s">
        <v>5552</v>
      </c>
      <c r="F1201" s="53" t="s">
        <v>5553</v>
      </c>
      <c r="G1201" s="51" t="s">
        <v>4812</v>
      </c>
      <c r="H1201" s="54"/>
      <c r="I1201" s="55">
        <v>0</v>
      </c>
      <c r="K1201" s="51" t="s">
        <v>5544</v>
      </c>
    </row>
    <row r="1202" spans="1:11">
      <c r="A1202" s="51">
        <v>1172</v>
      </c>
      <c r="B1202" s="51" t="s">
        <v>5543</v>
      </c>
      <c r="C1202" s="51" t="s">
        <v>5544</v>
      </c>
      <c r="D1202" s="52" t="s">
        <v>5554</v>
      </c>
      <c r="E1202" s="52" t="s">
        <v>5555</v>
      </c>
      <c r="F1202" s="53" t="s">
        <v>5556</v>
      </c>
      <c r="G1202" s="51" t="s">
        <v>4812</v>
      </c>
      <c r="H1202" s="54"/>
      <c r="I1202" s="55">
        <v>0</v>
      </c>
      <c r="K1202" s="51" t="s">
        <v>5544</v>
      </c>
    </row>
    <row r="1203" spans="1:11">
      <c r="A1203" s="51">
        <v>1173</v>
      </c>
      <c r="B1203" s="51" t="s">
        <v>5543</v>
      </c>
      <c r="C1203" s="51" t="s">
        <v>5544</v>
      </c>
      <c r="D1203" s="52" t="s">
        <v>2505</v>
      </c>
      <c r="E1203" s="52" t="s">
        <v>2504</v>
      </c>
      <c r="F1203" s="53" t="s">
        <v>5432</v>
      </c>
      <c r="G1203" s="51" t="s">
        <v>4812</v>
      </c>
      <c r="H1203" s="54"/>
      <c r="I1203" s="55">
        <v>776</v>
      </c>
      <c r="K1203" s="51" t="s">
        <v>5544</v>
      </c>
    </row>
    <row r="1204" spans="1:11">
      <c r="A1204" s="51">
        <v>1174</v>
      </c>
      <c r="B1204" s="51" t="s">
        <v>5543</v>
      </c>
      <c r="C1204" s="51" t="s">
        <v>5544</v>
      </c>
      <c r="D1204" s="52" t="s">
        <v>2507</v>
      </c>
      <c r="E1204" s="52" t="s">
        <v>2506</v>
      </c>
      <c r="F1204" s="53" t="s">
        <v>5432</v>
      </c>
      <c r="G1204" s="51" t="s">
        <v>4812</v>
      </c>
      <c r="H1204" s="54"/>
      <c r="I1204" s="55">
        <v>215</v>
      </c>
      <c r="K1204" s="51" t="s">
        <v>5544</v>
      </c>
    </row>
    <row r="1205" spans="1:11">
      <c r="A1205" s="51">
        <v>1175</v>
      </c>
      <c r="B1205" s="51" t="s">
        <v>5543</v>
      </c>
      <c r="C1205" s="51" t="s">
        <v>5544</v>
      </c>
      <c r="D1205" s="52" t="s">
        <v>3062</v>
      </c>
      <c r="E1205" s="52" t="s">
        <v>3061</v>
      </c>
      <c r="F1205" s="53" t="s">
        <v>5557</v>
      </c>
      <c r="G1205" s="51" t="s">
        <v>4812</v>
      </c>
      <c r="H1205" s="54"/>
      <c r="I1205" s="55">
        <v>133</v>
      </c>
      <c r="K1205" s="51" t="s">
        <v>5544</v>
      </c>
    </row>
    <row r="1206" spans="1:11">
      <c r="A1206" s="51">
        <v>1176</v>
      </c>
      <c r="B1206" s="51" t="s">
        <v>5543</v>
      </c>
      <c r="C1206" s="51" t="s">
        <v>5544</v>
      </c>
      <c r="D1206" s="52" t="s">
        <v>3064</v>
      </c>
      <c r="E1206" s="52" t="s">
        <v>3063</v>
      </c>
      <c r="F1206" s="53" t="s">
        <v>5557</v>
      </c>
      <c r="G1206" s="51" t="s">
        <v>4812</v>
      </c>
      <c r="H1206" s="54"/>
      <c r="I1206" s="55">
        <v>182</v>
      </c>
      <c r="K1206" s="51" t="s">
        <v>5544</v>
      </c>
    </row>
    <row r="1207" spans="1:11">
      <c r="A1207" s="51">
        <v>1177</v>
      </c>
      <c r="B1207" s="51" t="s">
        <v>5543</v>
      </c>
      <c r="C1207" s="51" t="s">
        <v>5544</v>
      </c>
      <c r="D1207" s="52" t="s">
        <v>3066</v>
      </c>
      <c r="E1207" s="52" t="s">
        <v>3065</v>
      </c>
      <c r="F1207" s="53" t="s">
        <v>5557</v>
      </c>
      <c r="G1207" s="51" t="s">
        <v>4812</v>
      </c>
      <c r="H1207" s="54"/>
      <c r="I1207" s="55">
        <v>867</v>
      </c>
      <c r="K1207" s="51" t="s">
        <v>5544</v>
      </c>
    </row>
    <row r="1208" spans="1:11">
      <c r="A1208" s="51">
        <v>1178</v>
      </c>
      <c r="B1208" s="51" t="s">
        <v>5543</v>
      </c>
      <c r="C1208" s="51" t="s">
        <v>5544</v>
      </c>
      <c r="D1208" s="52" t="s">
        <v>3068</v>
      </c>
      <c r="E1208" s="52" t="s">
        <v>3067</v>
      </c>
      <c r="F1208" s="53" t="s">
        <v>5557</v>
      </c>
      <c r="G1208" s="51" t="s">
        <v>4812</v>
      </c>
      <c r="H1208" s="54"/>
      <c r="I1208" s="55">
        <v>223</v>
      </c>
      <c r="K1208" s="51" t="s">
        <v>5544</v>
      </c>
    </row>
    <row r="1209" spans="1:11">
      <c r="A1209" s="51">
        <v>1179</v>
      </c>
      <c r="B1209" s="51" t="s">
        <v>5543</v>
      </c>
      <c r="C1209" s="51" t="s">
        <v>5544</v>
      </c>
      <c r="D1209" s="52" t="s">
        <v>3132</v>
      </c>
      <c r="E1209" s="52" t="s">
        <v>3131</v>
      </c>
      <c r="F1209" s="53" t="s">
        <v>5558</v>
      </c>
      <c r="G1209" s="51" t="s">
        <v>4812</v>
      </c>
      <c r="H1209" s="54"/>
      <c r="I1209" s="55">
        <v>15</v>
      </c>
      <c r="K1209" s="51" t="s">
        <v>5544</v>
      </c>
    </row>
    <row r="1210" spans="1:11">
      <c r="A1210" s="51">
        <v>1180</v>
      </c>
      <c r="B1210" s="51" t="s">
        <v>5543</v>
      </c>
      <c r="C1210" s="51" t="s">
        <v>5544</v>
      </c>
      <c r="D1210" s="52" t="s">
        <v>3138</v>
      </c>
      <c r="E1210" s="52" t="s">
        <v>3137</v>
      </c>
      <c r="F1210" s="53" t="s">
        <v>5559</v>
      </c>
      <c r="G1210" s="51" t="s">
        <v>4812</v>
      </c>
      <c r="H1210" s="54"/>
      <c r="I1210" s="55">
        <v>45</v>
      </c>
      <c r="K1210" s="51" t="s">
        <v>5544</v>
      </c>
    </row>
    <row r="1211" spans="1:11">
      <c r="A1211" s="51">
        <v>1181</v>
      </c>
      <c r="B1211" s="51" t="s">
        <v>5543</v>
      </c>
      <c r="C1211" s="51" t="s">
        <v>5544</v>
      </c>
      <c r="D1211" s="52" t="s">
        <v>3172</v>
      </c>
      <c r="E1211" s="52" t="s">
        <v>3171</v>
      </c>
      <c r="F1211" s="53" t="s">
        <v>5560</v>
      </c>
      <c r="G1211" s="51" t="s">
        <v>4812</v>
      </c>
      <c r="H1211" s="54"/>
      <c r="I1211" s="55">
        <v>57</v>
      </c>
      <c r="K1211" s="51" t="s">
        <v>5544</v>
      </c>
    </row>
    <row r="1212" spans="1:11">
      <c r="A1212" s="51">
        <v>1182</v>
      </c>
      <c r="B1212" s="51" t="s">
        <v>5543</v>
      </c>
      <c r="C1212" s="51" t="s">
        <v>5544</v>
      </c>
      <c r="D1212" s="52" t="s">
        <v>3174</v>
      </c>
      <c r="E1212" s="52" t="s">
        <v>3173</v>
      </c>
      <c r="F1212" s="53" t="s">
        <v>5560</v>
      </c>
      <c r="G1212" s="51" t="s">
        <v>4812</v>
      </c>
      <c r="H1212" s="54"/>
      <c r="I1212" s="55">
        <v>97</v>
      </c>
      <c r="K1212" s="51" t="s">
        <v>5544</v>
      </c>
    </row>
    <row r="1213" spans="1:11">
      <c r="A1213" s="51">
        <v>1183</v>
      </c>
      <c r="B1213" s="51" t="s">
        <v>5543</v>
      </c>
      <c r="C1213" s="51" t="s">
        <v>5544</v>
      </c>
      <c r="D1213" s="52" t="s">
        <v>3447</v>
      </c>
      <c r="E1213" s="52" t="s">
        <v>3446</v>
      </c>
      <c r="F1213" s="53" t="s">
        <v>5561</v>
      </c>
      <c r="G1213" s="51" t="s">
        <v>4812</v>
      </c>
      <c r="H1213" s="54"/>
      <c r="I1213" s="55">
        <v>5096</v>
      </c>
      <c r="K1213" s="51" t="s">
        <v>5544</v>
      </c>
    </row>
    <row r="1214" spans="1:11">
      <c r="A1214" s="51">
        <v>1184</v>
      </c>
      <c r="B1214" s="51" t="s">
        <v>5543</v>
      </c>
      <c r="C1214" s="51" t="s">
        <v>5544</v>
      </c>
      <c r="D1214" s="52" t="s">
        <v>4047</v>
      </c>
      <c r="E1214" s="52" t="s">
        <v>4044</v>
      </c>
      <c r="F1214" s="53" t="s">
        <v>5562</v>
      </c>
      <c r="G1214" s="51" t="s">
        <v>4812</v>
      </c>
      <c r="H1214" s="54"/>
      <c r="I1214" s="55">
        <v>43</v>
      </c>
      <c r="K1214" s="51" t="s">
        <v>5544</v>
      </c>
    </row>
    <row r="1215" spans="1:11">
      <c r="A1215" s="51">
        <v>1185</v>
      </c>
      <c r="B1215" s="51" t="s">
        <v>5543</v>
      </c>
      <c r="C1215" s="51" t="s">
        <v>5544</v>
      </c>
      <c r="D1215" s="52" t="s">
        <v>385</v>
      </c>
      <c r="E1215" s="52" t="s">
        <v>384</v>
      </c>
      <c r="F1215" s="53" t="s">
        <v>5563</v>
      </c>
      <c r="G1215" s="51" t="s">
        <v>4812</v>
      </c>
      <c r="H1215" s="54"/>
      <c r="I1215" s="55">
        <v>96</v>
      </c>
      <c r="K1215" s="51" t="s">
        <v>5544</v>
      </c>
    </row>
    <row r="1216" spans="1:11">
      <c r="A1216" s="51">
        <v>1186</v>
      </c>
      <c r="B1216" s="51" t="s">
        <v>5543</v>
      </c>
      <c r="C1216" s="51" t="s">
        <v>5544</v>
      </c>
      <c r="D1216" s="52" t="s">
        <v>393</v>
      </c>
      <c r="E1216" s="52" t="s">
        <v>392</v>
      </c>
      <c r="F1216" s="53" t="s">
        <v>5564</v>
      </c>
      <c r="G1216" s="51" t="s">
        <v>4812</v>
      </c>
      <c r="H1216" s="54"/>
      <c r="I1216" s="55">
        <v>65</v>
      </c>
      <c r="K1216" s="51" t="s">
        <v>5544</v>
      </c>
    </row>
    <row r="1217" spans="1:11">
      <c r="A1217" s="51">
        <v>1187</v>
      </c>
      <c r="B1217" s="51" t="s">
        <v>5543</v>
      </c>
      <c r="C1217" s="51" t="s">
        <v>5544</v>
      </c>
      <c r="D1217" s="52" t="s">
        <v>403</v>
      </c>
      <c r="E1217" s="52" t="s">
        <v>402</v>
      </c>
      <c r="F1217" s="53" t="s">
        <v>5565</v>
      </c>
      <c r="G1217" s="51" t="s">
        <v>4812</v>
      </c>
      <c r="H1217" s="54"/>
      <c r="I1217" s="55">
        <v>170</v>
      </c>
      <c r="K1217" s="51" t="s">
        <v>5544</v>
      </c>
    </row>
    <row r="1218" spans="1:11">
      <c r="A1218" s="51">
        <v>1188</v>
      </c>
      <c r="B1218" s="51" t="s">
        <v>5543</v>
      </c>
      <c r="C1218" s="51" t="s">
        <v>5544</v>
      </c>
      <c r="D1218" s="52" t="s">
        <v>409</v>
      </c>
      <c r="E1218" s="52" t="s">
        <v>408</v>
      </c>
      <c r="F1218" s="53" t="s">
        <v>5566</v>
      </c>
      <c r="G1218" s="51" t="s">
        <v>4812</v>
      </c>
      <c r="H1218" s="54"/>
      <c r="I1218" s="55">
        <v>68</v>
      </c>
      <c r="K1218" s="51" t="s">
        <v>5544</v>
      </c>
    </row>
    <row r="1219" spans="1:11">
      <c r="A1219" s="51">
        <v>1189</v>
      </c>
      <c r="B1219" s="51" t="s">
        <v>5543</v>
      </c>
      <c r="C1219" s="51" t="s">
        <v>5544</v>
      </c>
      <c r="D1219" s="52" t="s">
        <v>208</v>
      </c>
      <c r="E1219" s="52" t="s">
        <v>207</v>
      </c>
      <c r="F1219" s="53" t="s">
        <v>5567</v>
      </c>
      <c r="G1219" s="51" t="s">
        <v>4812</v>
      </c>
      <c r="H1219" s="54"/>
      <c r="I1219" s="55">
        <v>71</v>
      </c>
      <c r="K1219" s="51" t="s">
        <v>5544</v>
      </c>
    </row>
    <row r="1220" spans="1:11">
      <c r="A1220" s="51">
        <v>1190</v>
      </c>
      <c r="B1220" s="51" t="s">
        <v>5543</v>
      </c>
      <c r="C1220" s="51" t="s">
        <v>5544</v>
      </c>
      <c r="D1220" s="52" t="s">
        <v>216</v>
      </c>
      <c r="E1220" s="52" t="s">
        <v>215</v>
      </c>
      <c r="F1220" s="53" t="s">
        <v>5568</v>
      </c>
      <c r="G1220" s="51" t="s">
        <v>4812</v>
      </c>
      <c r="H1220" s="54"/>
      <c r="I1220" s="55">
        <v>49</v>
      </c>
      <c r="K1220" s="51" t="s">
        <v>5544</v>
      </c>
    </row>
    <row r="1221" spans="1:11">
      <c r="A1221" s="51">
        <v>1191</v>
      </c>
      <c r="B1221" s="51" t="s">
        <v>5543</v>
      </c>
      <c r="C1221" s="51" t="s">
        <v>5544</v>
      </c>
      <c r="D1221" s="52" t="s">
        <v>3005</v>
      </c>
      <c r="E1221" s="52" t="s">
        <v>3004</v>
      </c>
      <c r="F1221" s="53" t="s">
        <v>5569</v>
      </c>
      <c r="G1221" s="51" t="s">
        <v>4812</v>
      </c>
      <c r="H1221" s="54"/>
      <c r="I1221" s="55">
        <v>60</v>
      </c>
      <c r="K1221" s="51" t="s">
        <v>5544</v>
      </c>
    </row>
    <row r="1222" spans="1:11">
      <c r="A1222" s="51">
        <v>1192</v>
      </c>
      <c r="B1222" s="51" t="s">
        <v>5543</v>
      </c>
      <c r="C1222" s="51" t="s">
        <v>5544</v>
      </c>
      <c r="D1222" s="52" t="s">
        <v>3025</v>
      </c>
      <c r="E1222" s="52" t="s">
        <v>3024</v>
      </c>
      <c r="F1222" s="53" t="s">
        <v>5570</v>
      </c>
      <c r="G1222" s="51" t="s">
        <v>4812</v>
      </c>
      <c r="H1222" s="54"/>
      <c r="I1222" s="55">
        <v>54</v>
      </c>
      <c r="K1222" s="51" t="s">
        <v>5544</v>
      </c>
    </row>
    <row r="1223" spans="1:11">
      <c r="A1223" s="51">
        <v>1193</v>
      </c>
      <c r="B1223" s="51" t="s">
        <v>5571</v>
      </c>
      <c r="C1223" s="51" t="s">
        <v>5572</v>
      </c>
      <c r="D1223" s="52" t="s">
        <v>3080</v>
      </c>
      <c r="E1223" s="52" t="s">
        <v>3079</v>
      </c>
      <c r="F1223" s="53" t="s">
        <v>5545</v>
      </c>
      <c r="G1223" s="51" t="s">
        <v>4812</v>
      </c>
      <c r="H1223" s="54"/>
      <c r="I1223" s="55">
        <v>64</v>
      </c>
      <c r="K1223" s="51" t="s">
        <v>5572</v>
      </c>
    </row>
    <row r="1224" spans="1:11">
      <c r="A1224" s="51">
        <v>1194</v>
      </c>
      <c r="B1224" s="51" t="s">
        <v>5571</v>
      </c>
      <c r="C1224" s="51" t="s">
        <v>5572</v>
      </c>
      <c r="D1224" s="52" t="s">
        <v>3833</v>
      </c>
      <c r="E1224" s="52" t="s">
        <v>3832</v>
      </c>
      <c r="F1224" s="53" t="s">
        <v>5547</v>
      </c>
      <c r="G1224" s="51" t="s">
        <v>4812</v>
      </c>
      <c r="H1224" s="54"/>
      <c r="I1224" s="55">
        <v>3102</v>
      </c>
      <c r="K1224" s="51" t="s">
        <v>5572</v>
      </c>
    </row>
    <row r="1225" spans="1:11">
      <c r="A1225" s="51">
        <v>1195</v>
      </c>
      <c r="B1225" s="51" t="s">
        <v>5571</v>
      </c>
      <c r="C1225" s="51" t="s">
        <v>5572</v>
      </c>
      <c r="D1225" s="52" t="s">
        <v>3871</v>
      </c>
      <c r="E1225" s="52" t="s">
        <v>3870</v>
      </c>
      <c r="F1225" s="53" t="s">
        <v>5548</v>
      </c>
      <c r="G1225" s="51" t="s">
        <v>4812</v>
      </c>
      <c r="H1225" s="54"/>
      <c r="I1225" s="55">
        <v>6</v>
      </c>
      <c r="K1225" s="51" t="s">
        <v>5572</v>
      </c>
    </row>
    <row r="1226" spans="1:11">
      <c r="A1226" s="51">
        <v>1196</v>
      </c>
      <c r="B1226" s="51" t="s">
        <v>5571</v>
      </c>
      <c r="C1226" s="51" t="s">
        <v>5572</v>
      </c>
      <c r="D1226" s="52" t="s">
        <v>3455</v>
      </c>
      <c r="E1226" s="52" t="s">
        <v>3454</v>
      </c>
      <c r="F1226" s="53" t="s">
        <v>5549</v>
      </c>
      <c r="G1226" s="51" t="s">
        <v>4812</v>
      </c>
      <c r="H1226" s="54"/>
      <c r="I1226" s="55">
        <v>54</v>
      </c>
      <c r="K1226" s="51" t="s">
        <v>5572</v>
      </c>
    </row>
    <row r="1227" spans="1:11">
      <c r="A1227" s="51">
        <v>1197</v>
      </c>
      <c r="B1227" s="51" t="s">
        <v>5571</v>
      </c>
      <c r="C1227" s="51" t="s">
        <v>5572</v>
      </c>
      <c r="D1227" s="52" t="s">
        <v>3471</v>
      </c>
      <c r="E1227" s="52" t="s">
        <v>3470</v>
      </c>
      <c r="F1227" s="53" t="s">
        <v>5550</v>
      </c>
      <c r="G1227" s="51" t="s">
        <v>4812</v>
      </c>
      <c r="H1227" s="54"/>
      <c r="I1227" s="55">
        <v>9</v>
      </c>
      <c r="K1227" s="51" t="s">
        <v>5572</v>
      </c>
    </row>
    <row r="1228" spans="1:11">
      <c r="A1228" s="51">
        <v>1198</v>
      </c>
      <c r="B1228" s="51" t="s">
        <v>5571</v>
      </c>
      <c r="C1228" s="51" t="s">
        <v>5572</v>
      </c>
      <c r="D1228" s="52" t="s">
        <v>3867</v>
      </c>
      <c r="E1228" s="52" t="s">
        <v>5573</v>
      </c>
      <c r="F1228" s="53" t="s">
        <v>5548</v>
      </c>
      <c r="G1228" s="51" t="s">
        <v>4812</v>
      </c>
      <c r="H1228" s="54"/>
      <c r="I1228" s="55">
        <v>100</v>
      </c>
      <c r="K1228" s="51" t="s">
        <v>5572</v>
      </c>
    </row>
    <row r="1229" spans="1:11">
      <c r="A1229" s="51">
        <v>1199</v>
      </c>
      <c r="B1229" s="51" t="s">
        <v>5571</v>
      </c>
      <c r="C1229" s="51" t="s">
        <v>5572</v>
      </c>
      <c r="D1229" s="52" t="s">
        <v>5574</v>
      </c>
      <c r="E1229" s="52" t="s">
        <v>5575</v>
      </c>
      <c r="F1229" s="53" t="s">
        <v>5553</v>
      </c>
      <c r="G1229" s="51" t="s">
        <v>4812</v>
      </c>
      <c r="H1229" s="54"/>
      <c r="I1229" s="55">
        <v>0</v>
      </c>
      <c r="K1229" s="51" t="s">
        <v>5572</v>
      </c>
    </row>
    <row r="1230" spans="1:11">
      <c r="A1230" s="51">
        <v>1200</v>
      </c>
      <c r="B1230" s="51" t="s">
        <v>5571</v>
      </c>
      <c r="C1230" s="51" t="s">
        <v>5572</v>
      </c>
      <c r="D1230" s="52" t="s">
        <v>5576</v>
      </c>
      <c r="E1230" s="52" t="s">
        <v>5577</v>
      </c>
      <c r="F1230" s="53" t="s">
        <v>5556</v>
      </c>
      <c r="G1230" s="51" t="s">
        <v>4812</v>
      </c>
      <c r="H1230" s="54"/>
      <c r="I1230" s="55">
        <v>0</v>
      </c>
      <c r="K1230" s="51" t="s">
        <v>5572</v>
      </c>
    </row>
    <row r="1231" spans="1:11">
      <c r="A1231" s="51">
        <v>1201</v>
      </c>
      <c r="B1231" s="51" t="s">
        <v>5571</v>
      </c>
      <c r="C1231" s="51" t="s">
        <v>5572</v>
      </c>
      <c r="D1231" s="52" t="s">
        <v>2509</v>
      </c>
      <c r="E1231" s="52" t="s">
        <v>2508</v>
      </c>
      <c r="F1231" s="53" t="s">
        <v>5432</v>
      </c>
      <c r="G1231" s="51" t="s">
        <v>4812</v>
      </c>
      <c r="H1231" s="54"/>
      <c r="I1231" s="55">
        <v>319</v>
      </c>
      <c r="K1231" s="51" t="s">
        <v>5572</v>
      </c>
    </row>
    <row r="1232" spans="1:11">
      <c r="A1232" s="51">
        <v>1202</v>
      </c>
      <c r="B1232" s="51" t="s">
        <v>5571</v>
      </c>
      <c r="C1232" s="51" t="s">
        <v>5572</v>
      </c>
      <c r="D1232" s="52" t="s">
        <v>3060</v>
      </c>
      <c r="E1232" s="52" t="s">
        <v>3059</v>
      </c>
      <c r="F1232" s="53" t="s">
        <v>5557</v>
      </c>
      <c r="G1232" s="51" t="s">
        <v>4812</v>
      </c>
      <c r="H1232" s="54"/>
      <c r="I1232" s="55">
        <v>53</v>
      </c>
      <c r="K1232" s="51" t="s">
        <v>5572</v>
      </c>
    </row>
    <row r="1233" spans="1:11">
      <c r="A1233" s="51">
        <v>1203</v>
      </c>
      <c r="B1233" s="51" t="s">
        <v>5571</v>
      </c>
      <c r="C1233" s="51" t="s">
        <v>5572</v>
      </c>
      <c r="D1233" s="52" t="s">
        <v>3074</v>
      </c>
      <c r="E1233" s="52" t="s">
        <v>3073</v>
      </c>
      <c r="F1233" s="53" t="s">
        <v>5578</v>
      </c>
      <c r="G1233" s="51" t="s">
        <v>4812</v>
      </c>
      <c r="H1233" s="54"/>
      <c r="I1233" s="55">
        <v>48</v>
      </c>
      <c r="K1233" s="51" t="s">
        <v>5572</v>
      </c>
    </row>
    <row r="1234" spans="1:11">
      <c r="A1234" s="51">
        <v>1204</v>
      </c>
      <c r="B1234" s="51" t="s">
        <v>5571</v>
      </c>
      <c r="C1234" s="51" t="s">
        <v>5572</v>
      </c>
      <c r="D1234" s="52" t="s">
        <v>3070</v>
      </c>
      <c r="E1234" s="52" t="s">
        <v>3069</v>
      </c>
      <c r="F1234" s="53" t="s">
        <v>5557</v>
      </c>
      <c r="G1234" s="51" t="s">
        <v>4812</v>
      </c>
      <c r="H1234" s="54"/>
      <c r="I1234" s="55">
        <v>64</v>
      </c>
      <c r="K1234" s="51" t="s">
        <v>5572</v>
      </c>
    </row>
    <row r="1235" spans="1:11">
      <c r="A1235" s="51">
        <v>1205</v>
      </c>
      <c r="B1235" s="51" t="s">
        <v>5571</v>
      </c>
      <c r="C1235" s="51" t="s">
        <v>5572</v>
      </c>
      <c r="D1235" s="52" t="s">
        <v>3136</v>
      </c>
      <c r="E1235" s="52" t="s">
        <v>3135</v>
      </c>
      <c r="F1235" s="53" t="s">
        <v>5559</v>
      </c>
      <c r="G1235" s="51" t="s">
        <v>4812</v>
      </c>
      <c r="H1235" s="54"/>
      <c r="I1235" s="55">
        <v>43</v>
      </c>
      <c r="K1235" s="51" t="s">
        <v>5572</v>
      </c>
    </row>
    <row r="1236" spans="1:11">
      <c r="A1236" s="51">
        <v>1206</v>
      </c>
      <c r="B1236" s="51" t="s">
        <v>5571</v>
      </c>
      <c r="C1236" s="51" t="s">
        <v>5572</v>
      </c>
      <c r="D1236" s="52" t="s">
        <v>3130</v>
      </c>
      <c r="E1236" s="52" t="s">
        <v>3129</v>
      </c>
      <c r="F1236" s="53" t="s">
        <v>5558</v>
      </c>
      <c r="G1236" s="51" t="s">
        <v>4812</v>
      </c>
      <c r="H1236" s="54"/>
      <c r="I1236" s="55">
        <v>18</v>
      </c>
      <c r="K1236" s="51" t="s">
        <v>5572</v>
      </c>
    </row>
    <row r="1237" spans="1:11">
      <c r="A1237" s="51">
        <v>1207</v>
      </c>
      <c r="B1237" s="51" t="s">
        <v>5571</v>
      </c>
      <c r="C1237" s="51" t="s">
        <v>5572</v>
      </c>
      <c r="D1237" s="52" t="s">
        <v>3168</v>
      </c>
      <c r="E1237" s="52" t="s">
        <v>3167</v>
      </c>
      <c r="F1237" s="53" t="s">
        <v>5560</v>
      </c>
      <c r="G1237" s="51" t="s">
        <v>4812</v>
      </c>
      <c r="H1237" s="54"/>
      <c r="I1237" s="55">
        <v>25</v>
      </c>
      <c r="K1237" s="51" t="s">
        <v>5572</v>
      </c>
    </row>
    <row r="1238" spans="1:11">
      <c r="A1238" s="51">
        <v>1208</v>
      </c>
      <c r="B1238" s="51" t="s">
        <v>5571</v>
      </c>
      <c r="C1238" s="51" t="s">
        <v>5572</v>
      </c>
      <c r="D1238" s="52" t="s">
        <v>3170</v>
      </c>
      <c r="E1238" s="52" t="s">
        <v>3169</v>
      </c>
      <c r="F1238" s="53" t="s">
        <v>5560</v>
      </c>
      <c r="G1238" s="51" t="s">
        <v>4812</v>
      </c>
      <c r="H1238" s="54"/>
      <c r="I1238" s="55">
        <v>45</v>
      </c>
      <c r="K1238" s="51" t="s">
        <v>5572</v>
      </c>
    </row>
    <row r="1239" spans="1:11">
      <c r="A1239" s="51">
        <v>1209</v>
      </c>
      <c r="B1239" s="51" t="s">
        <v>5571</v>
      </c>
      <c r="C1239" s="51" t="s">
        <v>5572</v>
      </c>
      <c r="D1239" s="52" t="s">
        <v>3447</v>
      </c>
      <c r="E1239" s="52" t="s">
        <v>3446</v>
      </c>
      <c r="F1239" s="53" t="s">
        <v>5561</v>
      </c>
      <c r="G1239" s="51" t="s">
        <v>4812</v>
      </c>
      <c r="H1239" s="54"/>
      <c r="I1239" s="55">
        <v>102</v>
      </c>
      <c r="K1239" s="51" t="s">
        <v>5572</v>
      </c>
    </row>
    <row r="1240" spans="1:11">
      <c r="A1240" s="51">
        <v>1210</v>
      </c>
      <c r="B1240" s="51" t="s">
        <v>5571</v>
      </c>
      <c r="C1240" s="51" t="s">
        <v>5572</v>
      </c>
      <c r="D1240" s="52" t="s">
        <v>391</v>
      </c>
      <c r="E1240" s="52" t="s">
        <v>390</v>
      </c>
      <c r="F1240" s="53" t="s">
        <v>5564</v>
      </c>
      <c r="G1240" s="51" t="s">
        <v>4812</v>
      </c>
      <c r="H1240" s="54"/>
      <c r="I1240" s="55">
        <v>155</v>
      </c>
      <c r="K1240" s="51" t="s">
        <v>5572</v>
      </c>
    </row>
    <row r="1241" spans="1:11">
      <c r="A1241" s="51">
        <v>1211</v>
      </c>
      <c r="B1241" s="51" t="s">
        <v>5571</v>
      </c>
      <c r="C1241" s="51" t="s">
        <v>5572</v>
      </c>
      <c r="D1241" s="52" t="s">
        <v>383</v>
      </c>
      <c r="E1241" s="52" t="s">
        <v>382</v>
      </c>
      <c r="F1241" s="53" t="s">
        <v>5563</v>
      </c>
      <c r="G1241" s="51" t="s">
        <v>4812</v>
      </c>
      <c r="H1241" s="54"/>
      <c r="I1241" s="55">
        <v>149</v>
      </c>
      <c r="K1241" s="51" t="s">
        <v>5572</v>
      </c>
    </row>
    <row r="1242" spans="1:11">
      <c r="A1242" s="51">
        <v>1212</v>
      </c>
      <c r="B1242" s="51" t="s">
        <v>5571</v>
      </c>
      <c r="C1242" s="51" t="s">
        <v>5572</v>
      </c>
      <c r="D1242" s="52" t="s">
        <v>407</v>
      </c>
      <c r="E1242" s="52" t="s">
        <v>406</v>
      </c>
      <c r="F1242" s="53" t="s">
        <v>5566</v>
      </c>
      <c r="G1242" s="51" t="s">
        <v>4812</v>
      </c>
      <c r="H1242" s="54"/>
      <c r="I1242" s="55">
        <v>39</v>
      </c>
      <c r="K1242" s="51" t="s">
        <v>5572</v>
      </c>
    </row>
    <row r="1243" spans="1:11">
      <c r="A1243" s="51">
        <v>1213</v>
      </c>
      <c r="B1243" s="51" t="s">
        <v>5571</v>
      </c>
      <c r="C1243" s="51" t="s">
        <v>5572</v>
      </c>
      <c r="D1243" s="52" t="s">
        <v>401</v>
      </c>
      <c r="E1243" s="52" t="s">
        <v>400</v>
      </c>
      <c r="F1243" s="53" t="s">
        <v>5565</v>
      </c>
      <c r="G1243" s="51" t="s">
        <v>4812</v>
      </c>
      <c r="H1243" s="54"/>
      <c r="I1243" s="55">
        <v>23</v>
      </c>
      <c r="K1243" s="51" t="s">
        <v>5572</v>
      </c>
    </row>
    <row r="1244" spans="1:11">
      <c r="A1244" s="51">
        <v>1214</v>
      </c>
      <c r="B1244" s="51" t="s">
        <v>5571</v>
      </c>
      <c r="C1244" s="51" t="s">
        <v>5572</v>
      </c>
      <c r="D1244" s="52" t="s">
        <v>3144</v>
      </c>
      <c r="E1244" s="52" t="s">
        <v>3143</v>
      </c>
      <c r="F1244" s="53" t="s">
        <v>5569</v>
      </c>
      <c r="G1244" s="51" t="s">
        <v>4812</v>
      </c>
      <c r="H1244" s="54"/>
      <c r="I1244" s="55">
        <v>11</v>
      </c>
      <c r="K1244" s="51" t="s">
        <v>5572</v>
      </c>
    </row>
    <row r="1245" spans="1:11">
      <c r="A1245" s="51">
        <v>1215</v>
      </c>
      <c r="B1245" s="51" t="s">
        <v>5571</v>
      </c>
      <c r="C1245" s="51" t="s">
        <v>5572</v>
      </c>
      <c r="D1245" s="52" t="s">
        <v>3146</v>
      </c>
      <c r="E1245" s="52" t="s">
        <v>3145</v>
      </c>
      <c r="F1245" s="53" t="s">
        <v>5579</v>
      </c>
      <c r="G1245" s="51" t="s">
        <v>4812</v>
      </c>
      <c r="H1245" s="54"/>
      <c r="I1245" s="55">
        <v>65</v>
      </c>
      <c r="K1245" s="51" t="s">
        <v>5572</v>
      </c>
    </row>
    <row r="1246" spans="1:11">
      <c r="A1246" s="51">
        <v>1216</v>
      </c>
      <c r="B1246" s="51" t="s">
        <v>5571</v>
      </c>
      <c r="C1246" s="51" t="s">
        <v>5572</v>
      </c>
      <c r="D1246" s="52" t="s">
        <v>624</v>
      </c>
      <c r="E1246" s="52" t="s">
        <v>623</v>
      </c>
      <c r="F1246" s="53" t="s">
        <v>5580</v>
      </c>
      <c r="G1246" s="51" t="s">
        <v>4812</v>
      </c>
      <c r="H1246" s="54"/>
      <c r="I1246" s="55">
        <v>6</v>
      </c>
      <c r="K1246" s="51" t="s">
        <v>5572</v>
      </c>
    </row>
    <row r="1247" spans="1:11">
      <c r="A1247" s="51">
        <v>1217</v>
      </c>
      <c r="B1247" s="51" t="s">
        <v>5571</v>
      </c>
      <c r="C1247" s="51" t="s">
        <v>5572</v>
      </c>
      <c r="D1247" s="52" t="s">
        <v>3023</v>
      </c>
      <c r="E1247" s="52" t="s">
        <v>3022</v>
      </c>
      <c r="F1247" s="53" t="s">
        <v>5581</v>
      </c>
      <c r="G1247" s="51" t="s">
        <v>4812</v>
      </c>
      <c r="H1247" s="54"/>
      <c r="I1247" s="55">
        <v>39</v>
      </c>
      <c r="K1247" s="51" t="s">
        <v>5572</v>
      </c>
    </row>
    <row r="1248" spans="1:11">
      <c r="A1248" s="51">
        <v>1218</v>
      </c>
      <c r="B1248" s="51" t="s">
        <v>5571</v>
      </c>
      <c r="C1248" s="51" t="s">
        <v>5572</v>
      </c>
      <c r="D1248" s="52" t="s">
        <v>3007</v>
      </c>
      <c r="E1248" s="52" t="s">
        <v>3006</v>
      </c>
      <c r="F1248" s="53" t="s">
        <v>5569</v>
      </c>
      <c r="G1248" s="51" t="s">
        <v>4812</v>
      </c>
      <c r="H1248" s="54"/>
      <c r="I1248" s="55">
        <v>67</v>
      </c>
      <c r="K1248" s="51" t="s">
        <v>5572</v>
      </c>
    </row>
    <row r="1249" spans="1:11">
      <c r="A1249" s="51">
        <v>1219</v>
      </c>
      <c r="B1249" s="51" t="s">
        <v>5571</v>
      </c>
      <c r="C1249" s="51" t="s">
        <v>5572</v>
      </c>
      <c r="D1249" s="52" t="s">
        <v>210</v>
      </c>
      <c r="E1249" s="52" t="s">
        <v>209</v>
      </c>
      <c r="F1249" s="53" t="s">
        <v>5567</v>
      </c>
      <c r="G1249" s="51" t="s">
        <v>4812</v>
      </c>
      <c r="H1249" s="54"/>
      <c r="I1249" s="55">
        <v>35</v>
      </c>
      <c r="K1249" s="51" t="s">
        <v>5572</v>
      </c>
    </row>
    <row r="1250" spans="1:11">
      <c r="A1250" s="51">
        <v>1220</v>
      </c>
      <c r="B1250" s="51" t="s">
        <v>5571</v>
      </c>
      <c r="C1250" s="51" t="s">
        <v>5572</v>
      </c>
      <c r="D1250" s="52" t="s">
        <v>218</v>
      </c>
      <c r="E1250" s="52" t="s">
        <v>217</v>
      </c>
      <c r="F1250" s="53" t="s">
        <v>5568</v>
      </c>
      <c r="G1250" s="51" t="s">
        <v>4812</v>
      </c>
      <c r="H1250" s="54"/>
      <c r="I1250" s="55">
        <v>69</v>
      </c>
      <c r="K1250" s="51" t="s">
        <v>5572</v>
      </c>
    </row>
    <row r="1251" spans="1:11">
      <c r="A1251" s="51">
        <v>1221</v>
      </c>
      <c r="B1251" s="51" t="s">
        <v>5582</v>
      </c>
      <c r="C1251" s="51" t="s">
        <v>5583</v>
      </c>
      <c r="D1251" s="52" t="s">
        <v>2989</v>
      </c>
      <c r="E1251" s="52" t="s">
        <v>2988</v>
      </c>
      <c r="F1251" s="53" t="s">
        <v>5584</v>
      </c>
      <c r="G1251" s="51" t="s">
        <v>4812</v>
      </c>
      <c r="H1251" s="54"/>
      <c r="I1251" s="55">
        <v>30</v>
      </c>
      <c r="K1251" s="51" t="s">
        <v>5583</v>
      </c>
    </row>
    <row r="1252" spans="1:11">
      <c r="A1252" s="51">
        <v>1222</v>
      </c>
      <c r="B1252" s="51" t="s">
        <v>5582</v>
      </c>
      <c r="C1252" s="51" t="s">
        <v>5583</v>
      </c>
      <c r="D1252" s="52" t="s">
        <v>3296</v>
      </c>
      <c r="E1252" s="52" t="s">
        <v>3295</v>
      </c>
      <c r="F1252" s="53" t="s">
        <v>5585</v>
      </c>
      <c r="G1252" s="51" t="s">
        <v>4812</v>
      </c>
      <c r="H1252" s="54"/>
      <c r="I1252" s="55">
        <v>98</v>
      </c>
      <c r="K1252" s="51" t="s">
        <v>5583</v>
      </c>
    </row>
    <row r="1253" spans="1:11">
      <c r="A1253" s="51">
        <v>1223</v>
      </c>
      <c r="B1253" s="51" t="s">
        <v>5582</v>
      </c>
      <c r="C1253" s="51" t="s">
        <v>5583</v>
      </c>
      <c r="D1253" s="52" t="s">
        <v>2987</v>
      </c>
      <c r="E1253" s="52" t="s">
        <v>2986</v>
      </c>
      <c r="F1253" s="53" t="s">
        <v>5586</v>
      </c>
      <c r="G1253" s="51" t="s">
        <v>4812</v>
      </c>
      <c r="H1253" s="54"/>
      <c r="I1253" s="55">
        <v>21</v>
      </c>
      <c r="K1253" s="51" t="s">
        <v>5583</v>
      </c>
    </row>
    <row r="1254" spans="1:11">
      <c r="A1254" s="51">
        <v>1224</v>
      </c>
      <c r="B1254" s="51" t="s">
        <v>5582</v>
      </c>
      <c r="C1254" s="51" t="s">
        <v>5583</v>
      </c>
      <c r="D1254" s="52" t="s">
        <v>3304</v>
      </c>
      <c r="E1254" s="52" t="s">
        <v>3303</v>
      </c>
      <c r="F1254" s="53" t="s">
        <v>5587</v>
      </c>
      <c r="G1254" s="51" t="s">
        <v>4812</v>
      </c>
      <c r="H1254" s="54"/>
      <c r="I1254" s="55">
        <v>313</v>
      </c>
      <c r="K1254" s="51" t="s">
        <v>5583</v>
      </c>
    </row>
    <row r="1255" spans="1:11">
      <c r="A1255" s="51">
        <v>1225</v>
      </c>
      <c r="B1255" s="51" t="s">
        <v>5582</v>
      </c>
      <c r="C1255" s="51" t="s">
        <v>5583</v>
      </c>
      <c r="D1255" s="52" t="s">
        <v>4043</v>
      </c>
      <c r="E1255" s="52" t="s">
        <v>4042</v>
      </c>
      <c r="F1255" s="53" t="s">
        <v>5421</v>
      </c>
      <c r="G1255" s="51" t="s">
        <v>4812</v>
      </c>
      <c r="H1255" s="54"/>
      <c r="I1255" s="55">
        <v>1612</v>
      </c>
      <c r="K1255" s="51" t="s">
        <v>5583</v>
      </c>
    </row>
    <row r="1256" spans="1:11">
      <c r="A1256" s="51">
        <v>1226</v>
      </c>
      <c r="B1256" s="51" t="s">
        <v>5582</v>
      </c>
      <c r="C1256" s="51" t="s">
        <v>5583</v>
      </c>
      <c r="D1256" s="52" t="s">
        <v>603</v>
      </c>
      <c r="E1256" s="52" t="s">
        <v>602</v>
      </c>
      <c r="F1256" s="53" t="s">
        <v>5588</v>
      </c>
      <c r="G1256" s="51" t="s">
        <v>4812</v>
      </c>
      <c r="H1256" s="54"/>
      <c r="I1256" s="55">
        <v>83</v>
      </c>
      <c r="K1256" s="51" t="s">
        <v>5583</v>
      </c>
    </row>
    <row r="1257" spans="1:11">
      <c r="A1257" s="51">
        <v>1227</v>
      </c>
      <c r="B1257" s="51" t="s">
        <v>5582</v>
      </c>
      <c r="C1257" s="51" t="s">
        <v>5583</v>
      </c>
      <c r="D1257" s="52" t="s">
        <v>608</v>
      </c>
      <c r="E1257" s="52" t="s">
        <v>607</v>
      </c>
      <c r="F1257" s="53" t="s">
        <v>5588</v>
      </c>
      <c r="G1257" s="51" t="s">
        <v>4812</v>
      </c>
      <c r="H1257" s="54"/>
      <c r="I1257" s="55">
        <v>110</v>
      </c>
      <c r="K1257" s="51" t="s">
        <v>5583</v>
      </c>
    </row>
    <row r="1258" spans="1:11">
      <c r="A1258" s="51">
        <v>1228</v>
      </c>
      <c r="B1258" s="51" t="s">
        <v>5582</v>
      </c>
      <c r="C1258" s="51" t="s">
        <v>5583</v>
      </c>
      <c r="D1258" s="52" t="s">
        <v>612</v>
      </c>
      <c r="E1258" s="52" t="s">
        <v>611</v>
      </c>
      <c r="F1258" s="53" t="s">
        <v>5589</v>
      </c>
      <c r="G1258" s="51" t="s">
        <v>4812</v>
      </c>
      <c r="H1258" s="54"/>
      <c r="I1258" s="55">
        <v>208</v>
      </c>
      <c r="K1258" s="51" t="s">
        <v>5583</v>
      </c>
    </row>
    <row r="1259" spans="1:11">
      <c r="A1259" s="51">
        <v>1229</v>
      </c>
      <c r="B1259" s="51" t="s">
        <v>5582</v>
      </c>
      <c r="C1259" s="51" t="s">
        <v>5583</v>
      </c>
      <c r="D1259" s="52" t="s">
        <v>616</v>
      </c>
      <c r="E1259" s="52" t="s">
        <v>615</v>
      </c>
      <c r="F1259" s="53" t="s">
        <v>5589</v>
      </c>
      <c r="G1259" s="51" t="s">
        <v>4812</v>
      </c>
      <c r="H1259" s="54"/>
      <c r="I1259" s="55">
        <v>326</v>
      </c>
      <c r="K1259" s="51" t="s">
        <v>5583</v>
      </c>
    </row>
    <row r="1260" spans="1:11">
      <c r="A1260" s="51">
        <v>1230</v>
      </c>
      <c r="B1260" s="51" t="s">
        <v>5582</v>
      </c>
      <c r="C1260" s="51" t="s">
        <v>5583</v>
      </c>
      <c r="D1260" s="52" t="s">
        <v>3831</v>
      </c>
      <c r="E1260" s="52" t="s">
        <v>3830</v>
      </c>
      <c r="F1260" s="53" t="s">
        <v>5547</v>
      </c>
      <c r="G1260" s="51" t="s">
        <v>4812</v>
      </c>
      <c r="H1260" s="54"/>
      <c r="I1260" s="55">
        <v>2334</v>
      </c>
      <c r="K1260" s="51" t="s">
        <v>5583</v>
      </c>
    </row>
    <row r="1261" spans="1:11">
      <c r="A1261" s="51">
        <v>1231</v>
      </c>
      <c r="B1261" s="51" t="s">
        <v>5582</v>
      </c>
      <c r="C1261" s="51" t="s">
        <v>5583</v>
      </c>
      <c r="D1261" s="52" t="s">
        <v>5590</v>
      </c>
      <c r="E1261" s="52" t="s">
        <v>5591</v>
      </c>
      <c r="F1261" s="53" t="s">
        <v>5592</v>
      </c>
      <c r="G1261" s="51" t="s">
        <v>4812</v>
      </c>
      <c r="H1261" s="54"/>
      <c r="I1261" s="55">
        <v>0</v>
      </c>
      <c r="K1261" s="51" t="s">
        <v>5583</v>
      </c>
    </row>
    <row r="1262" spans="1:11">
      <c r="A1262" s="51">
        <v>1232</v>
      </c>
      <c r="B1262" s="51" t="s">
        <v>5582</v>
      </c>
      <c r="C1262" s="51" t="s">
        <v>5583</v>
      </c>
      <c r="D1262" s="52" t="s">
        <v>5593</v>
      </c>
      <c r="E1262" s="52" t="s">
        <v>5594</v>
      </c>
      <c r="F1262" s="53" t="s">
        <v>5595</v>
      </c>
      <c r="G1262" s="51" t="s">
        <v>4812</v>
      </c>
      <c r="H1262" s="54"/>
      <c r="I1262" s="55">
        <v>0</v>
      </c>
      <c r="K1262" s="51" t="s">
        <v>5583</v>
      </c>
    </row>
    <row r="1263" spans="1:11">
      <c r="A1263" s="51">
        <v>1233</v>
      </c>
      <c r="B1263" s="51" t="s">
        <v>5582</v>
      </c>
      <c r="C1263" s="51" t="s">
        <v>5583</v>
      </c>
      <c r="D1263" s="52" t="s">
        <v>3444</v>
      </c>
      <c r="E1263" s="52" t="s">
        <v>3443</v>
      </c>
      <c r="F1263" s="53" t="s">
        <v>5561</v>
      </c>
      <c r="G1263" s="51" t="s">
        <v>4812</v>
      </c>
      <c r="H1263" s="54"/>
      <c r="I1263" s="55">
        <v>2634</v>
      </c>
      <c r="K1263" s="51" t="s">
        <v>5583</v>
      </c>
    </row>
    <row r="1264" spans="1:11">
      <c r="A1264" s="51">
        <v>1234</v>
      </c>
      <c r="B1264" s="51" t="s">
        <v>5582</v>
      </c>
      <c r="C1264" s="51" t="s">
        <v>5583</v>
      </c>
      <c r="D1264" s="52" t="s">
        <v>3300</v>
      </c>
      <c r="E1264" s="52" t="s">
        <v>3299</v>
      </c>
      <c r="F1264" s="53" t="s">
        <v>5585</v>
      </c>
      <c r="G1264" s="51" t="s">
        <v>4812</v>
      </c>
      <c r="H1264" s="54"/>
      <c r="I1264" s="55">
        <v>385</v>
      </c>
      <c r="K1264" s="51" t="s">
        <v>5583</v>
      </c>
    </row>
    <row r="1265" spans="1:11">
      <c r="A1265" s="51">
        <v>1235</v>
      </c>
      <c r="B1265" s="51" t="s">
        <v>5582</v>
      </c>
      <c r="C1265" s="51" t="s">
        <v>5583</v>
      </c>
      <c r="D1265" s="52" t="s">
        <v>3308</v>
      </c>
      <c r="E1265" s="52" t="s">
        <v>3307</v>
      </c>
      <c r="F1265" s="53" t="s">
        <v>5587</v>
      </c>
      <c r="G1265" s="51" t="s">
        <v>4812</v>
      </c>
      <c r="H1265" s="54"/>
      <c r="I1265" s="55">
        <v>524</v>
      </c>
      <c r="K1265" s="51" t="s">
        <v>5583</v>
      </c>
    </row>
    <row r="1266" spans="1:11">
      <c r="A1266" s="51">
        <v>1236</v>
      </c>
      <c r="B1266" s="51" t="s">
        <v>5582</v>
      </c>
      <c r="C1266" s="51" t="s">
        <v>5583</v>
      </c>
      <c r="D1266" s="52" t="s">
        <v>518</v>
      </c>
      <c r="E1266" s="52" t="s">
        <v>517</v>
      </c>
      <c r="F1266" s="53" t="s">
        <v>5596</v>
      </c>
      <c r="G1266" s="51" t="s">
        <v>4812</v>
      </c>
      <c r="H1266" s="54"/>
      <c r="I1266" s="55">
        <v>132</v>
      </c>
      <c r="K1266" s="51" t="s">
        <v>5583</v>
      </c>
    </row>
    <row r="1267" spans="1:11">
      <c r="A1267" s="51">
        <v>1237</v>
      </c>
      <c r="B1267" s="51" t="s">
        <v>5582</v>
      </c>
      <c r="C1267" s="51" t="s">
        <v>5583</v>
      </c>
      <c r="D1267" s="52" t="s">
        <v>522</v>
      </c>
      <c r="E1267" s="52" t="s">
        <v>521</v>
      </c>
      <c r="F1267" s="53" t="s">
        <v>5597</v>
      </c>
      <c r="G1267" s="51" t="s">
        <v>4812</v>
      </c>
      <c r="H1267" s="54"/>
      <c r="I1267" s="55">
        <v>232</v>
      </c>
      <c r="K1267" s="51" t="s">
        <v>5583</v>
      </c>
    </row>
    <row r="1268" spans="1:11">
      <c r="A1268" s="51">
        <v>1238</v>
      </c>
      <c r="B1268" s="51" t="s">
        <v>5582</v>
      </c>
      <c r="C1268" s="51" t="s">
        <v>5583</v>
      </c>
      <c r="D1268" s="52" t="s">
        <v>618</v>
      </c>
      <c r="E1268" s="52" t="s">
        <v>617</v>
      </c>
      <c r="F1268" s="53" t="s">
        <v>5598</v>
      </c>
      <c r="G1268" s="51" t="s">
        <v>4812</v>
      </c>
      <c r="H1268" s="54"/>
      <c r="I1268" s="55">
        <v>1934</v>
      </c>
      <c r="K1268" s="51" t="s">
        <v>5583</v>
      </c>
    </row>
    <row r="1269" spans="1:11">
      <c r="A1269" s="51">
        <v>1239</v>
      </c>
      <c r="B1269" s="51" t="s">
        <v>5582</v>
      </c>
      <c r="C1269" s="51" t="s">
        <v>5583</v>
      </c>
      <c r="D1269" s="52" t="s">
        <v>3626</v>
      </c>
      <c r="E1269" s="52" t="s">
        <v>3625</v>
      </c>
      <c r="F1269" s="53" t="s">
        <v>5599</v>
      </c>
      <c r="G1269" s="51" t="s">
        <v>4812</v>
      </c>
      <c r="H1269" s="54"/>
      <c r="I1269" s="55">
        <v>947</v>
      </c>
      <c r="K1269" s="51" t="s">
        <v>5583</v>
      </c>
    </row>
    <row r="1270" spans="1:11">
      <c r="A1270" s="51">
        <v>1240</v>
      </c>
      <c r="B1270" s="51" t="s">
        <v>5582</v>
      </c>
      <c r="C1270" s="51" t="s">
        <v>5583</v>
      </c>
      <c r="D1270" s="52" t="s">
        <v>3298</v>
      </c>
      <c r="E1270" s="52" t="s">
        <v>3297</v>
      </c>
      <c r="F1270" s="53" t="s">
        <v>5587</v>
      </c>
      <c r="G1270" s="51" t="s">
        <v>4812</v>
      </c>
      <c r="H1270" s="54"/>
      <c r="I1270" s="55">
        <v>102</v>
      </c>
      <c r="K1270" s="51" t="s">
        <v>5583</v>
      </c>
    </row>
    <row r="1271" spans="1:11">
      <c r="A1271" s="51">
        <v>1241</v>
      </c>
      <c r="B1271" s="51" t="s">
        <v>5582</v>
      </c>
      <c r="C1271" s="51" t="s">
        <v>5583</v>
      </c>
      <c r="D1271" s="52" t="s">
        <v>3306</v>
      </c>
      <c r="E1271" s="52" t="s">
        <v>3305</v>
      </c>
      <c r="F1271" s="53" t="s">
        <v>5600</v>
      </c>
      <c r="G1271" s="51" t="s">
        <v>4812</v>
      </c>
      <c r="H1271" s="54"/>
      <c r="I1271" s="55">
        <v>102</v>
      </c>
      <c r="K1271" s="51" t="s">
        <v>5583</v>
      </c>
    </row>
    <row r="1272" spans="1:11">
      <c r="A1272" s="51">
        <v>1242</v>
      </c>
      <c r="B1272" s="51" t="s">
        <v>5601</v>
      </c>
      <c r="C1272" s="51" t="s">
        <v>5602</v>
      </c>
      <c r="D1272" s="52" t="s">
        <v>389</v>
      </c>
      <c r="E1272" s="52" t="s">
        <v>388</v>
      </c>
      <c r="F1272" s="53" t="s">
        <v>5563</v>
      </c>
      <c r="G1272" s="51" t="s">
        <v>4812</v>
      </c>
      <c r="H1272" s="54"/>
      <c r="I1272" s="55">
        <v>95</v>
      </c>
      <c r="K1272" s="51" t="s">
        <v>5602</v>
      </c>
    </row>
    <row r="1273" spans="1:11">
      <c r="A1273" s="51">
        <v>1243</v>
      </c>
      <c r="B1273" s="51" t="s">
        <v>5601</v>
      </c>
      <c r="C1273" s="51" t="s">
        <v>5602</v>
      </c>
      <c r="D1273" s="52" t="s">
        <v>397</v>
      </c>
      <c r="E1273" s="52" t="s">
        <v>396</v>
      </c>
      <c r="F1273" s="53" t="s">
        <v>5564</v>
      </c>
      <c r="G1273" s="51" t="s">
        <v>4812</v>
      </c>
      <c r="H1273" s="54"/>
      <c r="I1273" s="55">
        <v>65</v>
      </c>
      <c r="K1273" s="51" t="s">
        <v>5602</v>
      </c>
    </row>
    <row r="1274" spans="1:11">
      <c r="A1274" s="51">
        <v>1244</v>
      </c>
      <c r="B1274" s="51" t="s">
        <v>5601</v>
      </c>
      <c r="C1274" s="51" t="s">
        <v>5602</v>
      </c>
      <c r="D1274" s="52" t="s">
        <v>3082</v>
      </c>
      <c r="E1274" s="52" t="s">
        <v>3081</v>
      </c>
      <c r="F1274" s="53" t="s">
        <v>5545</v>
      </c>
      <c r="G1274" s="51" t="s">
        <v>4812</v>
      </c>
      <c r="H1274" s="54"/>
      <c r="I1274" s="55">
        <v>27</v>
      </c>
      <c r="K1274" s="51" t="s">
        <v>5602</v>
      </c>
    </row>
    <row r="1275" spans="1:11">
      <c r="A1275" s="51">
        <v>1245</v>
      </c>
      <c r="B1275" s="51" t="s">
        <v>5601</v>
      </c>
      <c r="C1275" s="51" t="s">
        <v>5602</v>
      </c>
      <c r="D1275" s="52" t="s">
        <v>3088</v>
      </c>
      <c r="E1275" s="52" t="s">
        <v>3087</v>
      </c>
      <c r="F1275" s="53" t="s">
        <v>5546</v>
      </c>
      <c r="G1275" s="51" t="s">
        <v>4812</v>
      </c>
      <c r="H1275" s="54"/>
      <c r="I1275" s="55">
        <v>45</v>
      </c>
      <c r="K1275" s="51" t="s">
        <v>5602</v>
      </c>
    </row>
    <row r="1276" spans="1:11">
      <c r="A1276" s="51">
        <v>1246</v>
      </c>
      <c r="B1276" s="51" t="s">
        <v>5601</v>
      </c>
      <c r="C1276" s="51" t="s">
        <v>5602</v>
      </c>
      <c r="D1276" s="52" t="s">
        <v>3564</v>
      </c>
      <c r="E1276" s="52" t="s">
        <v>3563</v>
      </c>
      <c r="F1276" s="53" t="s">
        <v>5603</v>
      </c>
      <c r="G1276" s="51" t="s">
        <v>4812</v>
      </c>
      <c r="H1276" s="54"/>
      <c r="I1276" s="55">
        <v>43</v>
      </c>
      <c r="K1276" s="51" t="s">
        <v>5602</v>
      </c>
    </row>
    <row r="1277" spans="1:11">
      <c r="A1277" s="51">
        <v>1247</v>
      </c>
      <c r="B1277" s="51" t="s">
        <v>5601</v>
      </c>
      <c r="C1277" s="51" t="s">
        <v>5602</v>
      </c>
      <c r="D1277" s="52" t="s">
        <v>3570</v>
      </c>
      <c r="E1277" s="52" t="s">
        <v>3569</v>
      </c>
      <c r="F1277" s="53" t="s">
        <v>5604</v>
      </c>
      <c r="G1277" s="51" t="s">
        <v>4812</v>
      </c>
      <c r="H1277" s="54"/>
      <c r="I1277" s="55">
        <v>30</v>
      </c>
      <c r="K1277" s="51" t="s">
        <v>5602</v>
      </c>
    </row>
    <row r="1278" spans="1:11">
      <c r="A1278" s="51">
        <v>1248</v>
      </c>
      <c r="B1278" s="51" t="s">
        <v>5601</v>
      </c>
      <c r="C1278" s="51" t="s">
        <v>5602</v>
      </c>
      <c r="D1278" s="52" t="s">
        <v>3150</v>
      </c>
      <c r="E1278" s="52" t="s">
        <v>3149</v>
      </c>
      <c r="F1278" s="53" t="s">
        <v>5605</v>
      </c>
      <c r="G1278" s="51" t="s">
        <v>4812</v>
      </c>
      <c r="H1278" s="54"/>
      <c r="I1278" s="55">
        <v>92</v>
      </c>
      <c r="K1278" s="51" t="s">
        <v>5602</v>
      </c>
    </row>
    <row r="1279" spans="1:11">
      <c r="A1279" s="51">
        <v>1249</v>
      </c>
      <c r="B1279" s="51" t="s">
        <v>5601</v>
      </c>
      <c r="C1279" s="51" t="s">
        <v>5602</v>
      </c>
      <c r="D1279" s="52" t="s">
        <v>606</v>
      </c>
      <c r="E1279" s="52" t="s">
        <v>605</v>
      </c>
      <c r="F1279" s="53" t="s">
        <v>5588</v>
      </c>
      <c r="G1279" s="51" t="s">
        <v>4812</v>
      </c>
      <c r="H1279" s="54"/>
      <c r="I1279" s="55">
        <v>388</v>
      </c>
      <c r="K1279" s="51" t="s">
        <v>5602</v>
      </c>
    </row>
    <row r="1280" spans="1:11">
      <c r="A1280" s="51">
        <v>1250</v>
      </c>
      <c r="B1280" s="51" t="s">
        <v>5601</v>
      </c>
      <c r="C1280" s="51" t="s">
        <v>5602</v>
      </c>
      <c r="D1280" s="52" t="s">
        <v>614</v>
      </c>
      <c r="E1280" s="52" t="s">
        <v>613</v>
      </c>
      <c r="F1280" s="53" t="s">
        <v>5589</v>
      </c>
      <c r="G1280" s="51" t="s">
        <v>4812</v>
      </c>
      <c r="H1280" s="54"/>
      <c r="I1280" s="55">
        <v>67</v>
      </c>
      <c r="K1280" s="51" t="s">
        <v>5602</v>
      </c>
    </row>
    <row r="1281" spans="1:11">
      <c r="A1281" s="51">
        <v>1251</v>
      </c>
      <c r="B1281" s="51" t="s">
        <v>5601</v>
      </c>
      <c r="C1281" s="51" t="s">
        <v>5602</v>
      </c>
      <c r="D1281" s="52" t="s">
        <v>3867</v>
      </c>
      <c r="E1281" s="52" t="s">
        <v>3866</v>
      </c>
      <c r="F1281" s="53" t="s">
        <v>5548</v>
      </c>
      <c r="G1281" s="51" t="s">
        <v>4812</v>
      </c>
      <c r="H1281" s="54"/>
      <c r="I1281" s="55">
        <v>148</v>
      </c>
      <c r="K1281" s="51" t="s">
        <v>5602</v>
      </c>
    </row>
    <row r="1282" spans="1:11">
      <c r="A1282" s="51">
        <v>1252</v>
      </c>
      <c r="B1282" s="51" t="s">
        <v>5601</v>
      </c>
      <c r="C1282" s="51" t="s">
        <v>5602</v>
      </c>
      <c r="D1282" s="52" t="s">
        <v>3837</v>
      </c>
      <c r="E1282" s="52" t="s">
        <v>3836</v>
      </c>
      <c r="F1282" s="53" t="s">
        <v>5606</v>
      </c>
      <c r="G1282" s="51" t="s">
        <v>4812</v>
      </c>
      <c r="H1282" s="54"/>
      <c r="I1282" s="55">
        <v>1583</v>
      </c>
      <c r="K1282" s="51" t="s">
        <v>5602</v>
      </c>
    </row>
    <row r="1283" spans="1:11">
      <c r="A1283" s="51">
        <v>1253</v>
      </c>
      <c r="B1283" s="51" t="s">
        <v>5601</v>
      </c>
      <c r="C1283" s="51" t="s">
        <v>5602</v>
      </c>
      <c r="D1283" s="52" t="s">
        <v>5607</v>
      </c>
      <c r="E1283" s="52" t="s">
        <v>5608</v>
      </c>
      <c r="F1283" s="53" t="s">
        <v>5609</v>
      </c>
      <c r="G1283" s="51" t="s">
        <v>4812</v>
      </c>
      <c r="H1283" s="54"/>
      <c r="I1283" s="55">
        <v>0</v>
      </c>
      <c r="K1283" s="51" t="s">
        <v>5602</v>
      </c>
    </row>
    <row r="1284" spans="1:11">
      <c r="A1284" s="51">
        <v>1254</v>
      </c>
      <c r="B1284" s="51" t="s">
        <v>5601</v>
      </c>
      <c r="C1284" s="51" t="s">
        <v>5602</v>
      </c>
      <c r="D1284" s="52" t="s">
        <v>5610</v>
      </c>
      <c r="E1284" s="52" t="s">
        <v>5611</v>
      </c>
      <c r="F1284" s="53" t="s">
        <v>5612</v>
      </c>
      <c r="G1284" s="51" t="s">
        <v>4812</v>
      </c>
      <c r="H1284" s="54"/>
      <c r="I1284" s="55">
        <v>0</v>
      </c>
      <c r="K1284" s="51" t="s">
        <v>5602</v>
      </c>
    </row>
    <row r="1285" spans="1:11">
      <c r="A1285" s="51">
        <v>1255</v>
      </c>
      <c r="B1285" s="51" t="s">
        <v>5601</v>
      </c>
      <c r="C1285" s="51" t="s">
        <v>5602</v>
      </c>
      <c r="D1285" s="52" t="s">
        <v>3104</v>
      </c>
      <c r="E1285" s="52" t="s">
        <v>3103</v>
      </c>
      <c r="F1285" s="53" t="s">
        <v>5613</v>
      </c>
      <c r="G1285" s="51" t="s">
        <v>4812</v>
      </c>
      <c r="H1285" s="54"/>
      <c r="I1285" s="55">
        <v>130</v>
      </c>
      <c r="K1285" s="51" t="s">
        <v>5602</v>
      </c>
    </row>
    <row r="1286" spans="1:11">
      <c r="A1286" s="51">
        <v>1256</v>
      </c>
      <c r="B1286" s="51" t="s">
        <v>5601</v>
      </c>
      <c r="C1286" s="51" t="s">
        <v>5602</v>
      </c>
      <c r="D1286" s="52" t="s">
        <v>3106</v>
      </c>
      <c r="E1286" s="52" t="s">
        <v>3105</v>
      </c>
      <c r="F1286" s="53" t="s">
        <v>5613</v>
      </c>
      <c r="G1286" s="51" t="s">
        <v>4812</v>
      </c>
      <c r="H1286" s="54"/>
      <c r="I1286" s="55">
        <v>77</v>
      </c>
      <c r="K1286" s="51" t="s">
        <v>5602</v>
      </c>
    </row>
    <row r="1287" spans="1:11">
      <c r="A1287" s="51">
        <v>1257</v>
      </c>
      <c r="B1287" s="51" t="s">
        <v>5601</v>
      </c>
      <c r="C1287" s="51" t="s">
        <v>5602</v>
      </c>
      <c r="D1287" s="52" t="s">
        <v>3771</v>
      </c>
      <c r="E1287" s="52" t="s">
        <v>3770</v>
      </c>
      <c r="F1287" s="53" t="s">
        <v>5614</v>
      </c>
      <c r="G1287" s="51" t="s">
        <v>4812</v>
      </c>
      <c r="H1287" s="54"/>
      <c r="I1287" s="55">
        <v>445</v>
      </c>
      <c r="K1287" s="51" t="s">
        <v>5602</v>
      </c>
    </row>
    <row r="1288" spans="1:11">
      <c r="A1288" s="51">
        <v>1258</v>
      </c>
      <c r="B1288" s="51" t="s">
        <v>5601</v>
      </c>
      <c r="C1288" s="51" t="s">
        <v>5602</v>
      </c>
      <c r="D1288" s="52" t="s">
        <v>520</v>
      </c>
      <c r="E1288" s="52" t="s">
        <v>519</v>
      </c>
      <c r="F1288" s="53" t="s">
        <v>5596</v>
      </c>
      <c r="G1288" s="51" t="s">
        <v>4812</v>
      </c>
      <c r="H1288" s="54"/>
      <c r="I1288" s="55">
        <v>370</v>
      </c>
      <c r="K1288" s="51" t="s">
        <v>5602</v>
      </c>
    </row>
    <row r="1289" spans="1:11">
      <c r="A1289" s="51">
        <v>1259</v>
      </c>
      <c r="B1289" s="51" t="s">
        <v>5601</v>
      </c>
      <c r="C1289" s="51" t="s">
        <v>5602</v>
      </c>
      <c r="D1289" s="52" t="s">
        <v>3070</v>
      </c>
      <c r="E1289" s="52" t="s">
        <v>3069</v>
      </c>
      <c r="F1289" s="53" t="s">
        <v>5557</v>
      </c>
      <c r="G1289" s="51" t="s">
        <v>4812</v>
      </c>
      <c r="H1289" s="54"/>
      <c r="I1289" s="55">
        <v>46</v>
      </c>
      <c r="K1289" s="51" t="s">
        <v>5602</v>
      </c>
    </row>
    <row r="1290" spans="1:11">
      <c r="A1290" s="51">
        <v>1260</v>
      </c>
      <c r="B1290" s="51" t="s">
        <v>5601</v>
      </c>
      <c r="C1290" s="51" t="s">
        <v>5602</v>
      </c>
      <c r="D1290" s="52" t="s">
        <v>3112</v>
      </c>
      <c r="E1290" s="52" t="s">
        <v>3109</v>
      </c>
      <c r="F1290" s="53" t="s">
        <v>5615</v>
      </c>
      <c r="G1290" s="51" t="s">
        <v>4812</v>
      </c>
      <c r="H1290" s="54"/>
      <c r="I1290" s="55">
        <v>187</v>
      </c>
      <c r="K1290" s="51" t="s">
        <v>5602</v>
      </c>
    </row>
    <row r="1291" spans="1:11">
      <c r="A1291" s="51">
        <v>1261</v>
      </c>
      <c r="B1291" s="51" t="s">
        <v>5601</v>
      </c>
      <c r="C1291" s="51" t="s">
        <v>5602</v>
      </c>
      <c r="D1291" s="52" t="s">
        <v>762</v>
      </c>
      <c r="E1291" s="52" t="s">
        <v>761</v>
      </c>
      <c r="F1291" s="53" t="s">
        <v>5616</v>
      </c>
      <c r="G1291" s="51" t="s">
        <v>4812</v>
      </c>
      <c r="H1291" s="54"/>
      <c r="I1291" s="55">
        <v>105</v>
      </c>
      <c r="K1291" s="51" t="s">
        <v>5602</v>
      </c>
    </row>
    <row r="1292" spans="1:11">
      <c r="A1292" s="51">
        <v>1262</v>
      </c>
      <c r="B1292" s="51" t="s">
        <v>5601</v>
      </c>
      <c r="C1292" s="51" t="s">
        <v>5602</v>
      </c>
      <c r="D1292" s="52" t="s">
        <v>3479</v>
      </c>
      <c r="E1292" s="52" t="s">
        <v>3478</v>
      </c>
      <c r="F1292" s="53" t="s">
        <v>5617</v>
      </c>
      <c r="G1292" s="51" t="s">
        <v>4812</v>
      </c>
      <c r="H1292" s="54"/>
      <c r="I1292" s="55">
        <v>64</v>
      </c>
      <c r="K1292" s="51" t="s">
        <v>5602</v>
      </c>
    </row>
    <row r="1293" spans="1:11">
      <c r="A1293" s="51">
        <v>1263</v>
      </c>
      <c r="B1293" s="51" t="s">
        <v>5601</v>
      </c>
      <c r="C1293" s="51" t="s">
        <v>5602</v>
      </c>
      <c r="D1293" s="52" t="s">
        <v>3134</v>
      </c>
      <c r="E1293" s="52" t="s">
        <v>3133</v>
      </c>
      <c r="F1293" s="53" t="s">
        <v>5618</v>
      </c>
      <c r="G1293" s="51" t="s">
        <v>4812</v>
      </c>
      <c r="H1293" s="54"/>
      <c r="I1293" s="55">
        <v>20</v>
      </c>
      <c r="K1293" s="51" t="s">
        <v>5602</v>
      </c>
    </row>
    <row r="1294" spans="1:11">
      <c r="A1294" s="51">
        <v>1264</v>
      </c>
      <c r="B1294" s="51" t="s">
        <v>5601</v>
      </c>
      <c r="C1294" s="51" t="s">
        <v>5602</v>
      </c>
      <c r="D1294" s="52" t="s">
        <v>3140</v>
      </c>
      <c r="E1294" s="52" t="s">
        <v>3139</v>
      </c>
      <c r="F1294" s="53" t="s">
        <v>5559</v>
      </c>
      <c r="G1294" s="51" t="s">
        <v>4812</v>
      </c>
      <c r="H1294" s="54"/>
      <c r="I1294" s="55">
        <v>66</v>
      </c>
      <c r="K1294" s="51" t="s">
        <v>5602</v>
      </c>
    </row>
    <row r="1295" spans="1:11">
      <c r="A1295" s="51">
        <v>1265</v>
      </c>
      <c r="B1295" s="51" t="s">
        <v>5601</v>
      </c>
      <c r="C1295" s="51" t="s">
        <v>5602</v>
      </c>
      <c r="D1295" s="52" t="s">
        <v>3481</v>
      </c>
      <c r="E1295" s="52" t="s">
        <v>3480</v>
      </c>
      <c r="F1295" s="53" t="s">
        <v>5619</v>
      </c>
      <c r="G1295" s="51" t="s">
        <v>4812</v>
      </c>
      <c r="H1295" s="54"/>
      <c r="I1295" s="55">
        <v>81</v>
      </c>
      <c r="K1295" s="51" t="s">
        <v>5602</v>
      </c>
    </row>
    <row r="1296" spans="1:11">
      <c r="A1296" s="51">
        <v>1266</v>
      </c>
      <c r="B1296" s="51" t="s">
        <v>5601</v>
      </c>
      <c r="C1296" s="51" t="s">
        <v>5602</v>
      </c>
      <c r="D1296" s="52" t="s">
        <v>3447</v>
      </c>
      <c r="E1296" s="52" t="s">
        <v>3446</v>
      </c>
      <c r="F1296" s="53" t="s">
        <v>5561</v>
      </c>
      <c r="G1296" s="51" t="s">
        <v>4812</v>
      </c>
      <c r="H1296" s="54"/>
      <c r="I1296" s="55">
        <v>83</v>
      </c>
      <c r="K1296" s="51" t="s">
        <v>5602</v>
      </c>
    </row>
    <row r="1297" spans="1:11">
      <c r="A1297" s="51">
        <v>1267</v>
      </c>
      <c r="B1297" s="51" t="s">
        <v>5601</v>
      </c>
      <c r="C1297" s="51" t="s">
        <v>5602</v>
      </c>
      <c r="D1297" s="52" t="s">
        <v>4055</v>
      </c>
      <c r="E1297" s="52" t="s">
        <v>4052</v>
      </c>
      <c r="F1297" s="53" t="s">
        <v>4829</v>
      </c>
      <c r="G1297" s="51" t="s">
        <v>4812</v>
      </c>
      <c r="H1297" s="54"/>
      <c r="I1297" s="55">
        <v>294</v>
      </c>
      <c r="K1297" s="51" t="s">
        <v>5602</v>
      </c>
    </row>
    <row r="1298" spans="1:11">
      <c r="A1298" s="51">
        <v>1268</v>
      </c>
      <c r="B1298" s="51" t="s">
        <v>5601</v>
      </c>
      <c r="C1298" s="51" t="s">
        <v>5602</v>
      </c>
      <c r="D1298" s="52" t="s">
        <v>405</v>
      </c>
      <c r="E1298" s="52" t="s">
        <v>404</v>
      </c>
      <c r="F1298" s="53" t="s">
        <v>5565</v>
      </c>
      <c r="G1298" s="51" t="s">
        <v>4812</v>
      </c>
      <c r="H1298" s="54"/>
      <c r="I1298" s="55">
        <v>108</v>
      </c>
      <c r="K1298" s="51" t="s">
        <v>5602</v>
      </c>
    </row>
    <row r="1299" spans="1:11">
      <c r="A1299" s="51">
        <v>1269</v>
      </c>
      <c r="B1299" s="51" t="s">
        <v>5601</v>
      </c>
      <c r="C1299" s="51" t="s">
        <v>5602</v>
      </c>
      <c r="D1299" s="52" t="s">
        <v>411</v>
      </c>
      <c r="E1299" s="52" t="s">
        <v>410</v>
      </c>
      <c r="F1299" s="53" t="s">
        <v>5566</v>
      </c>
      <c r="G1299" s="51" t="s">
        <v>4812</v>
      </c>
      <c r="H1299" s="54"/>
      <c r="I1299" s="55">
        <v>204</v>
      </c>
      <c r="K1299" s="51" t="s">
        <v>5602</v>
      </c>
    </row>
    <row r="1300" spans="1:11">
      <c r="A1300" s="51">
        <v>1270</v>
      </c>
      <c r="B1300" s="51" t="s">
        <v>5601</v>
      </c>
      <c r="C1300" s="51" t="s">
        <v>5602</v>
      </c>
      <c r="D1300" s="52" t="s">
        <v>4079</v>
      </c>
      <c r="E1300" s="52" t="s">
        <v>4078</v>
      </c>
      <c r="F1300" s="53" t="s">
        <v>5620</v>
      </c>
      <c r="G1300" s="51" t="s">
        <v>4812</v>
      </c>
      <c r="H1300" s="54"/>
      <c r="I1300" s="55">
        <v>0</v>
      </c>
      <c r="K1300" s="51" t="s">
        <v>5602</v>
      </c>
    </row>
    <row r="1301" spans="1:11">
      <c r="A1301" s="51">
        <v>1271</v>
      </c>
      <c r="B1301" s="51" t="s">
        <v>5601</v>
      </c>
      <c r="C1301" s="51" t="s">
        <v>5602</v>
      </c>
      <c r="D1301" s="52" t="s">
        <v>3547</v>
      </c>
      <c r="E1301" s="52" t="s">
        <v>3546</v>
      </c>
      <c r="F1301" s="53" t="s">
        <v>5621</v>
      </c>
      <c r="G1301" s="51" t="s">
        <v>4812</v>
      </c>
      <c r="H1301" s="54"/>
      <c r="I1301" s="55">
        <v>0</v>
      </c>
      <c r="K1301" s="51" t="s">
        <v>5602</v>
      </c>
    </row>
    <row r="1302" spans="1:11">
      <c r="A1302" s="51">
        <v>1272</v>
      </c>
      <c r="B1302" s="51" t="s">
        <v>5601</v>
      </c>
      <c r="C1302" s="51" t="s">
        <v>5602</v>
      </c>
      <c r="D1302" s="52" t="s">
        <v>3556</v>
      </c>
      <c r="E1302" s="52" t="s">
        <v>3555</v>
      </c>
      <c r="F1302" s="53" t="s">
        <v>5622</v>
      </c>
      <c r="G1302" s="51" t="s">
        <v>4812</v>
      </c>
      <c r="H1302" s="54"/>
      <c r="I1302" s="55">
        <v>0</v>
      </c>
      <c r="K1302" s="51" t="s">
        <v>5602</v>
      </c>
    </row>
    <row r="1303" spans="1:11">
      <c r="A1303" s="51">
        <v>1273</v>
      </c>
      <c r="B1303" s="51" t="s">
        <v>5601</v>
      </c>
      <c r="C1303" s="51" t="s">
        <v>5602</v>
      </c>
      <c r="D1303" s="52" t="s">
        <v>490</v>
      </c>
      <c r="E1303" s="52" t="s">
        <v>489</v>
      </c>
      <c r="F1303" s="53" t="s">
        <v>5623</v>
      </c>
      <c r="G1303" s="51" t="s">
        <v>4812</v>
      </c>
      <c r="H1303" s="54"/>
      <c r="I1303" s="55">
        <v>36</v>
      </c>
      <c r="K1303" s="51" t="s">
        <v>5602</v>
      </c>
    </row>
    <row r="1304" spans="1:11">
      <c r="A1304" s="51">
        <v>1274</v>
      </c>
      <c r="B1304" s="51" t="s">
        <v>5601</v>
      </c>
      <c r="C1304" s="51" t="s">
        <v>5602</v>
      </c>
      <c r="D1304" s="52" t="s">
        <v>484</v>
      </c>
      <c r="E1304" s="52" t="s">
        <v>483</v>
      </c>
      <c r="F1304" s="53" t="s">
        <v>5624</v>
      </c>
      <c r="G1304" s="51" t="s">
        <v>4812</v>
      </c>
      <c r="H1304" s="54"/>
      <c r="I1304" s="55">
        <v>28</v>
      </c>
      <c r="K1304" s="51" t="s">
        <v>5602</v>
      </c>
    </row>
    <row r="1305" spans="1:11">
      <c r="A1305" s="51">
        <v>1275</v>
      </c>
      <c r="B1305" s="51" t="s">
        <v>5625</v>
      </c>
      <c r="C1305" s="51" t="s">
        <v>5626</v>
      </c>
      <c r="D1305" s="52" t="s">
        <v>387</v>
      </c>
      <c r="E1305" s="52" t="s">
        <v>386</v>
      </c>
      <c r="F1305" s="53" t="s">
        <v>5627</v>
      </c>
      <c r="G1305" s="51" t="s">
        <v>4812</v>
      </c>
      <c r="H1305" s="54"/>
      <c r="I1305" s="55">
        <v>25</v>
      </c>
      <c r="K1305" s="51" t="s">
        <v>5626</v>
      </c>
    </row>
    <row r="1306" spans="1:11">
      <c r="A1306" s="51">
        <v>1276</v>
      </c>
      <c r="B1306" s="51" t="s">
        <v>5625</v>
      </c>
      <c r="C1306" s="51" t="s">
        <v>5626</v>
      </c>
      <c r="D1306" s="52" t="s">
        <v>395</v>
      </c>
      <c r="E1306" s="52" t="s">
        <v>394</v>
      </c>
      <c r="F1306" s="53" t="s">
        <v>5628</v>
      </c>
      <c r="G1306" s="51" t="s">
        <v>4812</v>
      </c>
      <c r="H1306" s="54"/>
      <c r="I1306" s="55">
        <v>54</v>
      </c>
      <c r="K1306" s="51" t="s">
        <v>5626</v>
      </c>
    </row>
    <row r="1307" spans="1:11">
      <c r="A1307" s="51">
        <v>1277</v>
      </c>
      <c r="B1307" s="51" t="s">
        <v>5625</v>
      </c>
      <c r="C1307" s="51" t="s">
        <v>5626</v>
      </c>
      <c r="D1307" s="52" t="s">
        <v>3584</v>
      </c>
      <c r="E1307" s="52" t="s">
        <v>3583</v>
      </c>
      <c r="F1307" s="53" t="s">
        <v>5629</v>
      </c>
      <c r="G1307" s="51" t="s">
        <v>4812</v>
      </c>
      <c r="H1307" s="54"/>
      <c r="I1307" s="55">
        <v>32</v>
      </c>
      <c r="K1307" s="51" t="s">
        <v>5626</v>
      </c>
    </row>
    <row r="1308" spans="1:11">
      <c r="A1308" s="51">
        <v>1278</v>
      </c>
      <c r="B1308" s="51" t="s">
        <v>5625</v>
      </c>
      <c r="C1308" s="51" t="s">
        <v>5626</v>
      </c>
      <c r="D1308" s="52" t="s">
        <v>3590</v>
      </c>
      <c r="E1308" s="52" t="s">
        <v>3589</v>
      </c>
      <c r="F1308" s="53" t="s">
        <v>5630</v>
      </c>
      <c r="G1308" s="51" t="s">
        <v>4812</v>
      </c>
      <c r="H1308" s="54"/>
      <c r="I1308" s="55">
        <v>64</v>
      </c>
      <c r="K1308" s="51" t="s">
        <v>5626</v>
      </c>
    </row>
    <row r="1309" spans="1:11">
      <c r="A1309" s="51">
        <v>1279</v>
      </c>
      <c r="B1309" s="51" t="s">
        <v>5625</v>
      </c>
      <c r="C1309" s="51" t="s">
        <v>5626</v>
      </c>
      <c r="D1309" s="52" t="s">
        <v>3588</v>
      </c>
      <c r="E1309" s="52" t="s">
        <v>3587</v>
      </c>
      <c r="F1309" s="53" t="s">
        <v>5631</v>
      </c>
      <c r="G1309" s="51" t="s">
        <v>4812</v>
      </c>
      <c r="H1309" s="54"/>
      <c r="I1309" s="55">
        <v>7</v>
      </c>
      <c r="K1309" s="51" t="s">
        <v>5626</v>
      </c>
    </row>
    <row r="1310" spans="1:11">
      <c r="A1310" s="51">
        <v>1280</v>
      </c>
      <c r="B1310" s="51" t="s">
        <v>5625</v>
      </c>
      <c r="C1310" s="51" t="s">
        <v>5626</v>
      </c>
      <c r="D1310" s="52" t="s">
        <v>3594</v>
      </c>
      <c r="E1310" s="52" t="s">
        <v>3593</v>
      </c>
      <c r="F1310" s="53" t="s">
        <v>5632</v>
      </c>
      <c r="G1310" s="51" t="s">
        <v>4812</v>
      </c>
      <c r="H1310" s="54"/>
      <c r="I1310" s="55">
        <v>26</v>
      </c>
      <c r="K1310" s="51" t="s">
        <v>5626</v>
      </c>
    </row>
    <row r="1311" spans="1:11">
      <c r="A1311" s="51">
        <v>1281</v>
      </c>
      <c r="B1311" s="51" t="s">
        <v>5625</v>
      </c>
      <c r="C1311" s="51" t="s">
        <v>5626</v>
      </c>
      <c r="D1311" s="52" t="s">
        <v>532</v>
      </c>
      <c r="E1311" s="52" t="s">
        <v>531</v>
      </c>
      <c r="F1311" s="53" t="s">
        <v>5633</v>
      </c>
      <c r="G1311" s="51" t="s">
        <v>4812</v>
      </c>
      <c r="H1311" s="54"/>
      <c r="I1311" s="55">
        <v>389</v>
      </c>
      <c r="K1311" s="51" t="s">
        <v>5626</v>
      </c>
    </row>
    <row r="1312" spans="1:11">
      <c r="A1312" s="51">
        <v>1282</v>
      </c>
      <c r="B1312" s="51" t="s">
        <v>5625</v>
      </c>
      <c r="C1312" s="51" t="s">
        <v>5626</v>
      </c>
      <c r="D1312" s="52" t="s">
        <v>530</v>
      </c>
      <c r="E1312" s="52" t="s">
        <v>529</v>
      </c>
      <c r="F1312" s="53" t="s">
        <v>5633</v>
      </c>
      <c r="G1312" s="51" t="s">
        <v>4812</v>
      </c>
      <c r="H1312" s="54"/>
      <c r="I1312" s="55">
        <v>383</v>
      </c>
      <c r="K1312" s="51" t="s">
        <v>5626</v>
      </c>
    </row>
    <row r="1313" spans="1:11">
      <c r="A1313" s="51">
        <v>1283</v>
      </c>
      <c r="B1313" s="51" t="s">
        <v>5625</v>
      </c>
      <c r="C1313" s="51" t="s">
        <v>5626</v>
      </c>
      <c r="D1313" s="52" t="s">
        <v>3865</v>
      </c>
      <c r="E1313" s="52" t="s">
        <v>3864</v>
      </c>
      <c r="F1313" s="53" t="s">
        <v>5548</v>
      </c>
      <c r="G1313" s="51" t="s">
        <v>4812</v>
      </c>
      <c r="H1313" s="54"/>
      <c r="I1313" s="55">
        <v>72</v>
      </c>
      <c r="K1313" s="51" t="s">
        <v>5626</v>
      </c>
    </row>
    <row r="1314" spans="1:11">
      <c r="A1314" s="51">
        <v>1284</v>
      </c>
      <c r="B1314" s="51" t="s">
        <v>5625</v>
      </c>
      <c r="C1314" s="51" t="s">
        <v>5626</v>
      </c>
      <c r="D1314" s="52" t="s">
        <v>3863</v>
      </c>
      <c r="E1314" s="52" t="s">
        <v>3862</v>
      </c>
      <c r="F1314" s="53" t="s">
        <v>5548</v>
      </c>
      <c r="G1314" s="51" t="s">
        <v>4812</v>
      </c>
      <c r="H1314" s="54"/>
      <c r="I1314" s="55">
        <v>41</v>
      </c>
      <c r="K1314" s="51" t="s">
        <v>5626</v>
      </c>
    </row>
    <row r="1315" spans="1:11">
      <c r="A1315" s="51">
        <v>1285</v>
      </c>
      <c r="B1315" s="51" t="s">
        <v>5625</v>
      </c>
      <c r="C1315" s="51" t="s">
        <v>5626</v>
      </c>
      <c r="D1315" s="52" t="s">
        <v>5634</v>
      </c>
      <c r="E1315" s="52" t="s">
        <v>5635</v>
      </c>
      <c r="F1315" s="53" t="s">
        <v>5636</v>
      </c>
      <c r="G1315" s="51" t="s">
        <v>4812</v>
      </c>
      <c r="H1315" s="54"/>
      <c r="I1315" s="55">
        <v>0</v>
      </c>
      <c r="K1315" s="51" t="s">
        <v>5626</v>
      </c>
    </row>
    <row r="1316" spans="1:11">
      <c r="A1316" s="51">
        <v>1286</v>
      </c>
      <c r="B1316" s="51" t="s">
        <v>5625</v>
      </c>
      <c r="C1316" s="51" t="s">
        <v>5626</v>
      </c>
      <c r="D1316" s="52" t="s">
        <v>5637</v>
      </c>
      <c r="E1316" s="52" t="s">
        <v>5638</v>
      </c>
      <c r="F1316" s="53" t="s">
        <v>5639</v>
      </c>
      <c r="G1316" s="51" t="s">
        <v>4812</v>
      </c>
      <c r="H1316" s="54"/>
      <c r="I1316" s="55">
        <v>0</v>
      </c>
      <c r="K1316" s="51" t="s">
        <v>5626</v>
      </c>
    </row>
    <row r="1317" spans="1:11">
      <c r="A1317" s="51">
        <v>1287</v>
      </c>
      <c r="B1317" s="51" t="s">
        <v>5625</v>
      </c>
      <c r="C1317" s="51" t="s">
        <v>5626</v>
      </c>
      <c r="D1317" s="52" t="s">
        <v>1772</v>
      </c>
      <c r="E1317" s="52" t="s">
        <v>1771</v>
      </c>
      <c r="F1317" s="53" t="s">
        <v>4902</v>
      </c>
      <c r="G1317" s="51" t="s">
        <v>4812</v>
      </c>
      <c r="H1317" s="54"/>
      <c r="I1317" s="55">
        <v>600</v>
      </c>
      <c r="K1317" s="51" t="s">
        <v>5626</v>
      </c>
    </row>
    <row r="1318" spans="1:11">
      <c r="A1318" s="51">
        <v>1288</v>
      </c>
      <c r="B1318" s="51" t="s">
        <v>5625</v>
      </c>
      <c r="C1318" s="51" t="s">
        <v>5626</v>
      </c>
      <c r="D1318" s="52" t="s">
        <v>2949</v>
      </c>
      <c r="E1318" s="52" t="s">
        <v>2948</v>
      </c>
      <c r="F1318" s="53" t="s">
        <v>5640</v>
      </c>
      <c r="G1318" s="51" t="s">
        <v>4812</v>
      </c>
      <c r="H1318" s="54"/>
      <c r="I1318" s="55">
        <v>143</v>
      </c>
      <c r="K1318" s="51" t="s">
        <v>5626</v>
      </c>
    </row>
    <row r="1319" spans="1:11">
      <c r="A1319" s="51">
        <v>1289</v>
      </c>
      <c r="B1319" s="51" t="s">
        <v>5625</v>
      </c>
      <c r="C1319" s="51" t="s">
        <v>5626</v>
      </c>
      <c r="D1319" s="52" t="s">
        <v>3424</v>
      </c>
      <c r="E1319" s="52" t="s">
        <v>3423</v>
      </c>
      <c r="F1319" s="53" t="s">
        <v>5456</v>
      </c>
      <c r="G1319" s="51" t="s">
        <v>4812</v>
      </c>
      <c r="H1319" s="54"/>
      <c r="I1319" s="55">
        <v>191</v>
      </c>
      <c r="K1319" s="51" t="s">
        <v>5626</v>
      </c>
    </row>
    <row r="1320" spans="1:11">
      <c r="A1320" s="51">
        <v>1290</v>
      </c>
      <c r="B1320" s="51" t="s">
        <v>5625</v>
      </c>
      <c r="C1320" s="51" t="s">
        <v>5626</v>
      </c>
      <c r="D1320" s="52" t="s">
        <v>1831</v>
      </c>
      <c r="E1320" s="52" t="s">
        <v>1830</v>
      </c>
      <c r="F1320" s="53" t="s">
        <v>5641</v>
      </c>
      <c r="G1320" s="51" t="s">
        <v>4812</v>
      </c>
      <c r="H1320" s="54"/>
      <c r="I1320" s="55">
        <v>50</v>
      </c>
      <c r="K1320" s="51" t="s">
        <v>5626</v>
      </c>
    </row>
    <row r="1321" spans="1:11">
      <c r="A1321" s="51">
        <v>1291</v>
      </c>
      <c r="B1321" s="51" t="s">
        <v>5625</v>
      </c>
      <c r="C1321" s="51" t="s">
        <v>5626</v>
      </c>
      <c r="D1321" s="52" t="s">
        <v>3596</v>
      </c>
      <c r="E1321" s="52" t="s">
        <v>3595</v>
      </c>
      <c r="F1321" s="53" t="s">
        <v>5642</v>
      </c>
      <c r="G1321" s="51" t="s">
        <v>4812</v>
      </c>
      <c r="H1321" s="54"/>
      <c r="I1321" s="55">
        <v>23</v>
      </c>
      <c r="K1321" s="51" t="s">
        <v>5626</v>
      </c>
    </row>
    <row r="1322" spans="1:11">
      <c r="A1322" s="51">
        <v>1292</v>
      </c>
      <c r="B1322" s="51" t="s">
        <v>5625</v>
      </c>
      <c r="C1322" s="51" t="s">
        <v>5626</v>
      </c>
      <c r="D1322" s="52" t="s">
        <v>3598</v>
      </c>
      <c r="E1322" s="52" t="s">
        <v>3597</v>
      </c>
      <c r="F1322" s="53" t="s">
        <v>5643</v>
      </c>
      <c r="G1322" s="51" t="s">
        <v>4812</v>
      </c>
      <c r="H1322" s="54"/>
      <c r="I1322" s="55">
        <v>29</v>
      </c>
      <c r="K1322" s="51" t="s">
        <v>5626</v>
      </c>
    </row>
    <row r="1323" spans="1:11">
      <c r="A1323" s="51">
        <v>1293</v>
      </c>
      <c r="B1323" s="51" t="s">
        <v>5644</v>
      </c>
      <c r="C1323" s="51" t="s">
        <v>5645</v>
      </c>
      <c r="D1323" s="52" t="s">
        <v>1813</v>
      </c>
      <c r="E1323" s="52" t="s">
        <v>1812</v>
      </c>
      <c r="F1323" s="53" t="s">
        <v>5018</v>
      </c>
      <c r="G1323" s="51" t="s">
        <v>4812</v>
      </c>
      <c r="H1323" s="54"/>
      <c r="I1323" s="55">
        <v>0</v>
      </c>
      <c r="K1323" s="51" t="s">
        <v>5645</v>
      </c>
    </row>
    <row r="1324" spans="1:11">
      <c r="A1324" s="51">
        <v>1294</v>
      </c>
      <c r="B1324" s="51" t="s">
        <v>5644</v>
      </c>
      <c r="C1324" s="51" t="s">
        <v>5645</v>
      </c>
      <c r="D1324" s="52" t="s">
        <v>1821</v>
      </c>
      <c r="E1324" s="52" t="s">
        <v>1820</v>
      </c>
      <c r="F1324" s="53" t="s">
        <v>5018</v>
      </c>
      <c r="G1324" s="51" t="s">
        <v>4812</v>
      </c>
      <c r="H1324" s="54"/>
      <c r="I1324" s="55">
        <v>0</v>
      </c>
      <c r="K1324" s="51" t="s">
        <v>5645</v>
      </c>
    </row>
    <row r="1325" spans="1:11">
      <c r="A1325" s="51">
        <v>1295</v>
      </c>
      <c r="B1325" s="51" t="s">
        <v>5644</v>
      </c>
      <c r="C1325" s="51" t="s">
        <v>5645</v>
      </c>
      <c r="D1325" s="52" t="s">
        <v>1792</v>
      </c>
      <c r="E1325" s="52" t="s">
        <v>1791</v>
      </c>
      <c r="F1325" s="53" t="s">
        <v>5646</v>
      </c>
      <c r="G1325" s="51" t="s">
        <v>4812</v>
      </c>
      <c r="H1325" s="54"/>
      <c r="I1325" s="55">
        <v>39</v>
      </c>
      <c r="K1325" s="51" t="s">
        <v>5645</v>
      </c>
    </row>
    <row r="1326" spans="1:11">
      <c r="A1326" s="51">
        <v>1296</v>
      </c>
      <c r="B1326" s="51" t="s">
        <v>5644</v>
      </c>
      <c r="C1326" s="51" t="s">
        <v>5645</v>
      </c>
      <c r="D1326" s="52" t="s">
        <v>1938</v>
      </c>
      <c r="E1326" s="52" t="s">
        <v>1935</v>
      </c>
      <c r="F1326" s="53" t="s">
        <v>5647</v>
      </c>
      <c r="G1326" s="51" t="s">
        <v>4812</v>
      </c>
      <c r="H1326" s="54"/>
      <c r="I1326" s="55">
        <v>16</v>
      </c>
      <c r="K1326" s="51" t="s">
        <v>5645</v>
      </c>
    </row>
    <row r="1327" spans="1:11">
      <c r="A1327" s="51">
        <v>1297</v>
      </c>
      <c r="B1327" s="51" t="s">
        <v>5644</v>
      </c>
      <c r="C1327" s="51" t="s">
        <v>5645</v>
      </c>
      <c r="D1327" s="52" t="s">
        <v>1944</v>
      </c>
      <c r="E1327" s="52" t="s">
        <v>1941</v>
      </c>
      <c r="F1327" s="53" t="s">
        <v>5648</v>
      </c>
      <c r="G1327" s="51" t="s">
        <v>4812</v>
      </c>
      <c r="H1327" s="54"/>
      <c r="I1327" s="55">
        <v>23</v>
      </c>
      <c r="K1327" s="51" t="s">
        <v>5645</v>
      </c>
    </row>
    <row r="1328" spans="1:11">
      <c r="A1328" s="51">
        <v>1298</v>
      </c>
      <c r="B1328" s="51" t="s">
        <v>5644</v>
      </c>
      <c r="C1328" s="51" t="s">
        <v>5645</v>
      </c>
      <c r="D1328" s="52" t="s">
        <v>5649</v>
      </c>
      <c r="E1328" s="52" t="s">
        <v>5650</v>
      </c>
      <c r="F1328" s="53" t="s">
        <v>5651</v>
      </c>
      <c r="G1328" s="51" t="s">
        <v>4812</v>
      </c>
      <c r="H1328" s="54"/>
      <c r="I1328" s="55">
        <v>0</v>
      </c>
      <c r="K1328" s="51" t="s">
        <v>5645</v>
      </c>
    </row>
    <row r="1329" spans="1:11">
      <c r="A1329" s="51">
        <v>1299</v>
      </c>
      <c r="B1329" s="51" t="s">
        <v>5644</v>
      </c>
      <c r="C1329" s="51" t="s">
        <v>5645</v>
      </c>
      <c r="D1329" s="52" t="s">
        <v>5652</v>
      </c>
      <c r="E1329" s="52" t="s">
        <v>5653</v>
      </c>
      <c r="F1329" s="53" t="s">
        <v>5654</v>
      </c>
      <c r="G1329" s="51" t="s">
        <v>4812</v>
      </c>
      <c r="H1329" s="54"/>
      <c r="I1329" s="55">
        <v>0</v>
      </c>
      <c r="K1329" s="51" t="s">
        <v>5645</v>
      </c>
    </row>
    <row r="1330" spans="1:11">
      <c r="A1330" s="51">
        <v>1300</v>
      </c>
      <c r="B1330" s="51" t="s">
        <v>5644</v>
      </c>
      <c r="C1330" s="51" t="s">
        <v>5645</v>
      </c>
      <c r="D1330" s="52" t="s">
        <v>5655</v>
      </c>
      <c r="E1330" s="52" t="s">
        <v>5656</v>
      </c>
      <c r="F1330" s="53" t="s">
        <v>5657</v>
      </c>
      <c r="G1330" s="51" t="s">
        <v>4812</v>
      </c>
      <c r="H1330" s="54"/>
      <c r="I1330" s="55">
        <v>0</v>
      </c>
      <c r="K1330" s="51" t="s">
        <v>5645</v>
      </c>
    </row>
    <row r="1331" spans="1:11">
      <c r="A1331" s="51">
        <v>1301</v>
      </c>
      <c r="B1331" s="51" t="s">
        <v>5644</v>
      </c>
      <c r="C1331" s="51" t="s">
        <v>5645</v>
      </c>
      <c r="D1331" s="52" t="s">
        <v>5658</v>
      </c>
      <c r="E1331" s="52" t="s">
        <v>5659</v>
      </c>
      <c r="F1331" s="53" t="s">
        <v>5660</v>
      </c>
      <c r="G1331" s="51" t="s">
        <v>4812</v>
      </c>
      <c r="H1331" s="54"/>
      <c r="I1331" s="55">
        <v>0</v>
      </c>
      <c r="K1331" s="51" t="s">
        <v>5645</v>
      </c>
    </row>
    <row r="1332" spans="1:11">
      <c r="A1332" s="51">
        <v>1302</v>
      </c>
      <c r="B1332" s="51" t="s">
        <v>5644</v>
      </c>
      <c r="C1332" s="51" t="s">
        <v>5645</v>
      </c>
      <c r="D1332" s="52" t="s">
        <v>718</v>
      </c>
      <c r="E1332" s="52" t="s">
        <v>5661</v>
      </c>
      <c r="F1332" s="53" t="s">
        <v>5662</v>
      </c>
      <c r="G1332" s="51" t="s">
        <v>4812</v>
      </c>
      <c r="H1332" s="54"/>
      <c r="I1332" s="55">
        <v>0</v>
      </c>
      <c r="K1332" s="51" t="s">
        <v>5645</v>
      </c>
    </row>
    <row r="1333" spans="1:11">
      <c r="A1333" s="51">
        <v>1303</v>
      </c>
      <c r="B1333" s="51" t="s">
        <v>5644</v>
      </c>
      <c r="C1333" s="51" t="s">
        <v>5645</v>
      </c>
      <c r="D1333" s="52" t="s">
        <v>730</v>
      </c>
      <c r="E1333" s="52" t="s">
        <v>5663</v>
      </c>
      <c r="F1333" s="53" t="s">
        <v>5664</v>
      </c>
      <c r="G1333" s="51" t="s">
        <v>4812</v>
      </c>
      <c r="H1333" s="54"/>
      <c r="I1333" s="55">
        <v>0</v>
      </c>
      <c r="K1333" s="51" t="s">
        <v>5645</v>
      </c>
    </row>
    <row r="1334" spans="1:11">
      <c r="A1334" s="51">
        <v>1304</v>
      </c>
      <c r="B1334" s="51" t="s">
        <v>5644</v>
      </c>
      <c r="C1334" s="51" t="s">
        <v>5645</v>
      </c>
      <c r="D1334" s="52" t="s">
        <v>722</v>
      </c>
      <c r="E1334" s="52" t="s">
        <v>5665</v>
      </c>
      <c r="F1334" s="53" t="s">
        <v>5662</v>
      </c>
      <c r="G1334" s="51" t="s">
        <v>4812</v>
      </c>
      <c r="H1334" s="54"/>
      <c r="I1334" s="55">
        <v>0</v>
      </c>
      <c r="K1334" s="51" t="s">
        <v>5645</v>
      </c>
    </row>
    <row r="1335" spans="1:11">
      <c r="A1335" s="51">
        <v>1305</v>
      </c>
      <c r="B1335" s="51" t="s">
        <v>5644</v>
      </c>
      <c r="C1335" s="51" t="s">
        <v>5645</v>
      </c>
      <c r="D1335" s="52" t="s">
        <v>734</v>
      </c>
      <c r="E1335" s="52" t="s">
        <v>5666</v>
      </c>
      <c r="F1335" s="53" t="s">
        <v>5664</v>
      </c>
      <c r="G1335" s="51" t="s">
        <v>4812</v>
      </c>
      <c r="H1335" s="54"/>
      <c r="I1335" s="55">
        <v>0</v>
      </c>
      <c r="K1335" s="51" t="s">
        <v>5645</v>
      </c>
    </row>
    <row r="1336" spans="1:11">
      <c r="A1336" s="51">
        <v>1306</v>
      </c>
      <c r="B1336" s="51" t="s">
        <v>5644</v>
      </c>
      <c r="C1336" s="51" t="s">
        <v>5645</v>
      </c>
      <c r="D1336" s="52" t="s">
        <v>1986</v>
      </c>
      <c r="E1336" s="52" t="s">
        <v>1985</v>
      </c>
      <c r="F1336" s="53" t="s">
        <v>5667</v>
      </c>
      <c r="G1336" s="51" t="s">
        <v>4812</v>
      </c>
      <c r="H1336" s="54"/>
      <c r="I1336" s="55">
        <v>157</v>
      </c>
      <c r="K1336" s="51" t="s">
        <v>5645</v>
      </c>
    </row>
    <row r="1337" spans="1:11">
      <c r="A1337" s="51">
        <v>1307</v>
      </c>
      <c r="B1337" s="51" t="s">
        <v>5644</v>
      </c>
      <c r="C1337" s="51" t="s">
        <v>5645</v>
      </c>
      <c r="D1337" s="52" t="s">
        <v>2124</v>
      </c>
      <c r="E1337" s="52" t="s">
        <v>2123</v>
      </c>
      <c r="F1337" s="53" t="s">
        <v>5668</v>
      </c>
      <c r="G1337" s="51" t="s">
        <v>4812</v>
      </c>
      <c r="H1337" s="54"/>
      <c r="I1337" s="55">
        <v>42</v>
      </c>
      <c r="K1337" s="51" t="s">
        <v>5645</v>
      </c>
    </row>
    <row r="1338" spans="1:11">
      <c r="A1338" s="51">
        <v>1308</v>
      </c>
      <c r="B1338" s="51" t="s">
        <v>5644</v>
      </c>
      <c r="C1338" s="51" t="s">
        <v>5645</v>
      </c>
      <c r="D1338" s="52" t="s">
        <v>2127</v>
      </c>
      <c r="E1338" s="52" t="s">
        <v>2126</v>
      </c>
      <c r="F1338" s="53" t="s">
        <v>5668</v>
      </c>
      <c r="G1338" s="51" t="s">
        <v>4812</v>
      </c>
      <c r="H1338" s="54"/>
      <c r="I1338" s="55">
        <v>99</v>
      </c>
      <c r="K1338" s="51" t="s">
        <v>5645</v>
      </c>
    </row>
    <row r="1339" spans="1:11">
      <c r="A1339" s="51">
        <v>1309</v>
      </c>
      <c r="B1339" s="51" t="s">
        <v>5644</v>
      </c>
      <c r="C1339" s="51" t="s">
        <v>5645</v>
      </c>
      <c r="D1339" s="52" t="s">
        <v>2129</v>
      </c>
      <c r="E1339" s="52" t="s">
        <v>2128</v>
      </c>
      <c r="F1339" s="53" t="s">
        <v>5668</v>
      </c>
      <c r="G1339" s="51" t="s">
        <v>4812</v>
      </c>
      <c r="H1339" s="54"/>
      <c r="I1339" s="55">
        <v>175</v>
      </c>
      <c r="K1339" s="51" t="s">
        <v>5645</v>
      </c>
    </row>
    <row r="1340" spans="1:11">
      <c r="A1340" s="51">
        <v>1310</v>
      </c>
      <c r="B1340" s="51" t="s">
        <v>5644</v>
      </c>
      <c r="C1340" s="51" t="s">
        <v>5645</v>
      </c>
      <c r="D1340" s="52" t="s">
        <v>774</v>
      </c>
      <c r="E1340" s="52" t="s">
        <v>773</v>
      </c>
      <c r="F1340" s="53" t="s">
        <v>5669</v>
      </c>
      <c r="G1340" s="51" t="s">
        <v>4812</v>
      </c>
      <c r="H1340" s="54"/>
      <c r="I1340" s="55">
        <v>86</v>
      </c>
      <c r="K1340" s="51" t="s">
        <v>5645</v>
      </c>
    </row>
    <row r="1341" spans="1:11">
      <c r="A1341" s="51">
        <v>1311</v>
      </c>
      <c r="B1341" s="51" t="s">
        <v>5644</v>
      </c>
      <c r="C1341" s="51" t="s">
        <v>5645</v>
      </c>
      <c r="D1341" s="52" t="s">
        <v>781</v>
      </c>
      <c r="E1341" s="52" t="s">
        <v>780</v>
      </c>
      <c r="F1341" s="53" t="s">
        <v>5670</v>
      </c>
      <c r="G1341" s="51" t="s">
        <v>4812</v>
      </c>
      <c r="H1341" s="54"/>
      <c r="I1341" s="55">
        <v>41</v>
      </c>
      <c r="K1341" s="51" t="s">
        <v>5645</v>
      </c>
    </row>
    <row r="1342" spans="1:11">
      <c r="A1342" s="51">
        <v>1312</v>
      </c>
      <c r="B1342" s="51" t="s">
        <v>5671</v>
      </c>
      <c r="C1342" s="51" t="s">
        <v>5672</v>
      </c>
      <c r="D1342" s="52" t="s">
        <v>3206</v>
      </c>
      <c r="E1342" s="52" t="s">
        <v>5673</v>
      </c>
      <c r="F1342" s="53" t="s">
        <v>116</v>
      </c>
      <c r="G1342" s="51" t="s">
        <v>4812</v>
      </c>
      <c r="H1342" s="54"/>
      <c r="I1342" s="55">
        <v>265</v>
      </c>
      <c r="K1342" s="51" t="s">
        <v>5672</v>
      </c>
    </row>
    <row r="1343" spans="1:11">
      <c r="A1343" s="51">
        <v>1313</v>
      </c>
      <c r="B1343" s="51" t="s">
        <v>5671</v>
      </c>
      <c r="C1343" s="51" t="s">
        <v>5672</v>
      </c>
      <c r="D1343" s="52" t="s">
        <v>588</v>
      </c>
      <c r="E1343" s="52" t="s">
        <v>587</v>
      </c>
      <c r="F1343" s="53" t="s">
        <v>116</v>
      </c>
      <c r="G1343" s="51" t="s">
        <v>4812</v>
      </c>
      <c r="H1343" s="54"/>
      <c r="I1343" s="55">
        <v>305</v>
      </c>
      <c r="K1343" s="51" t="s">
        <v>5672</v>
      </c>
    </row>
    <row r="1344" spans="1:11">
      <c r="A1344" s="51">
        <v>1314</v>
      </c>
      <c r="B1344" s="51" t="s">
        <v>5671</v>
      </c>
      <c r="C1344" s="51" t="s">
        <v>5672</v>
      </c>
      <c r="D1344" s="52" t="s">
        <v>1835</v>
      </c>
      <c r="E1344" s="52" t="s">
        <v>1834</v>
      </c>
      <c r="F1344" s="53" t="s">
        <v>5674</v>
      </c>
      <c r="G1344" s="51" t="s">
        <v>4812</v>
      </c>
      <c r="H1344" s="54"/>
      <c r="I1344" s="55">
        <v>58</v>
      </c>
      <c r="K1344" s="51" t="s">
        <v>5672</v>
      </c>
    </row>
    <row r="1345" spans="1:11">
      <c r="A1345" s="51">
        <v>1315</v>
      </c>
      <c r="B1345" s="51" t="s">
        <v>5671</v>
      </c>
      <c r="C1345" s="51" t="s">
        <v>5672</v>
      </c>
      <c r="D1345" s="52" t="s">
        <v>1839</v>
      </c>
      <c r="E1345" s="52" t="s">
        <v>1838</v>
      </c>
      <c r="F1345" s="53" t="s">
        <v>5675</v>
      </c>
      <c r="G1345" s="51" t="s">
        <v>4812</v>
      </c>
      <c r="H1345" s="54"/>
      <c r="I1345" s="55">
        <v>68</v>
      </c>
      <c r="K1345" s="51" t="s">
        <v>5672</v>
      </c>
    </row>
    <row r="1346" spans="1:11">
      <c r="A1346" s="51">
        <v>1316</v>
      </c>
      <c r="B1346" s="51" t="s">
        <v>5671</v>
      </c>
      <c r="C1346" s="51" t="s">
        <v>5672</v>
      </c>
      <c r="D1346" s="52" t="s">
        <v>1829</v>
      </c>
      <c r="E1346" s="52" t="s">
        <v>1828</v>
      </c>
      <c r="F1346" s="53" t="s">
        <v>5676</v>
      </c>
      <c r="G1346" s="51" t="s">
        <v>4812</v>
      </c>
      <c r="H1346" s="54"/>
      <c r="I1346" s="55">
        <v>31</v>
      </c>
      <c r="K1346" s="51" t="s">
        <v>5672</v>
      </c>
    </row>
    <row r="1347" spans="1:11">
      <c r="A1347" s="51">
        <v>1317</v>
      </c>
      <c r="B1347" s="51" t="s">
        <v>5671</v>
      </c>
      <c r="C1347" s="51" t="s">
        <v>5672</v>
      </c>
      <c r="D1347" s="52" t="s">
        <v>718</v>
      </c>
      <c r="E1347" s="52" t="s">
        <v>5661</v>
      </c>
      <c r="F1347" s="53" t="s">
        <v>5677</v>
      </c>
      <c r="G1347" s="51" t="s">
        <v>4812</v>
      </c>
      <c r="H1347" s="54"/>
      <c r="I1347" s="55">
        <v>165</v>
      </c>
      <c r="K1347" s="51" t="s">
        <v>5672</v>
      </c>
    </row>
    <row r="1348" spans="1:11">
      <c r="A1348" s="51">
        <v>1318</v>
      </c>
      <c r="B1348" s="51" t="s">
        <v>5671</v>
      </c>
      <c r="C1348" s="51" t="s">
        <v>5672</v>
      </c>
      <c r="D1348" s="52" t="s">
        <v>730</v>
      </c>
      <c r="E1348" s="52" t="s">
        <v>5663</v>
      </c>
      <c r="F1348" s="53" t="s">
        <v>5678</v>
      </c>
      <c r="G1348" s="51" t="s">
        <v>4812</v>
      </c>
      <c r="H1348" s="54"/>
      <c r="I1348" s="55">
        <v>166</v>
      </c>
      <c r="K1348" s="51" t="s">
        <v>5672</v>
      </c>
    </row>
    <row r="1349" spans="1:11">
      <c r="A1349" s="51">
        <v>1319</v>
      </c>
      <c r="B1349" s="51" t="s">
        <v>5671</v>
      </c>
      <c r="C1349" s="51" t="s">
        <v>5672</v>
      </c>
      <c r="D1349" s="52" t="s">
        <v>722</v>
      </c>
      <c r="E1349" s="52" t="s">
        <v>5665</v>
      </c>
      <c r="F1349" s="53" t="s">
        <v>5677</v>
      </c>
      <c r="G1349" s="51" t="s">
        <v>4812</v>
      </c>
      <c r="H1349" s="54"/>
      <c r="I1349" s="55">
        <v>112</v>
      </c>
      <c r="K1349" s="51" t="s">
        <v>5672</v>
      </c>
    </row>
    <row r="1350" spans="1:11">
      <c r="A1350" s="51">
        <v>1320</v>
      </c>
      <c r="B1350" s="51" t="s">
        <v>5671</v>
      </c>
      <c r="C1350" s="51" t="s">
        <v>5672</v>
      </c>
      <c r="D1350" s="52" t="s">
        <v>734</v>
      </c>
      <c r="E1350" s="52" t="s">
        <v>5679</v>
      </c>
      <c r="F1350" s="53" t="s">
        <v>5677</v>
      </c>
      <c r="G1350" s="51" t="s">
        <v>4812</v>
      </c>
      <c r="H1350" s="54"/>
      <c r="I1350" s="55">
        <v>113</v>
      </c>
      <c r="K1350" s="51" t="s">
        <v>5672</v>
      </c>
    </row>
    <row r="1351" spans="1:11">
      <c r="A1351" s="51">
        <v>1321</v>
      </c>
      <c r="B1351" s="51" t="s">
        <v>5671</v>
      </c>
      <c r="C1351" s="51" t="s">
        <v>5672</v>
      </c>
      <c r="D1351" s="52" t="s">
        <v>3606</v>
      </c>
      <c r="E1351" s="52" t="s">
        <v>3603</v>
      </c>
      <c r="F1351" s="53" t="s">
        <v>4972</v>
      </c>
      <c r="G1351" s="51" t="s">
        <v>4812</v>
      </c>
      <c r="H1351" s="54"/>
      <c r="I1351" s="55">
        <v>729</v>
      </c>
      <c r="K1351" s="51" t="s">
        <v>5672</v>
      </c>
    </row>
    <row r="1352" spans="1:11">
      <c r="A1352" s="51">
        <v>1322</v>
      </c>
      <c r="B1352" s="51" t="s">
        <v>5671</v>
      </c>
      <c r="C1352" s="51" t="s">
        <v>5672</v>
      </c>
      <c r="D1352" s="52" t="s">
        <v>3204</v>
      </c>
      <c r="E1352" s="52" t="s">
        <v>3201</v>
      </c>
      <c r="F1352" s="53" t="s">
        <v>116</v>
      </c>
      <c r="G1352" s="51" t="s">
        <v>4812</v>
      </c>
      <c r="H1352" s="54"/>
      <c r="I1352" s="55">
        <v>516</v>
      </c>
      <c r="K1352" s="51" t="s">
        <v>5672</v>
      </c>
    </row>
    <row r="1353" spans="1:11">
      <c r="A1353" s="51">
        <v>1323</v>
      </c>
      <c r="B1353" s="51" t="s">
        <v>5671</v>
      </c>
      <c r="C1353" s="51" t="s">
        <v>5672</v>
      </c>
      <c r="D1353" s="52" t="s">
        <v>4023</v>
      </c>
      <c r="E1353" s="52" t="s">
        <v>4020</v>
      </c>
      <c r="F1353" s="53" t="s">
        <v>4979</v>
      </c>
      <c r="G1353" s="51" t="s">
        <v>4812</v>
      </c>
      <c r="H1353" s="54"/>
      <c r="I1353" s="55">
        <v>60</v>
      </c>
      <c r="K1353" s="51" t="s">
        <v>5672</v>
      </c>
    </row>
    <row r="1354" spans="1:11">
      <c r="A1354" s="51">
        <v>1324</v>
      </c>
      <c r="B1354" s="51" t="s">
        <v>5671</v>
      </c>
      <c r="C1354" s="51" t="s">
        <v>5672</v>
      </c>
      <c r="D1354" s="52" t="s">
        <v>1841</v>
      </c>
      <c r="E1354" s="52" t="s">
        <v>1840</v>
      </c>
      <c r="F1354" s="53" t="s">
        <v>5680</v>
      </c>
      <c r="G1354" s="51" t="s">
        <v>4812</v>
      </c>
      <c r="H1354" s="54"/>
      <c r="I1354" s="55">
        <v>72</v>
      </c>
      <c r="K1354" s="51" t="s">
        <v>5672</v>
      </c>
    </row>
    <row r="1355" spans="1:11">
      <c r="A1355" s="51">
        <v>1325</v>
      </c>
      <c r="B1355" s="51" t="s">
        <v>5671</v>
      </c>
      <c r="C1355" s="51" t="s">
        <v>5672</v>
      </c>
      <c r="D1355" s="52" t="s">
        <v>1843</v>
      </c>
      <c r="E1355" s="52" t="s">
        <v>1842</v>
      </c>
      <c r="F1355" s="53" t="s">
        <v>5681</v>
      </c>
      <c r="G1355" s="51" t="s">
        <v>4812</v>
      </c>
      <c r="H1355" s="54"/>
      <c r="I1355" s="55">
        <v>45</v>
      </c>
      <c r="K1355" s="51" t="s">
        <v>5672</v>
      </c>
    </row>
    <row r="1356" spans="1:11">
      <c r="A1356" s="51">
        <v>1326</v>
      </c>
      <c r="B1356" s="51" t="s">
        <v>5682</v>
      </c>
      <c r="C1356" s="51" t="s">
        <v>5683</v>
      </c>
      <c r="D1356" s="52" t="s">
        <v>2683</v>
      </c>
      <c r="E1356" s="52" t="s">
        <v>2682</v>
      </c>
      <c r="F1356" s="53" t="s">
        <v>5684</v>
      </c>
      <c r="G1356" s="51" t="s">
        <v>4812</v>
      </c>
      <c r="H1356" s="54"/>
      <c r="I1356" s="55">
        <v>95</v>
      </c>
      <c r="K1356" s="51" t="s">
        <v>5683</v>
      </c>
    </row>
    <row r="1357" spans="1:11">
      <c r="A1357" s="51">
        <v>1327</v>
      </c>
      <c r="B1357" s="51" t="s">
        <v>5682</v>
      </c>
      <c r="C1357" s="51" t="s">
        <v>5683</v>
      </c>
      <c r="D1357" s="52" t="s">
        <v>3600</v>
      </c>
      <c r="E1357" s="52" t="s">
        <v>3599</v>
      </c>
      <c r="F1357" s="53" t="s">
        <v>110</v>
      </c>
      <c r="G1357" s="51" t="s">
        <v>4812</v>
      </c>
      <c r="H1357" s="54"/>
      <c r="I1357" s="55">
        <v>0</v>
      </c>
      <c r="K1357" s="51" t="s">
        <v>5683</v>
      </c>
    </row>
    <row r="1358" spans="1:11">
      <c r="A1358" s="51">
        <v>1328</v>
      </c>
      <c r="B1358" s="51" t="s">
        <v>5682</v>
      </c>
      <c r="C1358" s="51" t="s">
        <v>5683</v>
      </c>
      <c r="D1358" s="52" t="s">
        <v>5685</v>
      </c>
      <c r="E1358" s="52" t="s">
        <v>5686</v>
      </c>
      <c r="F1358" s="53" t="s">
        <v>5687</v>
      </c>
      <c r="G1358" s="51" t="s">
        <v>4812</v>
      </c>
      <c r="H1358" s="54"/>
      <c r="I1358" s="55">
        <v>0</v>
      </c>
      <c r="K1358" s="51" t="s">
        <v>5683</v>
      </c>
    </row>
    <row r="1359" spans="1:11">
      <c r="A1359" s="51">
        <v>1329</v>
      </c>
      <c r="B1359" s="51" t="s">
        <v>5682</v>
      </c>
      <c r="C1359" s="51" t="s">
        <v>5683</v>
      </c>
      <c r="D1359" s="52" t="s">
        <v>2833</v>
      </c>
      <c r="E1359" s="52" t="s">
        <v>5688</v>
      </c>
      <c r="F1359" s="53" t="s">
        <v>5689</v>
      </c>
      <c r="G1359" s="51" t="s">
        <v>4812</v>
      </c>
      <c r="H1359" s="54"/>
      <c r="I1359" s="55">
        <v>0</v>
      </c>
      <c r="K1359" s="51" t="s">
        <v>5683</v>
      </c>
    </row>
    <row r="1360" spans="1:11">
      <c r="A1360" s="51">
        <v>1330</v>
      </c>
      <c r="B1360" s="51" t="s">
        <v>5682</v>
      </c>
      <c r="C1360" s="51" t="s">
        <v>5683</v>
      </c>
      <c r="D1360" s="52" t="s">
        <v>3762</v>
      </c>
      <c r="E1360" s="52" t="s">
        <v>3761</v>
      </c>
      <c r="F1360" s="53" t="s">
        <v>5690</v>
      </c>
      <c r="G1360" s="51" t="s">
        <v>4812</v>
      </c>
      <c r="H1360" s="54"/>
      <c r="I1360" s="55">
        <v>29</v>
      </c>
      <c r="K1360" s="51" t="s">
        <v>5683</v>
      </c>
    </row>
    <row r="1361" spans="1:11">
      <c r="A1361" s="51">
        <v>1331</v>
      </c>
      <c r="B1361" s="51" t="s">
        <v>5682</v>
      </c>
      <c r="C1361" s="51" t="s">
        <v>5683</v>
      </c>
      <c r="D1361" s="52" t="s">
        <v>3841</v>
      </c>
      <c r="E1361" s="52" t="s">
        <v>3840</v>
      </c>
      <c r="F1361" s="53" t="s">
        <v>5691</v>
      </c>
      <c r="G1361" s="51" t="s">
        <v>4812</v>
      </c>
      <c r="H1361" s="54"/>
      <c r="I1361" s="55">
        <v>45</v>
      </c>
      <c r="K1361" s="51" t="s">
        <v>5683</v>
      </c>
    </row>
    <row r="1362" spans="1:11">
      <c r="A1362" s="51">
        <v>1332</v>
      </c>
      <c r="B1362" s="51" t="s">
        <v>5682</v>
      </c>
      <c r="C1362" s="51" t="s">
        <v>5683</v>
      </c>
      <c r="D1362" s="52" t="s">
        <v>686</v>
      </c>
      <c r="E1362" s="52" t="s">
        <v>685</v>
      </c>
      <c r="F1362" s="53" t="s">
        <v>5691</v>
      </c>
      <c r="G1362" s="51" t="s">
        <v>4812</v>
      </c>
      <c r="H1362" s="54"/>
      <c r="I1362" s="55">
        <v>67</v>
      </c>
      <c r="K1362" s="51" t="s">
        <v>5683</v>
      </c>
    </row>
    <row r="1363" spans="1:11">
      <c r="A1363" s="51">
        <v>1333</v>
      </c>
      <c r="B1363" s="51" t="s">
        <v>5682</v>
      </c>
      <c r="C1363" s="51" t="s">
        <v>5683</v>
      </c>
      <c r="D1363" s="52" t="s">
        <v>5692</v>
      </c>
      <c r="E1363" s="52" t="s">
        <v>5693</v>
      </c>
      <c r="F1363" s="53" t="s">
        <v>5694</v>
      </c>
      <c r="G1363" s="51" t="s">
        <v>4812</v>
      </c>
      <c r="H1363" s="54"/>
      <c r="I1363" s="55">
        <v>0</v>
      </c>
      <c r="K1363" s="51" t="s">
        <v>5683</v>
      </c>
    </row>
    <row r="1364" spans="1:11">
      <c r="A1364" s="51">
        <v>1334</v>
      </c>
      <c r="B1364" s="51" t="s">
        <v>5682</v>
      </c>
      <c r="C1364" s="51" t="s">
        <v>5683</v>
      </c>
      <c r="D1364" s="52" t="s">
        <v>5695</v>
      </c>
      <c r="E1364" s="52" t="s">
        <v>5696</v>
      </c>
      <c r="F1364" s="53" t="s">
        <v>5694</v>
      </c>
      <c r="G1364" s="51" t="s">
        <v>4812</v>
      </c>
      <c r="H1364" s="54"/>
      <c r="I1364" s="55">
        <v>0</v>
      </c>
      <c r="K1364" s="51" t="s">
        <v>5683</v>
      </c>
    </row>
    <row r="1365" spans="1:11">
      <c r="A1365" s="51">
        <v>1335</v>
      </c>
      <c r="B1365" s="51" t="s">
        <v>5682</v>
      </c>
      <c r="C1365" s="51" t="s">
        <v>5683</v>
      </c>
      <c r="D1365" s="52" t="s">
        <v>323</v>
      </c>
      <c r="E1365" s="52" t="s">
        <v>322</v>
      </c>
      <c r="F1365" s="53" t="s">
        <v>5697</v>
      </c>
      <c r="G1365" s="51" t="s">
        <v>4812</v>
      </c>
      <c r="H1365" s="54"/>
      <c r="I1365" s="55">
        <v>45</v>
      </c>
      <c r="K1365" s="51" t="s">
        <v>5683</v>
      </c>
    </row>
    <row r="1366" spans="1:11">
      <c r="A1366" s="51">
        <v>1336</v>
      </c>
      <c r="B1366" s="51" t="s">
        <v>5682</v>
      </c>
      <c r="C1366" s="51" t="s">
        <v>5683</v>
      </c>
      <c r="D1366" s="52" t="s">
        <v>2841</v>
      </c>
      <c r="E1366" s="52" t="s">
        <v>2840</v>
      </c>
      <c r="F1366" s="53" t="s">
        <v>5698</v>
      </c>
      <c r="G1366" s="51" t="s">
        <v>4812</v>
      </c>
      <c r="H1366" s="54"/>
      <c r="I1366" s="55">
        <v>66</v>
      </c>
      <c r="K1366" s="51" t="s">
        <v>5683</v>
      </c>
    </row>
    <row r="1367" spans="1:11">
      <c r="A1367" s="51">
        <v>1337</v>
      </c>
      <c r="B1367" s="51" t="s">
        <v>5682</v>
      </c>
      <c r="C1367" s="51" t="s">
        <v>5683</v>
      </c>
      <c r="D1367" s="52" t="s">
        <v>2639</v>
      </c>
      <c r="E1367" s="52" t="s">
        <v>2638</v>
      </c>
      <c r="F1367" s="53" t="s">
        <v>5699</v>
      </c>
      <c r="G1367" s="51" t="s">
        <v>4812</v>
      </c>
      <c r="H1367" s="54"/>
      <c r="I1367" s="55">
        <v>53</v>
      </c>
      <c r="K1367" s="51" t="s">
        <v>5683</v>
      </c>
    </row>
    <row r="1368" spans="1:11">
      <c r="A1368" s="51">
        <v>1338</v>
      </c>
      <c r="B1368" s="51" t="s">
        <v>5682</v>
      </c>
      <c r="C1368" s="51" t="s">
        <v>5683</v>
      </c>
      <c r="D1368" s="52" t="s">
        <v>2651</v>
      </c>
      <c r="E1368" s="52" t="s">
        <v>2650</v>
      </c>
      <c r="F1368" s="53" t="s">
        <v>5700</v>
      </c>
      <c r="G1368" s="51" t="s">
        <v>4812</v>
      </c>
      <c r="H1368" s="54"/>
      <c r="I1368" s="55">
        <v>107</v>
      </c>
      <c r="K1368" s="51" t="s">
        <v>5683</v>
      </c>
    </row>
    <row r="1369" spans="1:11">
      <c r="A1369" s="51">
        <v>1339</v>
      </c>
      <c r="B1369" s="51" t="s">
        <v>5682</v>
      </c>
      <c r="C1369" s="51" t="s">
        <v>5683</v>
      </c>
      <c r="D1369" s="52" t="s">
        <v>2653</v>
      </c>
      <c r="E1369" s="52" t="s">
        <v>2652</v>
      </c>
      <c r="F1369" s="53" t="s">
        <v>5700</v>
      </c>
      <c r="G1369" s="51" t="s">
        <v>4812</v>
      </c>
      <c r="H1369" s="54"/>
      <c r="I1369" s="55">
        <v>119</v>
      </c>
      <c r="K1369" s="51" t="s">
        <v>5683</v>
      </c>
    </row>
    <row r="1370" spans="1:11">
      <c r="A1370" s="51">
        <v>1340</v>
      </c>
      <c r="B1370" s="51" t="s">
        <v>5682</v>
      </c>
      <c r="C1370" s="51" t="s">
        <v>5683</v>
      </c>
      <c r="D1370" s="52" t="s">
        <v>2973</v>
      </c>
      <c r="E1370" s="52" t="s">
        <v>2972</v>
      </c>
      <c r="F1370" s="53" t="s">
        <v>5701</v>
      </c>
      <c r="G1370" s="51" t="s">
        <v>4812</v>
      </c>
      <c r="H1370" s="54"/>
      <c r="I1370" s="55">
        <v>153</v>
      </c>
      <c r="K1370" s="51" t="s">
        <v>5683</v>
      </c>
    </row>
    <row r="1371" spans="1:11">
      <c r="A1371" s="51">
        <v>1341</v>
      </c>
      <c r="B1371" s="51" t="s">
        <v>5682</v>
      </c>
      <c r="C1371" s="51" t="s">
        <v>5683</v>
      </c>
      <c r="D1371" s="52" t="s">
        <v>5702</v>
      </c>
      <c r="E1371" s="52" t="s">
        <v>5703</v>
      </c>
      <c r="F1371" s="53" t="s">
        <v>5704</v>
      </c>
      <c r="G1371" s="51" t="s">
        <v>4812</v>
      </c>
      <c r="H1371" s="54"/>
      <c r="I1371" s="55">
        <v>0</v>
      </c>
      <c r="K1371" s="51" t="s">
        <v>5683</v>
      </c>
    </row>
    <row r="1372" spans="1:11">
      <c r="A1372" s="51">
        <v>1342</v>
      </c>
      <c r="B1372" s="51" t="s">
        <v>5682</v>
      </c>
      <c r="C1372" s="51" t="s">
        <v>5683</v>
      </c>
      <c r="D1372" s="52" t="s">
        <v>5705</v>
      </c>
      <c r="E1372" s="52" t="s">
        <v>5706</v>
      </c>
      <c r="F1372" s="53" t="s">
        <v>5687</v>
      </c>
      <c r="G1372" s="51" t="s">
        <v>4812</v>
      </c>
      <c r="H1372" s="54"/>
      <c r="I1372" s="55">
        <v>0</v>
      </c>
      <c r="K1372" s="51" t="s">
        <v>5683</v>
      </c>
    </row>
    <row r="1373" spans="1:11">
      <c r="A1373" s="51">
        <v>1343</v>
      </c>
      <c r="B1373" s="51" t="s">
        <v>5682</v>
      </c>
      <c r="C1373" s="51" t="s">
        <v>5683</v>
      </c>
      <c r="D1373" s="52" t="s">
        <v>303</v>
      </c>
      <c r="E1373" s="52" t="s">
        <v>5707</v>
      </c>
      <c r="F1373" s="53" t="s">
        <v>5708</v>
      </c>
      <c r="G1373" s="51" t="s">
        <v>4812</v>
      </c>
      <c r="H1373" s="54"/>
      <c r="I1373" s="55">
        <v>17</v>
      </c>
      <c r="K1373" s="51" t="s">
        <v>5683</v>
      </c>
    </row>
    <row r="1374" spans="1:11">
      <c r="A1374" s="51">
        <v>1344</v>
      </c>
      <c r="B1374" s="51" t="s">
        <v>5682</v>
      </c>
      <c r="C1374" s="51" t="s">
        <v>5683</v>
      </c>
      <c r="D1374" s="52" t="s">
        <v>327</v>
      </c>
      <c r="E1374" s="52" t="s">
        <v>326</v>
      </c>
      <c r="F1374" s="53" t="s">
        <v>5709</v>
      </c>
      <c r="G1374" s="51" t="s">
        <v>4812</v>
      </c>
      <c r="H1374" s="54"/>
      <c r="I1374" s="55">
        <v>36</v>
      </c>
      <c r="K1374" s="51" t="s">
        <v>5683</v>
      </c>
    </row>
    <row r="1375" spans="1:11">
      <c r="A1375" s="51">
        <v>1345</v>
      </c>
      <c r="B1375" s="51" t="s">
        <v>5682</v>
      </c>
      <c r="C1375" s="51" t="s">
        <v>5683</v>
      </c>
      <c r="D1375" s="52" t="s">
        <v>2903</v>
      </c>
      <c r="E1375" s="52" t="s">
        <v>5710</v>
      </c>
      <c r="F1375" s="53" t="s">
        <v>5711</v>
      </c>
      <c r="G1375" s="51" t="s">
        <v>4812</v>
      </c>
      <c r="H1375" s="54"/>
      <c r="I1375" s="55">
        <v>0</v>
      </c>
      <c r="K1375" s="51" t="s">
        <v>5683</v>
      </c>
    </row>
    <row r="1376" spans="1:11">
      <c r="A1376" s="51">
        <v>1346</v>
      </c>
      <c r="B1376" s="51" t="s">
        <v>5682</v>
      </c>
      <c r="C1376" s="51" t="s">
        <v>5683</v>
      </c>
      <c r="D1376" s="52" t="s">
        <v>3420</v>
      </c>
      <c r="E1376" s="52" t="s">
        <v>5712</v>
      </c>
      <c r="F1376" s="53" t="s">
        <v>5713</v>
      </c>
      <c r="G1376" s="51" t="s">
        <v>4812</v>
      </c>
      <c r="H1376" s="54"/>
      <c r="I1376" s="55">
        <v>43</v>
      </c>
      <c r="K1376" s="51" t="s">
        <v>5683</v>
      </c>
    </row>
    <row r="1377" spans="1:11">
      <c r="A1377" s="51">
        <v>1347</v>
      </c>
      <c r="B1377" s="51" t="s">
        <v>5682</v>
      </c>
      <c r="C1377" s="51" t="s">
        <v>5683</v>
      </c>
      <c r="D1377" s="52" t="s">
        <v>2595</v>
      </c>
      <c r="E1377" s="52" t="s">
        <v>3415</v>
      </c>
      <c r="F1377" s="53" t="s">
        <v>5714</v>
      </c>
      <c r="G1377" s="51" t="s">
        <v>4812</v>
      </c>
      <c r="H1377" s="54"/>
      <c r="I1377" s="55">
        <v>50</v>
      </c>
      <c r="K1377" s="51" t="s">
        <v>5683</v>
      </c>
    </row>
    <row r="1378" spans="1:11">
      <c r="A1378" s="51">
        <v>1348</v>
      </c>
      <c r="B1378" s="51" t="s">
        <v>5715</v>
      </c>
      <c r="C1378" s="51" t="s">
        <v>5716</v>
      </c>
      <c r="D1378" s="52" t="s">
        <v>2579</v>
      </c>
      <c r="E1378" s="52" t="s">
        <v>2578</v>
      </c>
      <c r="F1378" s="53" t="s">
        <v>5717</v>
      </c>
      <c r="G1378" s="51" t="s">
        <v>4812</v>
      </c>
      <c r="H1378" s="54"/>
      <c r="I1378" s="55">
        <v>112</v>
      </c>
      <c r="K1378" s="51" t="s">
        <v>5716</v>
      </c>
    </row>
    <row r="1379" spans="1:11">
      <c r="A1379" s="51">
        <v>1349</v>
      </c>
      <c r="B1379" s="51" t="s">
        <v>5715</v>
      </c>
      <c r="C1379" s="51" t="s">
        <v>5716</v>
      </c>
      <c r="D1379" s="52" t="s">
        <v>3600</v>
      </c>
      <c r="E1379" s="52" t="s">
        <v>3599</v>
      </c>
      <c r="F1379" s="53" t="s">
        <v>4972</v>
      </c>
      <c r="G1379" s="51" t="s">
        <v>4812</v>
      </c>
      <c r="H1379" s="54"/>
      <c r="I1379" s="55">
        <v>62</v>
      </c>
      <c r="K1379" s="51" t="s">
        <v>5716</v>
      </c>
    </row>
    <row r="1380" spans="1:11">
      <c r="A1380" s="51">
        <v>1350</v>
      </c>
      <c r="B1380" s="51" t="s">
        <v>5715</v>
      </c>
      <c r="C1380" s="51" t="s">
        <v>5716</v>
      </c>
      <c r="D1380" s="52" t="s">
        <v>2801</v>
      </c>
      <c r="E1380" s="52" t="s">
        <v>2800</v>
      </c>
      <c r="F1380" s="53" t="s">
        <v>5718</v>
      </c>
      <c r="G1380" s="51" t="s">
        <v>4812</v>
      </c>
      <c r="H1380" s="54"/>
      <c r="I1380" s="55">
        <v>0</v>
      </c>
      <c r="K1380" s="51" t="s">
        <v>5716</v>
      </c>
    </row>
    <row r="1381" spans="1:11">
      <c r="A1381" s="51">
        <v>1351</v>
      </c>
      <c r="B1381" s="51" t="s">
        <v>5715</v>
      </c>
      <c r="C1381" s="51" t="s">
        <v>5716</v>
      </c>
      <c r="D1381" s="52" t="s">
        <v>3762</v>
      </c>
      <c r="E1381" s="52" t="s">
        <v>3761</v>
      </c>
      <c r="F1381" s="53" t="s">
        <v>5690</v>
      </c>
      <c r="G1381" s="51" t="s">
        <v>4812</v>
      </c>
      <c r="H1381" s="54"/>
      <c r="I1381" s="55">
        <v>50</v>
      </c>
      <c r="K1381" s="51" t="s">
        <v>5716</v>
      </c>
    </row>
    <row r="1382" spans="1:11">
      <c r="A1382" s="51">
        <v>1352</v>
      </c>
      <c r="B1382" s="51" t="s">
        <v>5715</v>
      </c>
      <c r="C1382" s="51" t="s">
        <v>5716</v>
      </c>
      <c r="D1382" s="52" t="s">
        <v>5719</v>
      </c>
      <c r="E1382" s="52" t="s">
        <v>5720</v>
      </c>
      <c r="F1382" s="53" t="s">
        <v>5721</v>
      </c>
      <c r="G1382" s="51" t="s">
        <v>4812</v>
      </c>
      <c r="H1382" s="54"/>
      <c r="I1382" s="55">
        <v>0</v>
      </c>
      <c r="K1382" s="51" t="s">
        <v>5716</v>
      </c>
    </row>
    <row r="1383" spans="1:11">
      <c r="A1383" s="51">
        <v>1353</v>
      </c>
      <c r="B1383" s="51" t="s">
        <v>5715</v>
      </c>
      <c r="C1383" s="51" t="s">
        <v>5716</v>
      </c>
      <c r="D1383" s="52" t="s">
        <v>3841</v>
      </c>
      <c r="E1383" s="52" t="s">
        <v>3840</v>
      </c>
      <c r="F1383" s="53" t="s">
        <v>5691</v>
      </c>
      <c r="G1383" s="51" t="s">
        <v>4812</v>
      </c>
      <c r="H1383" s="54"/>
      <c r="I1383" s="55">
        <v>109</v>
      </c>
      <c r="K1383" s="51" t="s">
        <v>5716</v>
      </c>
    </row>
    <row r="1384" spans="1:11">
      <c r="A1384" s="51">
        <v>1354</v>
      </c>
      <c r="B1384" s="51" t="s">
        <v>5715</v>
      </c>
      <c r="C1384" s="51" t="s">
        <v>5716</v>
      </c>
      <c r="D1384" s="52" t="s">
        <v>686</v>
      </c>
      <c r="E1384" s="52" t="s">
        <v>685</v>
      </c>
      <c r="F1384" s="53" t="s">
        <v>5691</v>
      </c>
      <c r="G1384" s="51" t="s">
        <v>4812</v>
      </c>
      <c r="H1384" s="54"/>
      <c r="I1384" s="55">
        <v>48</v>
      </c>
      <c r="K1384" s="51" t="s">
        <v>5716</v>
      </c>
    </row>
    <row r="1385" spans="1:11">
      <c r="A1385" s="51">
        <v>1355</v>
      </c>
      <c r="B1385" s="51" t="s">
        <v>5715</v>
      </c>
      <c r="C1385" s="51" t="s">
        <v>5716</v>
      </c>
      <c r="D1385" s="52" t="s">
        <v>5722</v>
      </c>
      <c r="E1385" s="52" t="s">
        <v>5723</v>
      </c>
      <c r="F1385" s="53" t="s">
        <v>5724</v>
      </c>
      <c r="G1385" s="51" t="s">
        <v>4812</v>
      </c>
      <c r="H1385" s="54"/>
      <c r="I1385" s="55">
        <v>0</v>
      </c>
      <c r="K1385" s="51" t="s">
        <v>5716</v>
      </c>
    </row>
    <row r="1386" spans="1:11">
      <c r="A1386" s="51">
        <v>1356</v>
      </c>
      <c r="B1386" s="51" t="s">
        <v>5715</v>
      </c>
      <c r="C1386" s="51" t="s">
        <v>5716</v>
      </c>
      <c r="D1386" s="52" t="s">
        <v>5725</v>
      </c>
      <c r="E1386" s="52" t="s">
        <v>5726</v>
      </c>
      <c r="F1386" s="53" t="s">
        <v>5727</v>
      </c>
      <c r="G1386" s="51" t="s">
        <v>4812</v>
      </c>
      <c r="H1386" s="54"/>
      <c r="I1386" s="55">
        <v>0</v>
      </c>
      <c r="K1386" s="51" t="s">
        <v>5716</v>
      </c>
    </row>
    <row r="1387" spans="1:11">
      <c r="A1387" s="51">
        <v>1357</v>
      </c>
      <c r="B1387" s="51" t="s">
        <v>5715</v>
      </c>
      <c r="C1387" s="51" t="s">
        <v>5716</v>
      </c>
      <c r="D1387" s="52" t="s">
        <v>299</v>
      </c>
      <c r="E1387" s="52" t="s">
        <v>298</v>
      </c>
      <c r="F1387" s="53" t="s">
        <v>5708</v>
      </c>
      <c r="G1387" s="51" t="s">
        <v>4812</v>
      </c>
      <c r="H1387" s="54"/>
      <c r="I1387" s="55">
        <v>43</v>
      </c>
      <c r="K1387" s="51" t="s">
        <v>5716</v>
      </c>
    </row>
    <row r="1388" spans="1:11">
      <c r="A1388" s="51">
        <v>1358</v>
      </c>
      <c r="B1388" s="51" t="s">
        <v>5715</v>
      </c>
      <c r="C1388" s="51" t="s">
        <v>5716</v>
      </c>
      <c r="D1388" s="52" t="s">
        <v>2817</v>
      </c>
      <c r="E1388" s="52" t="s">
        <v>2816</v>
      </c>
      <c r="F1388" s="53" t="s">
        <v>5728</v>
      </c>
      <c r="G1388" s="51" t="s">
        <v>4812</v>
      </c>
      <c r="H1388" s="54"/>
      <c r="I1388" s="55">
        <v>58</v>
      </c>
      <c r="K1388" s="51" t="s">
        <v>5716</v>
      </c>
    </row>
    <row r="1389" spans="1:11">
      <c r="A1389" s="51">
        <v>1359</v>
      </c>
      <c r="B1389" s="51" t="s">
        <v>5715</v>
      </c>
      <c r="C1389" s="51" t="s">
        <v>5716</v>
      </c>
      <c r="D1389" s="52" t="s">
        <v>2633</v>
      </c>
      <c r="E1389" s="52" t="s">
        <v>2632</v>
      </c>
      <c r="F1389" s="53" t="s">
        <v>5729</v>
      </c>
      <c r="G1389" s="51" t="s">
        <v>4812</v>
      </c>
      <c r="H1389" s="54"/>
      <c r="I1389" s="55">
        <v>52</v>
      </c>
      <c r="K1389" s="51" t="s">
        <v>5716</v>
      </c>
    </row>
    <row r="1390" spans="1:11">
      <c r="A1390" s="51">
        <v>1360</v>
      </c>
      <c r="B1390" s="51" t="s">
        <v>5715</v>
      </c>
      <c r="C1390" s="51" t="s">
        <v>5716</v>
      </c>
      <c r="D1390" s="52" t="s">
        <v>2651</v>
      </c>
      <c r="E1390" s="52" t="s">
        <v>2650</v>
      </c>
      <c r="F1390" s="53" t="s">
        <v>5700</v>
      </c>
      <c r="G1390" s="51" t="s">
        <v>4812</v>
      </c>
      <c r="H1390" s="54"/>
      <c r="I1390" s="55">
        <v>91</v>
      </c>
      <c r="K1390" s="51" t="s">
        <v>5716</v>
      </c>
    </row>
    <row r="1391" spans="1:11">
      <c r="A1391" s="51">
        <v>1361</v>
      </c>
      <c r="B1391" s="51" t="s">
        <v>5715</v>
      </c>
      <c r="C1391" s="51" t="s">
        <v>5716</v>
      </c>
      <c r="D1391" s="52" t="s">
        <v>2971</v>
      </c>
      <c r="E1391" s="52" t="s">
        <v>2970</v>
      </c>
      <c r="F1391" s="53" t="s">
        <v>5701</v>
      </c>
      <c r="G1391" s="51" t="s">
        <v>4812</v>
      </c>
      <c r="H1391" s="54"/>
      <c r="I1391" s="55">
        <v>88</v>
      </c>
      <c r="K1391" s="51" t="s">
        <v>5716</v>
      </c>
    </row>
    <row r="1392" spans="1:11">
      <c r="A1392" s="51">
        <v>1362</v>
      </c>
      <c r="B1392" s="51" t="s">
        <v>5715</v>
      </c>
      <c r="C1392" s="51" t="s">
        <v>5716</v>
      </c>
      <c r="D1392" s="52" t="s">
        <v>2571</v>
      </c>
      <c r="E1392" s="52" t="s">
        <v>2570</v>
      </c>
      <c r="F1392" s="53" t="s">
        <v>5730</v>
      </c>
      <c r="G1392" s="51" t="s">
        <v>4812</v>
      </c>
      <c r="H1392" s="54"/>
      <c r="I1392" s="55">
        <v>0</v>
      </c>
      <c r="K1392" s="51" t="s">
        <v>5716</v>
      </c>
    </row>
    <row r="1393" spans="1:11">
      <c r="A1393" s="51">
        <v>1363</v>
      </c>
      <c r="B1393" s="51" t="s">
        <v>5731</v>
      </c>
      <c r="C1393" s="51" t="s">
        <v>5732</v>
      </c>
      <c r="D1393" s="52" t="s">
        <v>2683</v>
      </c>
      <c r="E1393" s="52" t="s">
        <v>2682</v>
      </c>
      <c r="F1393" s="53" t="s">
        <v>5733</v>
      </c>
      <c r="G1393" s="51" t="s">
        <v>4812</v>
      </c>
      <c r="H1393" s="54"/>
      <c r="I1393" s="55">
        <v>70</v>
      </c>
      <c r="K1393" s="51" t="s">
        <v>5732</v>
      </c>
    </row>
    <row r="1394" spans="1:11">
      <c r="A1394" s="51">
        <v>1364</v>
      </c>
      <c r="B1394" s="51" t="s">
        <v>5731</v>
      </c>
      <c r="C1394" s="51" t="s">
        <v>5732</v>
      </c>
      <c r="D1394" s="52" t="s">
        <v>3600</v>
      </c>
      <c r="E1394" s="52" t="s">
        <v>3599</v>
      </c>
      <c r="F1394" s="53" t="s">
        <v>110</v>
      </c>
      <c r="G1394" s="51" t="s">
        <v>4812</v>
      </c>
      <c r="H1394" s="54"/>
      <c r="I1394" s="55">
        <v>0</v>
      </c>
      <c r="K1394" s="51" t="s">
        <v>5732</v>
      </c>
    </row>
    <row r="1395" spans="1:11">
      <c r="A1395" s="51">
        <v>1365</v>
      </c>
      <c r="B1395" s="51" t="s">
        <v>5731</v>
      </c>
      <c r="C1395" s="51" t="s">
        <v>5732</v>
      </c>
      <c r="D1395" s="52" t="s">
        <v>2831</v>
      </c>
      <c r="E1395" s="52" t="s">
        <v>2830</v>
      </c>
      <c r="F1395" s="53" t="s">
        <v>5689</v>
      </c>
      <c r="G1395" s="51" t="s">
        <v>4812</v>
      </c>
      <c r="H1395" s="54"/>
      <c r="I1395" s="55">
        <v>32</v>
      </c>
      <c r="K1395" s="51" t="s">
        <v>5732</v>
      </c>
    </row>
    <row r="1396" spans="1:11">
      <c r="A1396" s="51">
        <v>1366</v>
      </c>
      <c r="B1396" s="51" t="s">
        <v>5731</v>
      </c>
      <c r="C1396" s="51" t="s">
        <v>5732</v>
      </c>
      <c r="D1396" s="52" t="s">
        <v>3762</v>
      </c>
      <c r="E1396" s="52" t="s">
        <v>3761</v>
      </c>
      <c r="F1396" s="53" t="s">
        <v>5734</v>
      </c>
      <c r="G1396" s="51" t="s">
        <v>4812</v>
      </c>
      <c r="H1396" s="54"/>
      <c r="I1396" s="55">
        <v>58</v>
      </c>
      <c r="K1396" s="51" t="s">
        <v>5732</v>
      </c>
    </row>
    <row r="1397" spans="1:11">
      <c r="A1397" s="51">
        <v>1367</v>
      </c>
      <c r="B1397" s="51" t="s">
        <v>5731</v>
      </c>
      <c r="C1397" s="51" t="s">
        <v>5732</v>
      </c>
      <c r="D1397" s="52" t="s">
        <v>319</v>
      </c>
      <c r="E1397" s="52" t="s">
        <v>318</v>
      </c>
      <c r="F1397" s="53" t="s">
        <v>5735</v>
      </c>
      <c r="G1397" s="51" t="s">
        <v>4812</v>
      </c>
      <c r="H1397" s="54"/>
      <c r="I1397" s="55">
        <v>64</v>
      </c>
      <c r="K1397" s="51" t="s">
        <v>5732</v>
      </c>
    </row>
    <row r="1398" spans="1:11">
      <c r="A1398" s="51">
        <v>1368</v>
      </c>
      <c r="B1398" s="51" t="s">
        <v>5731</v>
      </c>
      <c r="C1398" s="51" t="s">
        <v>5732</v>
      </c>
      <c r="D1398" s="52" t="s">
        <v>5736</v>
      </c>
      <c r="E1398" s="52" t="s">
        <v>5737</v>
      </c>
      <c r="F1398" s="53" t="s">
        <v>5738</v>
      </c>
      <c r="G1398" s="51" t="s">
        <v>4812</v>
      </c>
      <c r="H1398" s="54"/>
      <c r="I1398" s="55">
        <v>0</v>
      </c>
      <c r="K1398" s="51" t="s">
        <v>5732</v>
      </c>
    </row>
    <row r="1399" spans="1:11">
      <c r="A1399" s="51">
        <v>1369</v>
      </c>
      <c r="B1399" s="51" t="s">
        <v>5731</v>
      </c>
      <c r="C1399" s="51" t="s">
        <v>5732</v>
      </c>
      <c r="D1399" s="52" t="s">
        <v>5739</v>
      </c>
      <c r="E1399" s="52" t="s">
        <v>5740</v>
      </c>
      <c r="F1399" s="53" t="s">
        <v>5741</v>
      </c>
      <c r="G1399" s="51" t="s">
        <v>4812</v>
      </c>
      <c r="H1399" s="54"/>
      <c r="I1399" s="55">
        <v>0</v>
      </c>
      <c r="K1399" s="51" t="s">
        <v>5732</v>
      </c>
    </row>
    <row r="1400" spans="1:11">
      <c r="A1400" s="51">
        <v>1370</v>
      </c>
      <c r="B1400" s="51" t="s">
        <v>5731</v>
      </c>
      <c r="C1400" s="51" t="s">
        <v>5732</v>
      </c>
      <c r="D1400" s="52" t="s">
        <v>5742</v>
      </c>
      <c r="E1400" s="52" t="s">
        <v>5743</v>
      </c>
      <c r="F1400" s="53" t="s">
        <v>5744</v>
      </c>
      <c r="G1400" s="51" t="s">
        <v>4812</v>
      </c>
      <c r="H1400" s="54"/>
      <c r="I1400" s="55">
        <v>0</v>
      </c>
      <c r="K1400" s="51" t="s">
        <v>5732</v>
      </c>
    </row>
    <row r="1401" spans="1:11">
      <c r="A1401" s="51">
        <v>1371</v>
      </c>
      <c r="B1401" s="51" t="s">
        <v>5731</v>
      </c>
      <c r="C1401" s="51" t="s">
        <v>5732</v>
      </c>
      <c r="D1401" s="52" t="s">
        <v>5745</v>
      </c>
      <c r="E1401" s="52" t="s">
        <v>5746</v>
      </c>
      <c r="F1401" s="53" t="s">
        <v>5687</v>
      </c>
      <c r="G1401" s="51" t="s">
        <v>4812</v>
      </c>
      <c r="H1401" s="54"/>
      <c r="I1401" s="55">
        <v>0</v>
      </c>
      <c r="K1401" s="51" t="s">
        <v>5732</v>
      </c>
    </row>
    <row r="1402" spans="1:11">
      <c r="A1402" s="51">
        <v>1372</v>
      </c>
      <c r="B1402" s="51" t="s">
        <v>5731</v>
      </c>
      <c r="C1402" s="51" t="s">
        <v>5732</v>
      </c>
      <c r="D1402" s="52" t="s">
        <v>686</v>
      </c>
      <c r="E1402" s="52" t="s">
        <v>685</v>
      </c>
      <c r="F1402" s="53" t="s">
        <v>5691</v>
      </c>
      <c r="G1402" s="51" t="s">
        <v>4812</v>
      </c>
      <c r="H1402" s="54"/>
      <c r="I1402" s="55">
        <v>156</v>
      </c>
      <c r="K1402" s="51" t="s">
        <v>5732</v>
      </c>
    </row>
    <row r="1403" spans="1:11">
      <c r="A1403" s="51">
        <v>1373</v>
      </c>
      <c r="B1403" s="51" t="s">
        <v>5731</v>
      </c>
      <c r="C1403" s="51" t="s">
        <v>5732</v>
      </c>
      <c r="D1403" s="52" t="s">
        <v>3843</v>
      </c>
      <c r="E1403" s="52" t="s">
        <v>3842</v>
      </c>
      <c r="F1403" s="53" t="s">
        <v>5747</v>
      </c>
      <c r="G1403" s="51" t="s">
        <v>4812</v>
      </c>
      <c r="H1403" s="54"/>
      <c r="I1403" s="55">
        <v>86</v>
      </c>
      <c r="K1403" s="51" t="s">
        <v>5732</v>
      </c>
    </row>
    <row r="1404" spans="1:11">
      <c r="A1404" s="51">
        <v>1374</v>
      </c>
      <c r="B1404" s="51" t="s">
        <v>5731</v>
      </c>
      <c r="C1404" s="51" t="s">
        <v>5732</v>
      </c>
      <c r="D1404" s="52" t="s">
        <v>3873</v>
      </c>
      <c r="E1404" s="52" t="s">
        <v>3872</v>
      </c>
      <c r="F1404" s="53" t="s">
        <v>5548</v>
      </c>
      <c r="G1404" s="51" t="s">
        <v>4812</v>
      </c>
      <c r="H1404" s="54"/>
      <c r="I1404" s="55">
        <v>63</v>
      </c>
      <c r="K1404" s="51" t="s">
        <v>5732</v>
      </c>
    </row>
    <row r="1405" spans="1:11">
      <c r="A1405" s="51">
        <v>1375</v>
      </c>
      <c r="B1405" s="51" t="s">
        <v>5731</v>
      </c>
      <c r="C1405" s="51" t="s">
        <v>5732</v>
      </c>
      <c r="D1405" s="52" t="s">
        <v>5748</v>
      </c>
      <c r="E1405" s="52" t="s">
        <v>5749</v>
      </c>
      <c r="F1405" s="53" t="s">
        <v>5687</v>
      </c>
      <c r="G1405" s="51" t="s">
        <v>4812</v>
      </c>
      <c r="H1405" s="54"/>
      <c r="I1405" s="55">
        <v>0</v>
      </c>
      <c r="K1405" s="51" t="s">
        <v>5732</v>
      </c>
    </row>
    <row r="1406" spans="1:11">
      <c r="A1406" s="51">
        <v>1376</v>
      </c>
      <c r="B1406" s="51" t="s">
        <v>5731</v>
      </c>
      <c r="C1406" s="51" t="s">
        <v>5732</v>
      </c>
      <c r="D1406" s="52" t="s">
        <v>5750</v>
      </c>
      <c r="E1406" s="52" t="s">
        <v>5751</v>
      </c>
      <c r="F1406" s="53" t="s">
        <v>5687</v>
      </c>
      <c r="G1406" s="51" t="s">
        <v>4812</v>
      </c>
      <c r="H1406" s="54"/>
      <c r="I1406" s="55">
        <v>0</v>
      </c>
      <c r="K1406" s="51" t="s">
        <v>5732</v>
      </c>
    </row>
    <row r="1407" spans="1:11">
      <c r="A1407" s="51">
        <v>1377</v>
      </c>
      <c r="B1407" s="51" t="s">
        <v>5731</v>
      </c>
      <c r="C1407" s="51" t="s">
        <v>5732</v>
      </c>
      <c r="D1407" s="52" t="s">
        <v>5752</v>
      </c>
      <c r="E1407" s="52" t="s">
        <v>5753</v>
      </c>
      <c r="F1407" s="53" t="s">
        <v>5687</v>
      </c>
      <c r="G1407" s="51" t="s">
        <v>4812</v>
      </c>
      <c r="H1407" s="54"/>
      <c r="I1407" s="55">
        <v>0</v>
      </c>
      <c r="K1407" s="51" t="s">
        <v>5732</v>
      </c>
    </row>
    <row r="1408" spans="1:11">
      <c r="A1408" s="51">
        <v>1378</v>
      </c>
      <c r="B1408" s="51" t="s">
        <v>5731</v>
      </c>
      <c r="C1408" s="51" t="s">
        <v>5732</v>
      </c>
      <c r="D1408" s="52" t="s">
        <v>5754</v>
      </c>
      <c r="E1408" s="52" t="s">
        <v>5755</v>
      </c>
      <c r="F1408" s="53" t="s">
        <v>5687</v>
      </c>
      <c r="G1408" s="51" t="s">
        <v>4812</v>
      </c>
      <c r="H1408" s="54"/>
      <c r="I1408" s="55">
        <v>0</v>
      </c>
      <c r="K1408" s="51" t="s">
        <v>5732</v>
      </c>
    </row>
    <row r="1409" spans="1:11">
      <c r="A1409" s="51">
        <v>1379</v>
      </c>
      <c r="B1409" s="51" t="s">
        <v>5731</v>
      </c>
      <c r="C1409" s="51" t="s">
        <v>5732</v>
      </c>
      <c r="D1409" s="52" t="s">
        <v>2651</v>
      </c>
      <c r="E1409" s="52" t="s">
        <v>2650</v>
      </c>
      <c r="F1409" s="53" t="s">
        <v>5700</v>
      </c>
      <c r="G1409" s="51" t="s">
        <v>4812</v>
      </c>
      <c r="H1409" s="54"/>
      <c r="I1409" s="55">
        <v>263</v>
      </c>
      <c r="K1409" s="51" t="s">
        <v>5732</v>
      </c>
    </row>
    <row r="1410" spans="1:11">
      <c r="A1410" s="51">
        <v>1380</v>
      </c>
      <c r="B1410" s="51" t="s">
        <v>5731</v>
      </c>
      <c r="C1410" s="51" t="s">
        <v>5732</v>
      </c>
      <c r="D1410" s="52" t="s">
        <v>2653</v>
      </c>
      <c r="E1410" s="52" t="s">
        <v>2652</v>
      </c>
      <c r="F1410" s="53" t="s">
        <v>5700</v>
      </c>
      <c r="G1410" s="51" t="s">
        <v>4812</v>
      </c>
      <c r="H1410" s="54"/>
      <c r="I1410" s="55">
        <v>190</v>
      </c>
      <c r="K1410" s="51" t="s">
        <v>5732</v>
      </c>
    </row>
    <row r="1411" spans="1:11">
      <c r="A1411" s="51">
        <v>1381</v>
      </c>
      <c r="B1411" s="51" t="s">
        <v>5731</v>
      </c>
      <c r="C1411" s="51" t="s">
        <v>5732</v>
      </c>
      <c r="D1411" s="52" t="s">
        <v>492</v>
      </c>
      <c r="E1411" s="52" t="s">
        <v>491</v>
      </c>
      <c r="F1411" s="53" t="s">
        <v>5756</v>
      </c>
      <c r="G1411" s="51" t="s">
        <v>4812</v>
      </c>
      <c r="H1411" s="54"/>
      <c r="I1411" s="55">
        <v>59</v>
      </c>
      <c r="K1411" s="51" t="s">
        <v>5732</v>
      </c>
    </row>
    <row r="1412" spans="1:11">
      <c r="A1412" s="51">
        <v>1382</v>
      </c>
      <c r="B1412" s="51" t="s">
        <v>5731</v>
      </c>
      <c r="C1412" s="51" t="s">
        <v>5732</v>
      </c>
      <c r="D1412" s="52" t="s">
        <v>2669</v>
      </c>
      <c r="E1412" s="52" t="s">
        <v>2668</v>
      </c>
      <c r="F1412" s="53" t="s">
        <v>5700</v>
      </c>
      <c r="G1412" s="51" t="s">
        <v>4812</v>
      </c>
      <c r="H1412" s="54"/>
      <c r="I1412" s="55">
        <v>1</v>
      </c>
      <c r="K1412" s="51" t="s">
        <v>5732</v>
      </c>
    </row>
    <row r="1413" spans="1:11">
      <c r="A1413" s="51">
        <v>1383</v>
      </c>
      <c r="B1413" s="51" t="s">
        <v>5731</v>
      </c>
      <c r="C1413" s="51" t="s">
        <v>5732</v>
      </c>
      <c r="D1413" s="52" t="s">
        <v>2855</v>
      </c>
      <c r="E1413" s="52" t="s">
        <v>2854</v>
      </c>
      <c r="F1413" s="53" t="s">
        <v>5757</v>
      </c>
      <c r="G1413" s="51" t="s">
        <v>4812</v>
      </c>
      <c r="H1413" s="54"/>
      <c r="I1413" s="55">
        <v>20</v>
      </c>
      <c r="K1413" s="51" t="s">
        <v>5732</v>
      </c>
    </row>
    <row r="1414" spans="1:11">
      <c r="A1414" s="51">
        <v>1384</v>
      </c>
      <c r="B1414" s="51" t="s">
        <v>5731</v>
      </c>
      <c r="C1414" s="51" t="s">
        <v>5732</v>
      </c>
      <c r="D1414" s="52" t="s">
        <v>2973</v>
      </c>
      <c r="E1414" s="52" t="s">
        <v>2972</v>
      </c>
      <c r="F1414" s="53" t="s">
        <v>5701</v>
      </c>
      <c r="G1414" s="51" t="s">
        <v>4812</v>
      </c>
      <c r="H1414" s="54"/>
      <c r="I1414" s="55">
        <v>231</v>
      </c>
      <c r="K1414" s="51" t="s">
        <v>5732</v>
      </c>
    </row>
    <row r="1415" spans="1:11">
      <c r="A1415" s="51">
        <v>1385</v>
      </c>
      <c r="B1415" s="51" t="s">
        <v>5731</v>
      </c>
      <c r="C1415" s="51" t="s">
        <v>5732</v>
      </c>
      <c r="D1415" s="52" t="s">
        <v>2637</v>
      </c>
      <c r="E1415" s="52" t="s">
        <v>2636</v>
      </c>
      <c r="F1415" s="53" t="s">
        <v>5699</v>
      </c>
      <c r="G1415" s="51" t="s">
        <v>4812</v>
      </c>
      <c r="H1415" s="54"/>
      <c r="I1415" s="55">
        <v>72</v>
      </c>
      <c r="K1415" s="51" t="s">
        <v>5732</v>
      </c>
    </row>
    <row r="1416" spans="1:11">
      <c r="A1416" s="51">
        <v>1386</v>
      </c>
      <c r="B1416" s="51" t="s">
        <v>5758</v>
      </c>
      <c r="C1416" s="51" t="s">
        <v>5759</v>
      </c>
      <c r="D1416" s="52" t="s">
        <v>2579</v>
      </c>
      <c r="E1416" s="52" t="s">
        <v>2578</v>
      </c>
      <c r="F1416" s="53" t="s">
        <v>5760</v>
      </c>
      <c r="G1416" s="51" t="s">
        <v>4812</v>
      </c>
      <c r="H1416" s="54"/>
      <c r="I1416" s="55">
        <v>118</v>
      </c>
      <c r="K1416" s="51" t="s">
        <v>5759</v>
      </c>
    </row>
    <row r="1417" spans="1:11">
      <c r="A1417" s="51">
        <v>1387</v>
      </c>
      <c r="B1417" s="51" t="s">
        <v>5758</v>
      </c>
      <c r="C1417" s="51" t="s">
        <v>5759</v>
      </c>
      <c r="D1417" s="52" t="s">
        <v>3600</v>
      </c>
      <c r="E1417" s="52" t="s">
        <v>3599</v>
      </c>
      <c r="F1417" s="53" t="s">
        <v>110</v>
      </c>
      <c r="G1417" s="51" t="s">
        <v>4812</v>
      </c>
      <c r="H1417" s="54"/>
      <c r="I1417" s="55">
        <v>0</v>
      </c>
      <c r="K1417" s="51" t="s">
        <v>5759</v>
      </c>
    </row>
    <row r="1418" spans="1:11">
      <c r="A1418" s="51">
        <v>1388</v>
      </c>
      <c r="B1418" s="51" t="s">
        <v>5758</v>
      </c>
      <c r="C1418" s="51" t="s">
        <v>5759</v>
      </c>
      <c r="D1418" s="52" t="s">
        <v>2799</v>
      </c>
      <c r="E1418" s="52" t="s">
        <v>2798</v>
      </c>
      <c r="F1418" s="53" t="s">
        <v>5761</v>
      </c>
      <c r="G1418" s="51" t="s">
        <v>4812</v>
      </c>
      <c r="H1418" s="54"/>
      <c r="I1418" s="55">
        <v>31</v>
      </c>
      <c r="K1418" s="51" t="s">
        <v>5759</v>
      </c>
    </row>
    <row r="1419" spans="1:11">
      <c r="A1419" s="51">
        <v>1389</v>
      </c>
      <c r="B1419" s="51" t="s">
        <v>5758</v>
      </c>
      <c r="C1419" s="51" t="s">
        <v>5759</v>
      </c>
      <c r="D1419" s="52" t="s">
        <v>3762</v>
      </c>
      <c r="E1419" s="52" t="s">
        <v>3761</v>
      </c>
      <c r="F1419" s="53" t="s">
        <v>5734</v>
      </c>
      <c r="G1419" s="51" t="s">
        <v>4812</v>
      </c>
      <c r="H1419" s="54"/>
      <c r="I1419" s="55">
        <v>49</v>
      </c>
      <c r="K1419" s="51" t="s">
        <v>5759</v>
      </c>
    </row>
    <row r="1420" spans="1:11">
      <c r="A1420" s="51">
        <v>1390</v>
      </c>
      <c r="B1420" s="51" t="s">
        <v>5758</v>
      </c>
      <c r="C1420" s="51" t="s">
        <v>5759</v>
      </c>
      <c r="D1420" s="52" t="s">
        <v>295</v>
      </c>
      <c r="E1420" s="52" t="s">
        <v>294</v>
      </c>
      <c r="F1420" s="53" t="s">
        <v>5762</v>
      </c>
      <c r="G1420" s="51" t="s">
        <v>4812</v>
      </c>
      <c r="H1420" s="54"/>
      <c r="I1420" s="55">
        <v>51</v>
      </c>
      <c r="K1420" s="51" t="s">
        <v>5759</v>
      </c>
    </row>
    <row r="1421" spans="1:11">
      <c r="A1421" s="51">
        <v>1391</v>
      </c>
      <c r="B1421" s="51" t="s">
        <v>5758</v>
      </c>
      <c r="C1421" s="51" t="s">
        <v>5759</v>
      </c>
      <c r="D1421" s="52" t="s">
        <v>5763</v>
      </c>
      <c r="E1421" s="52" t="s">
        <v>5764</v>
      </c>
      <c r="F1421" s="53" t="s">
        <v>5765</v>
      </c>
      <c r="G1421" s="51" t="s">
        <v>4812</v>
      </c>
      <c r="H1421" s="54"/>
      <c r="I1421" s="55">
        <v>0</v>
      </c>
      <c r="K1421" s="51" t="s">
        <v>5759</v>
      </c>
    </row>
    <row r="1422" spans="1:11">
      <c r="A1422" s="51">
        <v>1392</v>
      </c>
      <c r="B1422" s="51" t="s">
        <v>5758</v>
      </c>
      <c r="C1422" s="51" t="s">
        <v>5759</v>
      </c>
      <c r="D1422" s="52" t="s">
        <v>5766</v>
      </c>
      <c r="E1422" s="52" t="s">
        <v>5767</v>
      </c>
      <c r="F1422" s="53" t="s">
        <v>5765</v>
      </c>
      <c r="G1422" s="51" t="s">
        <v>4812</v>
      </c>
      <c r="H1422" s="54"/>
      <c r="I1422" s="55">
        <v>0</v>
      </c>
      <c r="K1422" s="51" t="s">
        <v>5759</v>
      </c>
    </row>
    <row r="1423" spans="1:11">
      <c r="A1423" s="51">
        <v>1393</v>
      </c>
      <c r="B1423" s="51" t="s">
        <v>5758</v>
      </c>
      <c r="C1423" s="51" t="s">
        <v>5759</v>
      </c>
      <c r="D1423" s="52" t="s">
        <v>5768</v>
      </c>
      <c r="E1423" s="52" t="s">
        <v>5769</v>
      </c>
      <c r="F1423" s="53" t="s">
        <v>5770</v>
      </c>
      <c r="G1423" s="51" t="s">
        <v>4812</v>
      </c>
      <c r="H1423" s="54"/>
      <c r="I1423" s="55">
        <v>0</v>
      </c>
      <c r="K1423" s="51" t="s">
        <v>5759</v>
      </c>
    </row>
    <row r="1424" spans="1:11">
      <c r="A1424" s="51">
        <v>1394</v>
      </c>
      <c r="B1424" s="51" t="s">
        <v>5758</v>
      </c>
      <c r="C1424" s="51" t="s">
        <v>5759</v>
      </c>
      <c r="D1424" s="52" t="s">
        <v>5771</v>
      </c>
      <c r="E1424" s="52" t="s">
        <v>5772</v>
      </c>
      <c r="F1424" s="53" t="s">
        <v>5773</v>
      </c>
      <c r="G1424" s="51" t="s">
        <v>4812</v>
      </c>
      <c r="H1424" s="54"/>
      <c r="I1424" s="55">
        <v>0</v>
      </c>
      <c r="K1424" s="51" t="s">
        <v>5759</v>
      </c>
    </row>
    <row r="1425" spans="1:11">
      <c r="A1425" s="51">
        <v>1395</v>
      </c>
      <c r="B1425" s="51" t="s">
        <v>5758</v>
      </c>
      <c r="C1425" s="51" t="s">
        <v>5759</v>
      </c>
      <c r="D1425" s="52" t="s">
        <v>686</v>
      </c>
      <c r="E1425" s="52" t="s">
        <v>685</v>
      </c>
      <c r="F1425" s="53" t="s">
        <v>5691</v>
      </c>
      <c r="G1425" s="51" t="s">
        <v>4812</v>
      </c>
      <c r="H1425" s="54"/>
      <c r="I1425" s="55">
        <v>169</v>
      </c>
      <c r="K1425" s="51" t="s">
        <v>5759</v>
      </c>
    </row>
    <row r="1426" spans="1:11">
      <c r="A1426" s="51">
        <v>1396</v>
      </c>
      <c r="B1426" s="51" t="s">
        <v>5758</v>
      </c>
      <c r="C1426" s="51" t="s">
        <v>5759</v>
      </c>
      <c r="D1426" s="52" t="s">
        <v>3843</v>
      </c>
      <c r="E1426" s="52" t="s">
        <v>3842</v>
      </c>
      <c r="F1426" s="53" t="s">
        <v>5691</v>
      </c>
      <c r="G1426" s="51" t="s">
        <v>4812</v>
      </c>
      <c r="H1426" s="54"/>
      <c r="I1426" s="55">
        <v>134</v>
      </c>
      <c r="K1426" s="51" t="s">
        <v>5759</v>
      </c>
    </row>
    <row r="1427" spans="1:11">
      <c r="A1427" s="51">
        <v>1397</v>
      </c>
      <c r="B1427" s="51" t="s">
        <v>5758</v>
      </c>
      <c r="C1427" s="51" t="s">
        <v>5759</v>
      </c>
      <c r="D1427" s="52" t="s">
        <v>3873</v>
      </c>
      <c r="E1427" s="52" t="s">
        <v>3872</v>
      </c>
      <c r="F1427" s="53" t="s">
        <v>5548</v>
      </c>
      <c r="G1427" s="51" t="s">
        <v>4812</v>
      </c>
      <c r="H1427" s="54"/>
      <c r="I1427" s="55">
        <v>63</v>
      </c>
      <c r="K1427" s="51" t="s">
        <v>5759</v>
      </c>
    </row>
    <row r="1428" spans="1:11">
      <c r="A1428" s="51">
        <v>1398</v>
      </c>
      <c r="B1428" s="51" t="s">
        <v>5758</v>
      </c>
      <c r="C1428" s="51" t="s">
        <v>5759</v>
      </c>
      <c r="D1428" s="52" t="s">
        <v>5774</v>
      </c>
      <c r="E1428" s="52" t="s">
        <v>5775</v>
      </c>
      <c r="F1428" s="53" t="s">
        <v>5773</v>
      </c>
      <c r="G1428" s="51" t="s">
        <v>4812</v>
      </c>
      <c r="H1428" s="54"/>
      <c r="I1428" s="55">
        <v>0</v>
      </c>
      <c r="K1428" s="51" t="s">
        <v>5759</v>
      </c>
    </row>
    <row r="1429" spans="1:11">
      <c r="A1429" s="51">
        <v>1399</v>
      </c>
      <c r="B1429" s="51" t="s">
        <v>5758</v>
      </c>
      <c r="C1429" s="51" t="s">
        <v>5759</v>
      </c>
      <c r="D1429" s="52" t="s">
        <v>5776</v>
      </c>
      <c r="E1429" s="52" t="s">
        <v>5777</v>
      </c>
      <c r="F1429" s="53" t="s">
        <v>5773</v>
      </c>
      <c r="G1429" s="51" t="s">
        <v>4812</v>
      </c>
      <c r="H1429" s="54"/>
      <c r="I1429" s="55">
        <v>0</v>
      </c>
      <c r="K1429" s="51" t="s">
        <v>5759</v>
      </c>
    </row>
    <row r="1430" spans="1:11">
      <c r="A1430" s="51">
        <v>1400</v>
      </c>
      <c r="B1430" s="51" t="s">
        <v>5758</v>
      </c>
      <c r="C1430" s="51" t="s">
        <v>5759</v>
      </c>
      <c r="D1430" s="52" t="s">
        <v>5778</v>
      </c>
      <c r="E1430" s="52" t="s">
        <v>5779</v>
      </c>
      <c r="F1430" s="53" t="s">
        <v>5773</v>
      </c>
      <c r="G1430" s="51" t="s">
        <v>4812</v>
      </c>
      <c r="H1430" s="54"/>
      <c r="I1430" s="55">
        <v>0</v>
      </c>
      <c r="K1430" s="51" t="s">
        <v>5759</v>
      </c>
    </row>
    <row r="1431" spans="1:11">
      <c r="A1431" s="51">
        <v>1401</v>
      </c>
      <c r="B1431" s="51" t="s">
        <v>5758</v>
      </c>
      <c r="C1431" s="51" t="s">
        <v>5759</v>
      </c>
      <c r="D1431" s="52" t="s">
        <v>5780</v>
      </c>
      <c r="E1431" s="52" t="s">
        <v>5781</v>
      </c>
      <c r="F1431" s="53" t="s">
        <v>5773</v>
      </c>
      <c r="G1431" s="51" t="s">
        <v>4812</v>
      </c>
      <c r="H1431" s="54"/>
      <c r="I1431" s="55">
        <v>0</v>
      </c>
      <c r="K1431" s="51" t="s">
        <v>5759</v>
      </c>
    </row>
    <row r="1432" spans="1:11">
      <c r="A1432" s="51">
        <v>1402</v>
      </c>
      <c r="B1432" s="51" t="s">
        <v>5758</v>
      </c>
      <c r="C1432" s="51" t="s">
        <v>5759</v>
      </c>
      <c r="D1432" s="52" t="s">
        <v>2651</v>
      </c>
      <c r="E1432" s="52" t="s">
        <v>2650</v>
      </c>
      <c r="F1432" s="53" t="s">
        <v>5700</v>
      </c>
      <c r="G1432" s="51" t="s">
        <v>4812</v>
      </c>
      <c r="H1432" s="54"/>
      <c r="I1432" s="55">
        <v>98</v>
      </c>
      <c r="K1432" s="51" t="s">
        <v>5759</v>
      </c>
    </row>
    <row r="1433" spans="1:11">
      <c r="A1433" s="51">
        <v>1403</v>
      </c>
      <c r="B1433" s="51" t="s">
        <v>5758</v>
      </c>
      <c r="C1433" s="51" t="s">
        <v>5759</v>
      </c>
      <c r="D1433" s="52" t="s">
        <v>2653</v>
      </c>
      <c r="E1433" s="52" t="s">
        <v>2652</v>
      </c>
      <c r="F1433" s="53" t="s">
        <v>5700</v>
      </c>
      <c r="G1433" s="51" t="s">
        <v>4812</v>
      </c>
      <c r="H1433" s="54"/>
      <c r="I1433" s="55">
        <v>267</v>
      </c>
      <c r="K1433" s="51" t="s">
        <v>5759</v>
      </c>
    </row>
    <row r="1434" spans="1:11">
      <c r="A1434" s="51">
        <v>1404</v>
      </c>
      <c r="B1434" s="51" t="s">
        <v>5758</v>
      </c>
      <c r="C1434" s="51" t="s">
        <v>5759</v>
      </c>
      <c r="D1434" s="52" t="s">
        <v>492</v>
      </c>
      <c r="E1434" s="52" t="s">
        <v>491</v>
      </c>
      <c r="F1434" s="53" t="s">
        <v>5756</v>
      </c>
      <c r="G1434" s="51" t="s">
        <v>4812</v>
      </c>
      <c r="H1434" s="54"/>
      <c r="I1434" s="55">
        <v>155</v>
      </c>
      <c r="K1434" s="51" t="s">
        <v>5759</v>
      </c>
    </row>
    <row r="1435" spans="1:11">
      <c r="A1435" s="51">
        <v>1405</v>
      </c>
      <c r="B1435" s="51" t="s">
        <v>5758</v>
      </c>
      <c r="C1435" s="51" t="s">
        <v>5759</v>
      </c>
      <c r="D1435" s="52" t="s">
        <v>2669</v>
      </c>
      <c r="E1435" s="52" t="s">
        <v>2668</v>
      </c>
      <c r="F1435" s="53" t="s">
        <v>5700</v>
      </c>
      <c r="G1435" s="51" t="s">
        <v>4812</v>
      </c>
      <c r="H1435" s="54"/>
      <c r="I1435" s="55">
        <v>20</v>
      </c>
      <c r="K1435" s="51" t="s">
        <v>5759</v>
      </c>
    </row>
    <row r="1436" spans="1:11">
      <c r="A1436" s="51">
        <v>1406</v>
      </c>
      <c r="B1436" s="51" t="s">
        <v>5758</v>
      </c>
      <c r="C1436" s="51" t="s">
        <v>5759</v>
      </c>
      <c r="D1436" s="52" t="s">
        <v>2855</v>
      </c>
      <c r="E1436" s="52" t="s">
        <v>2854</v>
      </c>
      <c r="F1436" s="53" t="s">
        <v>5782</v>
      </c>
      <c r="G1436" s="51" t="s">
        <v>4812</v>
      </c>
      <c r="H1436" s="54"/>
      <c r="I1436" s="55">
        <v>136</v>
      </c>
      <c r="K1436" s="51" t="s">
        <v>5759</v>
      </c>
    </row>
    <row r="1437" spans="1:11">
      <c r="A1437" s="51">
        <v>1407</v>
      </c>
      <c r="B1437" s="51" t="s">
        <v>5758</v>
      </c>
      <c r="C1437" s="51" t="s">
        <v>5759</v>
      </c>
      <c r="D1437" s="52" t="s">
        <v>2657</v>
      </c>
      <c r="E1437" s="52" t="s">
        <v>5783</v>
      </c>
      <c r="F1437" s="53" t="s">
        <v>5784</v>
      </c>
      <c r="G1437" s="51" t="s">
        <v>4812</v>
      </c>
      <c r="H1437" s="54"/>
      <c r="I1437" s="55">
        <v>96</v>
      </c>
      <c r="K1437" s="51" t="s">
        <v>5759</v>
      </c>
    </row>
    <row r="1438" spans="1:11">
      <c r="A1438" s="51">
        <v>1408</v>
      </c>
      <c r="B1438" s="51" t="s">
        <v>5758</v>
      </c>
      <c r="C1438" s="51" t="s">
        <v>5759</v>
      </c>
      <c r="D1438" s="52" t="s">
        <v>2971</v>
      </c>
      <c r="E1438" s="52" t="s">
        <v>2970</v>
      </c>
      <c r="F1438" s="53" t="s">
        <v>5701</v>
      </c>
      <c r="G1438" s="51" t="s">
        <v>4812</v>
      </c>
      <c r="H1438" s="54"/>
      <c r="I1438" s="55">
        <v>227</v>
      </c>
      <c r="K1438" s="51" t="s">
        <v>5759</v>
      </c>
    </row>
    <row r="1439" spans="1:11">
      <c r="A1439" s="51">
        <v>1409</v>
      </c>
      <c r="B1439" s="51" t="s">
        <v>5758</v>
      </c>
      <c r="C1439" s="51" t="s">
        <v>5759</v>
      </c>
      <c r="D1439" s="52" t="s">
        <v>2631</v>
      </c>
      <c r="E1439" s="52" t="s">
        <v>2630</v>
      </c>
      <c r="F1439" s="53" t="s">
        <v>5729</v>
      </c>
      <c r="G1439" s="51" t="s">
        <v>4812</v>
      </c>
      <c r="H1439" s="54"/>
      <c r="I1439" s="55">
        <v>8</v>
      </c>
      <c r="K1439" s="51" t="s">
        <v>5759</v>
      </c>
    </row>
    <row r="1440" spans="1:11">
      <c r="A1440" s="51">
        <v>1410</v>
      </c>
      <c r="B1440" s="51" t="s">
        <v>5785</v>
      </c>
      <c r="C1440" s="51" t="s">
        <v>5786</v>
      </c>
      <c r="D1440" s="52" t="s">
        <v>438</v>
      </c>
      <c r="E1440" s="52" t="s">
        <v>437</v>
      </c>
      <c r="F1440" s="53" t="s">
        <v>5787</v>
      </c>
      <c r="G1440" s="51" t="s">
        <v>4812</v>
      </c>
      <c r="H1440" s="54"/>
      <c r="I1440" s="55">
        <v>58</v>
      </c>
      <c r="K1440" s="51" t="s">
        <v>5786</v>
      </c>
    </row>
    <row r="1441" spans="1:11">
      <c r="A1441" s="51">
        <v>1411</v>
      </c>
      <c r="B1441" s="51" t="s">
        <v>5785</v>
      </c>
      <c r="C1441" s="51" t="s">
        <v>5786</v>
      </c>
      <c r="D1441" s="52" t="s">
        <v>675</v>
      </c>
      <c r="E1441" s="52" t="s">
        <v>674</v>
      </c>
      <c r="F1441" s="53" t="s">
        <v>5788</v>
      </c>
      <c r="G1441" s="51" t="s">
        <v>4812</v>
      </c>
      <c r="H1441" s="54"/>
      <c r="I1441" s="55">
        <v>124</v>
      </c>
      <c r="K1441" s="51" t="s">
        <v>5786</v>
      </c>
    </row>
    <row r="1442" spans="1:11">
      <c r="A1442" s="51">
        <v>1412</v>
      </c>
      <c r="B1442" s="51" t="s">
        <v>5785</v>
      </c>
      <c r="C1442" s="51" t="s">
        <v>5786</v>
      </c>
      <c r="D1442" s="52" t="s">
        <v>5789</v>
      </c>
      <c r="E1442" s="52" t="s">
        <v>2682</v>
      </c>
      <c r="F1442" s="53" t="s">
        <v>5733</v>
      </c>
      <c r="G1442" s="51" t="s">
        <v>4812</v>
      </c>
      <c r="H1442" s="54"/>
      <c r="I1442" s="55">
        <v>60</v>
      </c>
      <c r="K1442" s="51" t="s">
        <v>5786</v>
      </c>
    </row>
    <row r="1443" spans="1:11">
      <c r="A1443" s="51">
        <v>1413</v>
      </c>
      <c r="B1443" s="51" t="s">
        <v>5785</v>
      </c>
      <c r="C1443" s="51" t="s">
        <v>5786</v>
      </c>
      <c r="D1443" s="52" t="s">
        <v>2939</v>
      </c>
      <c r="E1443" s="52" t="s">
        <v>2938</v>
      </c>
      <c r="F1443" s="53" t="s">
        <v>5790</v>
      </c>
      <c r="G1443" s="51" t="s">
        <v>4812</v>
      </c>
      <c r="H1443" s="54"/>
      <c r="I1443" s="55">
        <v>0</v>
      </c>
      <c r="K1443" s="51" t="s">
        <v>5786</v>
      </c>
    </row>
    <row r="1444" spans="1:11">
      <c r="A1444" s="51">
        <v>1414</v>
      </c>
      <c r="B1444" s="51" t="s">
        <v>5785</v>
      </c>
      <c r="C1444" s="51" t="s">
        <v>5786</v>
      </c>
      <c r="D1444" s="52" t="s">
        <v>2943</v>
      </c>
      <c r="E1444" s="52" t="s">
        <v>2942</v>
      </c>
      <c r="F1444" s="53" t="s">
        <v>5791</v>
      </c>
      <c r="G1444" s="51" t="s">
        <v>4812</v>
      </c>
      <c r="H1444" s="54"/>
      <c r="I1444" s="55">
        <v>0</v>
      </c>
      <c r="K1444" s="51" t="s">
        <v>5786</v>
      </c>
    </row>
    <row r="1445" spans="1:11">
      <c r="A1445" s="51">
        <v>1415</v>
      </c>
      <c r="B1445" s="51" t="s">
        <v>5785</v>
      </c>
      <c r="C1445" s="51" t="s">
        <v>5786</v>
      </c>
      <c r="D1445" s="52" t="s">
        <v>2951</v>
      </c>
      <c r="E1445" s="52" t="s">
        <v>2950</v>
      </c>
      <c r="F1445" s="53" t="s">
        <v>5792</v>
      </c>
      <c r="G1445" s="51" t="s">
        <v>4812</v>
      </c>
      <c r="H1445" s="54"/>
      <c r="I1445" s="55">
        <v>178</v>
      </c>
      <c r="K1445" s="51" t="s">
        <v>5786</v>
      </c>
    </row>
    <row r="1446" spans="1:11">
      <c r="A1446" s="51">
        <v>1416</v>
      </c>
      <c r="B1446" s="51" t="s">
        <v>5785</v>
      </c>
      <c r="C1446" s="51" t="s">
        <v>5786</v>
      </c>
      <c r="D1446" s="52" t="s">
        <v>3212</v>
      </c>
      <c r="E1446" s="52" t="s">
        <v>5793</v>
      </c>
      <c r="F1446" s="53" t="s">
        <v>5794</v>
      </c>
      <c r="G1446" s="51" t="s">
        <v>4812</v>
      </c>
      <c r="H1446" s="54"/>
      <c r="I1446" s="55">
        <v>145</v>
      </c>
      <c r="K1446" s="51" t="s">
        <v>5786</v>
      </c>
    </row>
    <row r="1447" spans="1:11">
      <c r="A1447" s="51">
        <v>1417</v>
      </c>
      <c r="B1447" s="51" t="s">
        <v>5785</v>
      </c>
      <c r="C1447" s="51" t="s">
        <v>5786</v>
      </c>
      <c r="D1447" s="52" t="s">
        <v>3624</v>
      </c>
      <c r="E1447" s="52" t="s">
        <v>3623</v>
      </c>
      <c r="F1447" s="53" t="s">
        <v>5795</v>
      </c>
      <c r="G1447" s="51" t="s">
        <v>4812</v>
      </c>
      <c r="H1447" s="54"/>
      <c r="I1447" s="55">
        <v>96</v>
      </c>
      <c r="K1447" s="51" t="s">
        <v>5786</v>
      </c>
    </row>
    <row r="1448" spans="1:11">
      <c r="A1448" s="51">
        <v>1418</v>
      </c>
      <c r="B1448" s="51" t="s">
        <v>5785</v>
      </c>
      <c r="C1448" s="51" t="s">
        <v>5786</v>
      </c>
      <c r="D1448" s="52" t="s">
        <v>4049</v>
      </c>
      <c r="E1448" s="52" t="s">
        <v>4048</v>
      </c>
      <c r="F1448" s="53" t="s">
        <v>5421</v>
      </c>
      <c r="G1448" s="51" t="s">
        <v>4812</v>
      </c>
      <c r="H1448" s="54"/>
      <c r="I1448" s="55">
        <v>0</v>
      </c>
      <c r="K1448" s="51" t="s">
        <v>5786</v>
      </c>
    </row>
    <row r="1449" spans="1:11">
      <c r="A1449" s="51">
        <v>1419</v>
      </c>
      <c r="B1449" s="51" t="s">
        <v>5785</v>
      </c>
      <c r="C1449" s="51" t="s">
        <v>5786</v>
      </c>
      <c r="D1449" s="52" t="s">
        <v>3877</v>
      </c>
      <c r="E1449" s="52" t="s">
        <v>5796</v>
      </c>
      <c r="F1449" s="53" t="s">
        <v>5548</v>
      </c>
      <c r="G1449" s="51" t="s">
        <v>4812</v>
      </c>
      <c r="H1449" s="54"/>
      <c r="I1449" s="55">
        <v>0</v>
      </c>
      <c r="K1449" s="51" t="s">
        <v>5786</v>
      </c>
    </row>
    <row r="1450" spans="1:11">
      <c r="A1450" s="51">
        <v>1420</v>
      </c>
      <c r="B1450" s="51" t="s">
        <v>5785</v>
      </c>
      <c r="C1450" s="51" t="s">
        <v>5786</v>
      </c>
      <c r="D1450" s="52" t="s">
        <v>3879</v>
      </c>
      <c r="E1450" s="52" t="s">
        <v>5797</v>
      </c>
      <c r="F1450" s="53" t="s">
        <v>5798</v>
      </c>
      <c r="G1450" s="51" t="s">
        <v>4812</v>
      </c>
      <c r="H1450" s="54"/>
      <c r="I1450" s="55">
        <v>0</v>
      </c>
      <c r="K1450" s="51" t="s">
        <v>5786</v>
      </c>
    </row>
    <row r="1451" spans="1:11">
      <c r="A1451" s="51">
        <v>1421</v>
      </c>
      <c r="B1451" s="51" t="s">
        <v>5785</v>
      </c>
      <c r="C1451" s="51" t="s">
        <v>5786</v>
      </c>
      <c r="D1451" s="52" t="s">
        <v>5799</v>
      </c>
      <c r="E1451" s="52" t="s">
        <v>5800</v>
      </c>
      <c r="F1451" s="53" t="s">
        <v>5801</v>
      </c>
      <c r="G1451" s="51" t="s">
        <v>4812</v>
      </c>
      <c r="H1451" s="54"/>
      <c r="I1451" s="55">
        <v>0</v>
      </c>
      <c r="K1451" s="51" t="s">
        <v>5786</v>
      </c>
    </row>
    <row r="1452" spans="1:11">
      <c r="A1452" s="51">
        <v>1422</v>
      </c>
      <c r="B1452" s="51" t="s">
        <v>5785</v>
      </c>
      <c r="C1452" s="51" t="s">
        <v>5786</v>
      </c>
      <c r="D1452" s="52" t="s">
        <v>5802</v>
      </c>
      <c r="E1452" s="52" t="s">
        <v>5803</v>
      </c>
      <c r="F1452" s="53" t="s">
        <v>5804</v>
      </c>
      <c r="G1452" s="51" t="s">
        <v>4812</v>
      </c>
      <c r="H1452" s="54"/>
      <c r="I1452" s="55">
        <v>1</v>
      </c>
      <c r="K1452" s="51" t="s">
        <v>5786</v>
      </c>
    </row>
    <row r="1453" spans="1:11">
      <c r="A1453" s="51">
        <v>1423</v>
      </c>
      <c r="B1453" s="51" t="s">
        <v>5785</v>
      </c>
      <c r="C1453" s="51" t="s">
        <v>5786</v>
      </c>
      <c r="D1453" s="52" t="s">
        <v>5805</v>
      </c>
      <c r="E1453" s="52" t="s">
        <v>5806</v>
      </c>
      <c r="F1453" s="53" t="s">
        <v>5807</v>
      </c>
      <c r="G1453" s="51" t="s">
        <v>4812</v>
      </c>
      <c r="H1453" s="54"/>
      <c r="I1453" s="55">
        <v>0</v>
      </c>
      <c r="K1453" s="51" t="s">
        <v>5786</v>
      </c>
    </row>
    <row r="1454" spans="1:11">
      <c r="A1454" s="51">
        <v>1424</v>
      </c>
      <c r="B1454" s="51" t="s">
        <v>5785</v>
      </c>
      <c r="C1454" s="51" t="s">
        <v>5786</v>
      </c>
      <c r="D1454" s="52" t="s">
        <v>5808</v>
      </c>
      <c r="E1454" s="52" t="s">
        <v>5809</v>
      </c>
      <c r="F1454" s="53" t="s">
        <v>5810</v>
      </c>
      <c r="G1454" s="51" t="s">
        <v>4812</v>
      </c>
      <c r="H1454" s="54"/>
      <c r="I1454" s="55">
        <v>0</v>
      </c>
      <c r="K1454" s="51" t="s">
        <v>5786</v>
      </c>
    </row>
    <row r="1455" spans="1:11">
      <c r="A1455" s="51">
        <v>1425</v>
      </c>
      <c r="B1455" s="51" t="s">
        <v>5785</v>
      </c>
      <c r="C1455" s="51" t="s">
        <v>5786</v>
      </c>
      <c r="D1455" s="52" t="s">
        <v>3274</v>
      </c>
      <c r="E1455" s="52" t="s">
        <v>3273</v>
      </c>
      <c r="F1455" s="53" t="s">
        <v>5811</v>
      </c>
      <c r="G1455" s="51" t="s">
        <v>4812</v>
      </c>
      <c r="H1455" s="54"/>
      <c r="I1455" s="55">
        <v>24</v>
      </c>
      <c r="K1455" s="51" t="s">
        <v>5786</v>
      </c>
    </row>
    <row r="1456" spans="1:11">
      <c r="A1456" s="51">
        <v>1426</v>
      </c>
      <c r="B1456" s="51" t="s">
        <v>5785</v>
      </c>
      <c r="C1456" s="51" t="s">
        <v>5786</v>
      </c>
      <c r="D1456" s="52" t="s">
        <v>3234</v>
      </c>
      <c r="E1456" s="52" t="s">
        <v>3233</v>
      </c>
      <c r="F1456" s="53" t="s">
        <v>5812</v>
      </c>
      <c r="G1456" s="51" t="s">
        <v>4812</v>
      </c>
      <c r="H1456" s="54"/>
      <c r="I1456" s="55">
        <v>37</v>
      </c>
      <c r="K1456" s="51" t="s">
        <v>5786</v>
      </c>
    </row>
    <row r="1457" spans="1:11">
      <c r="A1457" s="51">
        <v>1427</v>
      </c>
      <c r="B1457" s="51" t="s">
        <v>5785</v>
      </c>
      <c r="C1457" s="51" t="s">
        <v>5786</v>
      </c>
      <c r="D1457" s="52" t="s">
        <v>2667</v>
      </c>
      <c r="E1457" s="52" t="s">
        <v>2666</v>
      </c>
      <c r="F1457" s="53" t="s">
        <v>5700</v>
      </c>
      <c r="G1457" s="51" t="s">
        <v>4812</v>
      </c>
      <c r="H1457" s="54"/>
      <c r="I1457" s="55">
        <v>0</v>
      </c>
      <c r="K1457" s="51" t="s">
        <v>5786</v>
      </c>
    </row>
    <row r="1458" spans="1:11">
      <c r="A1458" s="51">
        <v>1428</v>
      </c>
      <c r="B1458" s="51" t="s">
        <v>5785</v>
      </c>
      <c r="C1458" s="51" t="s">
        <v>5786</v>
      </c>
      <c r="D1458" s="52" t="s">
        <v>3250</v>
      </c>
      <c r="E1458" s="52" t="s">
        <v>3249</v>
      </c>
      <c r="F1458" s="53" t="s">
        <v>5813</v>
      </c>
      <c r="G1458" s="51" t="s">
        <v>4812</v>
      </c>
      <c r="H1458" s="54"/>
      <c r="I1458" s="55">
        <v>0</v>
      </c>
      <c r="K1458" s="51" t="s">
        <v>5786</v>
      </c>
    </row>
    <row r="1459" spans="1:11">
      <c r="A1459" s="51">
        <v>1429</v>
      </c>
      <c r="B1459" s="51" t="s">
        <v>5785</v>
      </c>
      <c r="C1459" s="51" t="s">
        <v>5786</v>
      </c>
      <c r="D1459" s="52" t="s">
        <v>3252</v>
      </c>
      <c r="E1459" s="52" t="s">
        <v>3251</v>
      </c>
      <c r="F1459" s="53" t="s">
        <v>5813</v>
      </c>
      <c r="G1459" s="51" t="s">
        <v>4812</v>
      </c>
      <c r="H1459" s="54"/>
      <c r="I1459" s="55">
        <v>0</v>
      </c>
      <c r="K1459" s="51" t="s">
        <v>5786</v>
      </c>
    </row>
    <row r="1460" spans="1:11">
      <c r="A1460" s="51">
        <v>1430</v>
      </c>
      <c r="B1460" s="51" t="s">
        <v>5785</v>
      </c>
      <c r="C1460" s="51" t="s">
        <v>5786</v>
      </c>
      <c r="D1460" s="52" t="s">
        <v>626</v>
      </c>
      <c r="E1460" s="52" t="s">
        <v>625</v>
      </c>
      <c r="F1460" s="53" t="s">
        <v>110</v>
      </c>
      <c r="G1460" s="51" t="s">
        <v>4812</v>
      </c>
      <c r="H1460" s="54"/>
      <c r="I1460" s="55">
        <v>0</v>
      </c>
      <c r="K1460" s="51" t="s">
        <v>5786</v>
      </c>
    </row>
    <row r="1461" spans="1:11">
      <c r="A1461" s="51">
        <v>1431</v>
      </c>
      <c r="B1461" s="51" t="s">
        <v>5814</v>
      </c>
      <c r="C1461" s="51" t="s">
        <v>5815</v>
      </c>
      <c r="D1461" s="52" t="s">
        <v>424</v>
      </c>
      <c r="E1461" s="52" t="s">
        <v>423</v>
      </c>
      <c r="F1461" s="53" t="s">
        <v>5816</v>
      </c>
      <c r="G1461" s="51" t="s">
        <v>4812</v>
      </c>
      <c r="H1461" s="54"/>
      <c r="I1461" s="55">
        <v>13</v>
      </c>
      <c r="K1461" s="51" t="s">
        <v>5815</v>
      </c>
    </row>
    <row r="1462" spans="1:11">
      <c r="A1462" s="51">
        <v>1432</v>
      </c>
      <c r="B1462" s="51" t="s">
        <v>5814</v>
      </c>
      <c r="C1462" s="51" t="s">
        <v>5815</v>
      </c>
      <c r="D1462" s="52" t="s">
        <v>670</v>
      </c>
      <c r="E1462" s="52" t="s">
        <v>669</v>
      </c>
      <c r="F1462" s="53" t="s">
        <v>5817</v>
      </c>
      <c r="G1462" s="51" t="s">
        <v>4812</v>
      </c>
      <c r="H1462" s="54"/>
      <c r="I1462" s="55">
        <v>65</v>
      </c>
      <c r="K1462" s="51" t="s">
        <v>5815</v>
      </c>
    </row>
    <row r="1463" spans="1:11">
      <c r="A1463" s="51">
        <v>1433</v>
      </c>
      <c r="B1463" s="51" t="s">
        <v>5814</v>
      </c>
      <c r="C1463" s="51" t="s">
        <v>5815</v>
      </c>
      <c r="D1463" s="52" t="s">
        <v>2579</v>
      </c>
      <c r="E1463" s="52" t="s">
        <v>2578</v>
      </c>
      <c r="F1463" s="53" t="s">
        <v>5818</v>
      </c>
      <c r="G1463" s="51" t="s">
        <v>4812</v>
      </c>
      <c r="H1463" s="54"/>
      <c r="I1463" s="55">
        <v>34</v>
      </c>
      <c r="K1463" s="51" t="s">
        <v>5815</v>
      </c>
    </row>
    <row r="1464" spans="1:11">
      <c r="A1464" s="51">
        <v>1434</v>
      </c>
      <c r="B1464" s="51" t="s">
        <v>5814</v>
      </c>
      <c r="C1464" s="51" t="s">
        <v>5815</v>
      </c>
      <c r="D1464" s="52" t="s">
        <v>2939</v>
      </c>
      <c r="E1464" s="52" t="s">
        <v>2938</v>
      </c>
      <c r="F1464" s="53" t="s">
        <v>5791</v>
      </c>
      <c r="G1464" s="51" t="s">
        <v>4812</v>
      </c>
      <c r="H1464" s="54"/>
      <c r="I1464" s="55">
        <v>119</v>
      </c>
      <c r="K1464" s="51" t="s">
        <v>5815</v>
      </c>
    </row>
    <row r="1465" spans="1:11">
      <c r="A1465" s="51">
        <v>1435</v>
      </c>
      <c r="B1465" s="51" t="s">
        <v>5814</v>
      </c>
      <c r="C1465" s="51" t="s">
        <v>5815</v>
      </c>
      <c r="D1465" s="52" t="s">
        <v>2943</v>
      </c>
      <c r="E1465" s="52" t="s">
        <v>2942</v>
      </c>
      <c r="F1465" s="53" t="s">
        <v>5791</v>
      </c>
      <c r="G1465" s="51" t="s">
        <v>4812</v>
      </c>
      <c r="H1465" s="54"/>
      <c r="I1465" s="55">
        <v>29</v>
      </c>
      <c r="K1465" s="51" t="s">
        <v>5815</v>
      </c>
    </row>
    <row r="1466" spans="1:11">
      <c r="A1466" s="51">
        <v>1436</v>
      </c>
      <c r="B1466" s="51" t="s">
        <v>5814</v>
      </c>
      <c r="C1466" s="51" t="s">
        <v>5815</v>
      </c>
      <c r="D1466" s="52" t="s">
        <v>3216</v>
      </c>
      <c r="E1466" s="52" t="s">
        <v>3215</v>
      </c>
      <c r="F1466" s="53" t="s">
        <v>5819</v>
      </c>
      <c r="G1466" s="51" t="s">
        <v>4812</v>
      </c>
      <c r="H1466" s="54"/>
      <c r="I1466" s="55">
        <v>89</v>
      </c>
      <c r="K1466" s="51" t="s">
        <v>5815</v>
      </c>
    </row>
    <row r="1467" spans="1:11">
      <c r="A1467" s="51">
        <v>1437</v>
      </c>
      <c r="B1467" s="51" t="s">
        <v>5814</v>
      </c>
      <c r="C1467" s="51" t="s">
        <v>5815</v>
      </c>
      <c r="D1467" s="52" t="s">
        <v>3622</v>
      </c>
      <c r="E1467" s="52" t="s">
        <v>3621</v>
      </c>
      <c r="F1467" s="53" t="s">
        <v>5820</v>
      </c>
      <c r="G1467" s="51" t="s">
        <v>4812</v>
      </c>
      <c r="H1467" s="54"/>
      <c r="I1467" s="55">
        <v>10</v>
      </c>
      <c r="K1467" s="51" t="s">
        <v>5815</v>
      </c>
    </row>
    <row r="1468" spans="1:11">
      <c r="A1468" s="51">
        <v>1438</v>
      </c>
      <c r="B1468" s="51" t="s">
        <v>5814</v>
      </c>
      <c r="C1468" s="51" t="s">
        <v>5815</v>
      </c>
      <c r="D1468" s="52" t="s">
        <v>4049</v>
      </c>
      <c r="E1468" s="52" t="s">
        <v>4048</v>
      </c>
      <c r="F1468" s="53" t="s">
        <v>5421</v>
      </c>
      <c r="G1468" s="51" t="s">
        <v>4812</v>
      </c>
      <c r="H1468" s="54"/>
      <c r="I1468" s="55">
        <v>107</v>
      </c>
      <c r="K1468" s="51" t="s">
        <v>5815</v>
      </c>
    </row>
    <row r="1469" spans="1:11">
      <c r="A1469" s="51">
        <v>1439</v>
      </c>
      <c r="B1469" s="51" t="s">
        <v>5814</v>
      </c>
      <c r="C1469" s="51" t="s">
        <v>5815</v>
      </c>
      <c r="D1469" s="52" t="s">
        <v>2955</v>
      </c>
      <c r="E1469" s="52" t="s">
        <v>2954</v>
      </c>
      <c r="F1469" s="53" t="s">
        <v>5821</v>
      </c>
      <c r="G1469" s="51" t="s">
        <v>4812</v>
      </c>
      <c r="H1469" s="54"/>
      <c r="I1469" s="55">
        <v>268</v>
      </c>
      <c r="K1469" s="51" t="s">
        <v>5815</v>
      </c>
    </row>
    <row r="1470" spans="1:11">
      <c r="A1470" s="51">
        <v>1440</v>
      </c>
      <c r="B1470" s="51" t="s">
        <v>5814</v>
      </c>
      <c r="C1470" s="51" t="s">
        <v>5815</v>
      </c>
      <c r="D1470" s="52" t="s">
        <v>3877</v>
      </c>
      <c r="E1470" s="52" t="s">
        <v>3876</v>
      </c>
      <c r="F1470" s="53" t="s">
        <v>5548</v>
      </c>
      <c r="G1470" s="51" t="s">
        <v>4812</v>
      </c>
      <c r="H1470" s="54"/>
      <c r="I1470" s="55">
        <v>36</v>
      </c>
      <c r="K1470" s="51" t="s">
        <v>5815</v>
      </c>
    </row>
    <row r="1471" spans="1:11">
      <c r="A1471" s="51">
        <v>1441</v>
      </c>
      <c r="B1471" s="51" t="s">
        <v>5814</v>
      </c>
      <c r="C1471" s="51" t="s">
        <v>5815</v>
      </c>
      <c r="D1471" s="52" t="s">
        <v>3879</v>
      </c>
      <c r="E1471" s="52" t="s">
        <v>5797</v>
      </c>
      <c r="F1471" s="53" t="s">
        <v>5822</v>
      </c>
      <c r="G1471" s="51" t="s">
        <v>4812</v>
      </c>
      <c r="H1471" s="54"/>
      <c r="I1471" s="55">
        <v>49</v>
      </c>
      <c r="K1471" s="51" t="s">
        <v>5815</v>
      </c>
    </row>
    <row r="1472" spans="1:11">
      <c r="A1472" s="51">
        <v>1442</v>
      </c>
      <c r="B1472" s="51" t="s">
        <v>5814</v>
      </c>
      <c r="C1472" s="51" t="s">
        <v>5815</v>
      </c>
      <c r="D1472" s="52" t="s">
        <v>5823</v>
      </c>
      <c r="E1472" s="52" t="s">
        <v>5824</v>
      </c>
      <c r="F1472" s="53" t="s">
        <v>5825</v>
      </c>
      <c r="G1472" s="51" t="s">
        <v>4812</v>
      </c>
      <c r="H1472" s="54"/>
      <c r="I1472" s="55">
        <v>0</v>
      </c>
      <c r="K1472" s="51" t="s">
        <v>5815</v>
      </c>
    </row>
    <row r="1473" spans="1:11">
      <c r="A1473" s="51">
        <v>1443</v>
      </c>
      <c r="B1473" s="51" t="s">
        <v>5814</v>
      </c>
      <c r="C1473" s="51" t="s">
        <v>5815</v>
      </c>
      <c r="D1473" s="52" t="s">
        <v>5826</v>
      </c>
      <c r="E1473" s="52" t="s">
        <v>5827</v>
      </c>
      <c r="F1473" s="53" t="s">
        <v>5828</v>
      </c>
      <c r="G1473" s="51" t="s">
        <v>4812</v>
      </c>
      <c r="H1473" s="54"/>
      <c r="I1473" s="55">
        <v>0</v>
      </c>
      <c r="K1473" s="51" t="s">
        <v>5815</v>
      </c>
    </row>
    <row r="1474" spans="1:11">
      <c r="A1474" s="51">
        <v>1444</v>
      </c>
      <c r="B1474" s="51" t="s">
        <v>5814</v>
      </c>
      <c r="C1474" s="51" t="s">
        <v>5815</v>
      </c>
      <c r="D1474" s="52" t="s">
        <v>5829</v>
      </c>
      <c r="E1474" s="52" t="s">
        <v>5830</v>
      </c>
      <c r="F1474" s="53" t="s">
        <v>5831</v>
      </c>
      <c r="G1474" s="51" t="s">
        <v>4812</v>
      </c>
      <c r="H1474" s="54"/>
      <c r="I1474" s="55">
        <v>0</v>
      </c>
      <c r="K1474" s="51" t="s">
        <v>5815</v>
      </c>
    </row>
    <row r="1475" spans="1:11">
      <c r="A1475" s="51">
        <v>1445</v>
      </c>
      <c r="B1475" s="51" t="s">
        <v>5814</v>
      </c>
      <c r="C1475" s="51" t="s">
        <v>5815</v>
      </c>
      <c r="D1475" s="52" t="s">
        <v>3272</v>
      </c>
      <c r="E1475" s="52" t="s">
        <v>5832</v>
      </c>
      <c r="F1475" s="53" t="s">
        <v>5811</v>
      </c>
      <c r="G1475" s="51" t="s">
        <v>4812</v>
      </c>
      <c r="H1475" s="54"/>
      <c r="I1475" s="55">
        <v>26</v>
      </c>
      <c r="K1475" s="51" t="s">
        <v>5815</v>
      </c>
    </row>
    <row r="1476" spans="1:11">
      <c r="A1476" s="51">
        <v>1446</v>
      </c>
      <c r="B1476" s="51" t="s">
        <v>5814</v>
      </c>
      <c r="C1476" s="51" t="s">
        <v>5815</v>
      </c>
      <c r="D1476" s="52" t="s">
        <v>3232</v>
      </c>
      <c r="E1476" s="52" t="s">
        <v>3231</v>
      </c>
      <c r="F1476" s="53" t="s">
        <v>5812</v>
      </c>
      <c r="G1476" s="51" t="s">
        <v>4812</v>
      </c>
      <c r="H1476" s="54"/>
      <c r="I1476" s="55">
        <v>27</v>
      </c>
      <c r="K1476" s="51" t="s">
        <v>5815</v>
      </c>
    </row>
    <row r="1477" spans="1:11">
      <c r="A1477" s="51">
        <v>1447</v>
      </c>
      <c r="B1477" s="51" t="s">
        <v>5814</v>
      </c>
      <c r="C1477" s="51" t="s">
        <v>5815</v>
      </c>
      <c r="D1477" s="52" t="s">
        <v>2667</v>
      </c>
      <c r="E1477" s="52" t="s">
        <v>2666</v>
      </c>
      <c r="F1477" s="53" t="s">
        <v>5700</v>
      </c>
      <c r="G1477" s="51" t="s">
        <v>4812</v>
      </c>
      <c r="H1477" s="54"/>
      <c r="I1477" s="55">
        <v>168</v>
      </c>
      <c r="K1477" s="51" t="s">
        <v>5815</v>
      </c>
    </row>
    <row r="1478" spans="1:11">
      <c r="A1478" s="51">
        <v>1448</v>
      </c>
      <c r="B1478" s="51" t="s">
        <v>5814</v>
      </c>
      <c r="C1478" s="51" t="s">
        <v>5815</v>
      </c>
      <c r="D1478" s="52" t="s">
        <v>3250</v>
      </c>
      <c r="E1478" s="52" t="s">
        <v>3249</v>
      </c>
      <c r="F1478" s="53" t="s">
        <v>5813</v>
      </c>
      <c r="G1478" s="51" t="s">
        <v>4812</v>
      </c>
      <c r="H1478" s="54"/>
      <c r="I1478" s="55">
        <v>280</v>
      </c>
      <c r="K1478" s="51" t="s">
        <v>5815</v>
      </c>
    </row>
    <row r="1479" spans="1:11">
      <c r="A1479" s="51">
        <v>1449</v>
      </c>
      <c r="B1479" s="51" t="s">
        <v>5814</v>
      </c>
      <c r="C1479" s="51" t="s">
        <v>5815</v>
      </c>
      <c r="D1479" s="52" t="s">
        <v>3252</v>
      </c>
      <c r="E1479" s="52" t="s">
        <v>3251</v>
      </c>
      <c r="F1479" s="53" t="s">
        <v>5813</v>
      </c>
      <c r="G1479" s="51" t="s">
        <v>4812</v>
      </c>
      <c r="H1479" s="54"/>
      <c r="I1479" s="55">
        <v>25</v>
      </c>
      <c r="K1479" s="51" t="s">
        <v>5815</v>
      </c>
    </row>
    <row r="1480" spans="1:11">
      <c r="A1480" s="51">
        <v>1450</v>
      </c>
      <c r="B1480" s="51" t="s">
        <v>5814</v>
      </c>
      <c r="C1480" s="51" t="s">
        <v>5815</v>
      </c>
      <c r="D1480" s="52" t="s">
        <v>626</v>
      </c>
      <c r="E1480" s="52" t="s">
        <v>625</v>
      </c>
      <c r="F1480" s="53" t="s">
        <v>110</v>
      </c>
      <c r="G1480" s="51" t="s">
        <v>4812</v>
      </c>
      <c r="H1480" s="54"/>
      <c r="I1480" s="55">
        <v>104</v>
      </c>
      <c r="K1480" s="51" t="s">
        <v>5815</v>
      </c>
    </row>
    <row r="1481" spans="1:11">
      <c r="A1481" s="51">
        <v>1451</v>
      </c>
      <c r="B1481" s="51" t="s">
        <v>5833</v>
      </c>
      <c r="C1481" s="51" t="s">
        <v>5834</v>
      </c>
      <c r="D1481" s="52" t="s">
        <v>675</v>
      </c>
      <c r="E1481" s="52" t="s">
        <v>674</v>
      </c>
      <c r="F1481" s="53" t="s">
        <v>5835</v>
      </c>
      <c r="G1481" s="51" t="s">
        <v>4812</v>
      </c>
      <c r="H1481" s="54"/>
      <c r="I1481" s="55">
        <v>49</v>
      </c>
      <c r="K1481" s="51" t="s">
        <v>5834</v>
      </c>
    </row>
    <row r="1482" spans="1:11">
      <c r="A1482" s="51">
        <v>1452</v>
      </c>
      <c r="B1482" s="51" t="s">
        <v>5833</v>
      </c>
      <c r="C1482" s="51" t="s">
        <v>5834</v>
      </c>
      <c r="D1482" s="52" t="s">
        <v>2683</v>
      </c>
      <c r="E1482" s="52" t="s">
        <v>2682</v>
      </c>
      <c r="F1482" s="53" t="s">
        <v>5836</v>
      </c>
      <c r="G1482" s="51" t="s">
        <v>4812</v>
      </c>
      <c r="H1482" s="54"/>
      <c r="I1482" s="55">
        <v>21</v>
      </c>
      <c r="K1482" s="51" t="s">
        <v>5834</v>
      </c>
    </row>
    <row r="1483" spans="1:11">
      <c r="A1483" s="51">
        <v>1453</v>
      </c>
      <c r="B1483" s="51" t="s">
        <v>5833</v>
      </c>
      <c r="C1483" s="51" t="s">
        <v>5834</v>
      </c>
      <c r="D1483" s="52" t="s">
        <v>2945</v>
      </c>
      <c r="E1483" s="52" t="s">
        <v>2944</v>
      </c>
      <c r="F1483" s="53" t="s">
        <v>5791</v>
      </c>
      <c r="G1483" s="51" t="s">
        <v>4812</v>
      </c>
      <c r="H1483" s="54"/>
      <c r="I1483" s="55">
        <v>0</v>
      </c>
      <c r="K1483" s="51" t="s">
        <v>5834</v>
      </c>
    </row>
    <row r="1484" spans="1:11">
      <c r="A1484" s="51">
        <v>1454</v>
      </c>
      <c r="B1484" s="51" t="s">
        <v>5833</v>
      </c>
      <c r="C1484" s="51" t="s">
        <v>5834</v>
      </c>
      <c r="D1484" s="52" t="s">
        <v>2957</v>
      </c>
      <c r="E1484" s="52" t="s">
        <v>2956</v>
      </c>
      <c r="F1484" s="53" t="s">
        <v>5837</v>
      </c>
      <c r="G1484" s="51" t="s">
        <v>4812</v>
      </c>
      <c r="H1484" s="54"/>
      <c r="I1484" s="55">
        <v>68</v>
      </c>
      <c r="K1484" s="51" t="s">
        <v>5834</v>
      </c>
    </row>
    <row r="1485" spans="1:11">
      <c r="A1485" s="51">
        <v>1455</v>
      </c>
      <c r="B1485" s="51" t="s">
        <v>5833</v>
      </c>
      <c r="C1485" s="51" t="s">
        <v>5834</v>
      </c>
      <c r="D1485" s="52" t="s">
        <v>3220</v>
      </c>
      <c r="E1485" s="52" t="s">
        <v>3219</v>
      </c>
      <c r="F1485" s="53" t="s">
        <v>5838</v>
      </c>
      <c r="G1485" s="51" t="s">
        <v>4812</v>
      </c>
      <c r="H1485" s="54"/>
      <c r="I1485" s="55">
        <v>56</v>
      </c>
      <c r="K1485" s="51" t="s">
        <v>5834</v>
      </c>
    </row>
    <row r="1486" spans="1:11">
      <c r="A1486" s="51">
        <v>1456</v>
      </c>
      <c r="B1486" s="51" t="s">
        <v>5833</v>
      </c>
      <c r="C1486" s="51" t="s">
        <v>5834</v>
      </c>
      <c r="D1486" s="52" t="s">
        <v>3875</v>
      </c>
      <c r="E1486" s="52" t="s">
        <v>5839</v>
      </c>
      <c r="F1486" s="53" t="s">
        <v>5822</v>
      </c>
      <c r="G1486" s="51" t="s">
        <v>4812</v>
      </c>
      <c r="H1486" s="54"/>
      <c r="I1486" s="55">
        <v>0</v>
      </c>
      <c r="K1486" s="51" t="s">
        <v>5834</v>
      </c>
    </row>
    <row r="1487" spans="1:11">
      <c r="A1487" s="51">
        <v>1457</v>
      </c>
      <c r="B1487" s="51" t="s">
        <v>5833</v>
      </c>
      <c r="C1487" s="51" t="s">
        <v>5834</v>
      </c>
      <c r="D1487" s="52" t="s">
        <v>5840</v>
      </c>
      <c r="E1487" s="52" t="s">
        <v>5841</v>
      </c>
      <c r="F1487" s="53" t="s">
        <v>5842</v>
      </c>
      <c r="G1487" s="51" t="s">
        <v>4812</v>
      </c>
      <c r="H1487" s="54"/>
      <c r="I1487" s="55">
        <v>0</v>
      </c>
      <c r="K1487" s="51" t="s">
        <v>5834</v>
      </c>
    </row>
    <row r="1488" spans="1:11">
      <c r="A1488" s="51">
        <v>1458</v>
      </c>
      <c r="B1488" s="51" t="s">
        <v>5833</v>
      </c>
      <c r="C1488" s="51" t="s">
        <v>5834</v>
      </c>
      <c r="D1488" s="52" t="s">
        <v>5843</v>
      </c>
      <c r="E1488" s="52" t="s">
        <v>5844</v>
      </c>
      <c r="F1488" s="53" t="s">
        <v>5842</v>
      </c>
      <c r="G1488" s="51" t="s">
        <v>4812</v>
      </c>
      <c r="H1488" s="54"/>
      <c r="I1488" s="55">
        <v>0</v>
      </c>
      <c r="K1488" s="51" t="s">
        <v>5834</v>
      </c>
    </row>
    <row r="1489" spans="1:11">
      <c r="A1489" s="51">
        <v>1459</v>
      </c>
      <c r="B1489" s="51" t="s">
        <v>5833</v>
      </c>
      <c r="C1489" s="51" t="s">
        <v>5834</v>
      </c>
      <c r="D1489" s="52" t="s">
        <v>440</v>
      </c>
      <c r="E1489" s="52" t="s">
        <v>439</v>
      </c>
      <c r="F1489" s="53" t="s">
        <v>5845</v>
      </c>
      <c r="G1489" s="51" t="s">
        <v>4812</v>
      </c>
      <c r="H1489" s="54"/>
      <c r="I1489" s="55">
        <v>37</v>
      </c>
      <c r="K1489" s="51" t="s">
        <v>5834</v>
      </c>
    </row>
    <row r="1490" spans="1:11">
      <c r="A1490" s="51">
        <v>1460</v>
      </c>
      <c r="B1490" s="51" t="s">
        <v>5833</v>
      </c>
      <c r="C1490" s="51" t="s">
        <v>5834</v>
      </c>
      <c r="D1490" s="52" t="s">
        <v>3276</v>
      </c>
      <c r="E1490" s="52" t="s">
        <v>3275</v>
      </c>
      <c r="F1490" s="53" t="s">
        <v>5846</v>
      </c>
      <c r="G1490" s="51" t="s">
        <v>4812</v>
      </c>
      <c r="H1490" s="54"/>
      <c r="I1490" s="55">
        <v>32</v>
      </c>
      <c r="K1490" s="51" t="s">
        <v>5834</v>
      </c>
    </row>
    <row r="1491" spans="1:11">
      <c r="A1491" s="51">
        <v>1461</v>
      </c>
      <c r="B1491" s="51" t="s">
        <v>5833</v>
      </c>
      <c r="C1491" s="51" t="s">
        <v>5834</v>
      </c>
      <c r="D1491" s="52" t="s">
        <v>3254</v>
      </c>
      <c r="E1491" s="52" t="s">
        <v>3253</v>
      </c>
      <c r="F1491" s="53" t="s">
        <v>5847</v>
      </c>
      <c r="G1491" s="51" t="s">
        <v>4812</v>
      </c>
      <c r="H1491" s="54"/>
      <c r="I1491" s="55">
        <v>333</v>
      </c>
      <c r="K1491" s="51" t="s">
        <v>5834</v>
      </c>
    </row>
    <row r="1492" spans="1:11">
      <c r="A1492" s="51">
        <v>1462</v>
      </c>
      <c r="B1492" s="51" t="s">
        <v>5833</v>
      </c>
      <c r="C1492" s="51" t="s">
        <v>5834</v>
      </c>
      <c r="D1492" s="52" t="s">
        <v>2665</v>
      </c>
      <c r="E1492" s="52" t="s">
        <v>2664</v>
      </c>
      <c r="F1492" s="53" t="s">
        <v>5700</v>
      </c>
      <c r="G1492" s="51" t="s">
        <v>4812</v>
      </c>
      <c r="H1492" s="54"/>
      <c r="I1492" s="55">
        <v>0</v>
      </c>
      <c r="K1492" s="51" t="s">
        <v>5834</v>
      </c>
    </row>
    <row r="1493" spans="1:11">
      <c r="A1493" s="51">
        <v>1463</v>
      </c>
      <c r="B1493" s="51" t="s">
        <v>5833</v>
      </c>
      <c r="C1493" s="51" t="s">
        <v>5834</v>
      </c>
      <c r="D1493" s="52" t="s">
        <v>2663</v>
      </c>
      <c r="E1493" s="52" t="s">
        <v>2662</v>
      </c>
      <c r="F1493" s="53" t="s">
        <v>5700</v>
      </c>
      <c r="G1493" s="51" t="s">
        <v>4812</v>
      </c>
      <c r="H1493" s="54"/>
      <c r="I1493" s="55">
        <v>1097</v>
      </c>
      <c r="K1493" s="51" t="s">
        <v>5834</v>
      </c>
    </row>
    <row r="1494" spans="1:11">
      <c r="A1494" s="51">
        <v>1464</v>
      </c>
      <c r="B1494" s="51" t="s">
        <v>5833</v>
      </c>
      <c r="C1494" s="51" t="s">
        <v>5834</v>
      </c>
      <c r="D1494" s="52" t="s">
        <v>3286</v>
      </c>
      <c r="E1494" s="52" t="s">
        <v>3285</v>
      </c>
      <c r="F1494" s="53" t="s">
        <v>5848</v>
      </c>
      <c r="G1494" s="51" t="s">
        <v>4812</v>
      </c>
      <c r="H1494" s="54"/>
      <c r="I1494" s="55">
        <v>15</v>
      </c>
      <c r="K1494" s="51" t="s">
        <v>5834</v>
      </c>
    </row>
    <row r="1495" spans="1:11">
      <c r="A1495" s="51">
        <v>1465</v>
      </c>
      <c r="B1495" s="51" t="s">
        <v>5833</v>
      </c>
      <c r="C1495" s="51" t="s">
        <v>5834</v>
      </c>
      <c r="D1495" s="52" t="s">
        <v>680</v>
      </c>
      <c r="E1495" s="52" t="s">
        <v>679</v>
      </c>
      <c r="F1495" s="53" t="s">
        <v>5849</v>
      </c>
      <c r="G1495" s="51" t="s">
        <v>4812</v>
      </c>
      <c r="H1495" s="54"/>
      <c r="I1495" s="55">
        <v>62</v>
      </c>
      <c r="K1495" s="51" t="s">
        <v>5834</v>
      </c>
    </row>
    <row r="1496" spans="1:11">
      <c r="A1496" s="51">
        <v>1466</v>
      </c>
      <c r="B1496" s="51" t="s">
        <v>5833</v>
      </c>
      <c r="C1496" s="51" t="s">
        <v>5834</v>
      </c>
      <c r="D1496" s="52" t="s">
        <v>599</v>
      </c>
      <c r="E1496" s="52" t="s">
        <v>598</v>
      </c>
      <c r="F1496" s="53" t="s">
        <v>5850</v>
      </c>
      <c r="G1496" s="51" t="s">
        <v>4812</v>
      </c>
      <c r="H1496" s="54"/>
      <c r="I1496" s="55">
        <v>40</v>
      </c>
      <c r="K1496" s="51" t="s">
        <v>5834</v>
      </c>
    </row>
    <row r="1497" spans="1:11">
      <c r="A1497" s="51">
        <v>1467</v>
      </c>
      <c r="B1497" s="51" t="s">
        <v>5833</v>
      </c>
      <c r="C1497" s="51" t="s">
        <v>5834</v>
      </c>
      <c r="D1497" s="52" t="s">
        <v>3574</v>
      </c>
      <c r="E1497" s="52" t="s">
        <v>3573</v>
      </c>
      <c r="F1497" s="53" t="s">
        <v>5851</v>
      </c>
      <c r="G1497" s="51" t="s">
        <v>4812</v>
      </c>
      <c r="H1497" s="54"/>
      <c r="I1497" s="55">
        <v>17</v>
      </c>
      <c r="K1497" s="51" t="s">
        <v>5834</v>
      </c>
    </row>
    <row r="1498" spans="1:11">
      <c r="A1498" s="51">
        <v>1468</v>
      </c>
      <c r="B1498" s="51" t="s">
        <v>5833</v>
      </c>
      <c r="C1498" s="51" t="s">
        <v>5834</v>
      </c>
      <c r="D1498" s="52" t="s">
        <v>3578</v>
      </c>
      <c r="E1498" s="52" t="s">
        <v>3577</v>
      </c>
      <c r="F1498" s="53" t="s">
        <v>5852</v>
      </c>
      <c r="G1498" s="51" t="s">
        <v>4812</v>
      </c>
      <c r="H1498" s="54"/>
      <c r="I1498" s="55">
        <v>66</v>
      </c>
      <c r="K1498" s="51" t="s">
        <v>5834</v>
      </c>
    </row>
    <row r="1499" spans="1:11">
      <c r="A1499" s="51">
        <v>1469</v>
      </c>
      <c r="B1499" s="51" t="s">
        <v>5853</v>
      </c>
      <c r="C1499" s="51" t="s">
        <v>5854</v>
      </c>
      <c r="D1499" s="52" t="s">
        <v>670</v>
      </c>
      <c r="E1499" s="52" t="s">
        <v>669</v>
      </c>
      <c r="F1499" s="53" t="s">
        <v>5855</v>
      </c>
      <c r="G1499" s="51" t="s">
        <v>4812</v>
      </c>
      <c r="H1499" s="54"/>
      <c r="I1499" s="55">
        <v>100</v>
      </c>
      <c r="K1499" s="51" t="s">
        <v>5854</v>
      </c>
    </row>
    <row r="1500" spans="1:11">
      <c r="A1500" s="51">
        <v>1470</v>
      </c>
      <c r="B1500" s="51" t="s">
        <v>5853</v>
      </c>
      <c r="C1500" s="51" t="s">
        <v>5854</v>
      </c>
      <c r="D1500" s="52" t="s">
        <v>2579</v>
      </c>
      <c r="E1500" s="52" t="s">
        <v>2578</v>
      </c>
      <c r="F1500" s="53" t="s">
        <v>5856</v>
      </c>
      <c r="G1500" s="51" t="s">
        <v>4812</v>
      </c>
      <c r="H1500" s="54"/>
      <c r="I1500" s="55">
        <v>51</v>
      </c>
      <c r="K1500" s="51" t="s">
        <v>5854</v>
      </c>
    </row>
    <row r="1501" spans="1:11">
      <c r="A1501" s="51">
        <v>1471</v>
      </c>
      <c r="B1501" s="51" t="s">
        <v>5853</v>
      </c>
      <c r="C1501" s="51" t="s">
        <v>5854</v>
      </c>
      <c r="D1501" s="52" t="s">
        <v>2945</v>
      </c>
      <c r="E1501" s="52" t="s">
        <v>2944</v>
      </c>
      <c r="F1501" s="53" t="s">
        <v>115</v>
      </c>
      <c r="G1501" s="51" t="s">
        <v>4812</v>
      </c>
      <c r="H1501" s="54"/>
      <c r="I1501" s="55">
        <v>176</v>
      </c>
      <c r="K1501" s="51" t="s">
        <v>5854</v>
      </c>
    </row>
    <row r="1502" spans="1:11">
      <c r="A1502" s="51">
        <v>1472</v>
      </c>
      <c r="B1502" s="51" t="s">
        <v>5853</v>
      </c>
      <c r="C1502" s="51" t="s">
        <v>5854</v>
      </c>
      <c r="D1502" s="52" t="s">
        <v>2953</v>
      </c>
      <c r="E1502" s="52" t="s">
        <v>2952</v>
      </c>
      <c r="F1502" s="53" t="s">
        <v>5857</v>
      </c>
      <c r="G1502" s="51" t="s">
        <v>4812</v>
      </c>
      <c r="H1502" s="54"/>
      <c r="I1502" s="55">
        <v>203</v>
      </c>
      <c r="K1502" s="51" t="s">
        <v>5854</v>
      </c>
    </row>
    <row r="1503" spans="1:11">
      <c r="A1503" s="51">
        <v>1473</v>
      </c>
      <c r="B1503" s="51" t="s">
        <v>5853</v>
      </c>
      <c r="C1503" s="51" t="s">
        <v>5854</v>
      </c>
      <c r="D1503" s="52" t="s">
        <v>3218</v>
      </c>
      <c r="E1503" s="52" t="s">
        <v>3217</v>
      </c>
      <c r="F1503" s="53" t="s">
        <v>5858</v>
      </c>
      <c r="G1503" s="51" t="s">
        <v>4812</v>
      </c>
      <c r="H1503" s="54"/>
      <c r="I1503" s="55">
        <v>182</v>
      </c>
      <c r="K1503" s="51" t="s">
        <v>5854</v>
      </c>
    </row>
    <row r="1504" spans="1:11">
      <c r="A1504" s="51">
        <v>1474</v>
      </c>
      <c r="B1504" s="51" t="s">
        <v>5853</v>
      </c>
      <c r="C1504" s="51" t="s">
        <v>5854</v>
      </c>
      <c r="D1504" s="52" t="s">
        <v>3875</v>
      </c>
      <c r="E1504" s="52" t="s">
        <v>5839</v>
      </c>
      <c r="F1504" s="53" t="s">
        <v>5822</v>
      </c>
      <c r="G1504" s="51" t="s">
        <v>4812</v>
      </c>
      <c r="H1504" s="54"/>
      <c r="I1504" s="55">
        <v>22</v>
      </c>
      <c r="K1504" s="51" t="s">
        <v>5854</v>
      </c>
    </row>
    <row r="1505" spans="1:11">
      <c r="A1505" s="51">
        <v>1475</v>
      </c>
      <c r="B1505" s="51" t="s">
        <v>5853</v>
      </c>
      <c r="C1505" s="51" t="s">
        <v>5854</v>
      </c>
      <c r="D1505" s="52" t="s">
        <v>5859</v>
      </c>
      <c r="E1505" s="52" t="s">
        <v>5860</v>
      </c>
      <c r="F1505" s="53" t="s">
        <v>5861</v>
      </c>
      <c r="G1505" s="51" t="s">
        <v>4812</v>
      </c>
      <c r="H1505" s="54"/>
      <c r="I1505" s="55">
        <v>0</v>
      </c>
      <c r="K1505" s="51" t="s">
        <v>5854</v>
      </c>
    </row>
    <row r="1506" spans="1:11">
      <c r="A1506" s="51">
        <v>1476</v>
      </c>
      <c r="B1506" s="51" t="s">
        <v>5853</v>
      </c>
      <c r="C1506" s="51" t="s">
        <v>5854</v>
      </c>
      <c r="D1506" s="52" t="s">
        <v>5862</v>
      </c>
      <c r="E1506" s="52" t="s">
        <v>5863</v>
      </c>
      <c r="F1506" s="53" t="s">
        <v>5861</v>
      </c>
      <c r="G1506" s="51" t="s">
        <v>4812</v>
      </c>
      <c r="H1506" s="54"/>
      <c r="I1506" s="55">
        <v>0</v>
      </c>
      <c r="K1506" s="51" t="s">
        <v>5854</v>
      </c>
    </row>
    <row r="1507" spans="1:11">
      <c r="A1507" s="51">
        <v>1477</v>
      </c>
      <c r="B1507" s="51" t="s">
        <v>5853</v>
      </c>
      <c r="C1507" s="51" t="s">
        <v>5854</v>
      </c>
      <c r="D1507" s="52" t="s">
        <v>426</v>
      </c>
      <c r="E1507" s="52" t="s">
        <v>425</v>
      </c>
      <c r="F1507" s="53" t="s">
        <v>5864</v>
      </c>
      <c r="G1507" s="51" t="s">
        <v>4812</v>
      </c>
      <c r="H1507" s="54"/>
      <c r="I1507" s="55">
        <v>18</v>
      </c>
      <c r="K1507" s="51" t="s">
        <v>5854</v>
      </c>
    </row>
    <row r="1508" spans="1:11">
      <c r="A1508" s="51">
        <v>1478</v>
      </c>
      <c r="B1508" s="51" t="s">
        <v>5853</v>
      </c>
      <c r="C1508" s="51" t="s">
        <v>5854</v>
      </c>
      <c r="D1508" s="52" t="s">
        <v>3236</v>
      </c>
      <c r="E1508" s="52" t="s">
        <v>3235</v>
      </c>
      <c r="F1508" s="53" t="s">
        <v>5812</v>
      </c>
      <c r="G1508" s="51" t="s">
        <v>4812</v>
      </c>
      <c r="H1508" s="54"/>
      <c r="I1508" s="55">
        <v>58</v>
      </c>
      <c r="K1508" s="51" t="s">
        <v>5854</v>
      </c>
    </row>
    <row r="1509" spans="1:11">
      <c r="A1509" s="51">
        <v>1479</v>
      </c>
      <c r="B1509" s="51" t="s">
        <v>5853</v>
      </c>
      <c r="C1509" s="51" t="s">
        <v>5854</v>
      </c>
      <c r="D1509" s="52" t="s">
        <v>3254</v>
      </c>
      <c r="E1509" s="52" t="s">
        <v>3253</v>
      </c>
      <c r="F1509" s="53" t="s">
        <v>5847</v>
      </c>
      <c r="G1509" s="51" t="s">
        <v>4812</v>
      </c>
      <c r="H1509" s="54"/>
      <c r="I1509" s="55">
        <v>0</v>
      </c>
      <c r="K1509" s="51" t="s">
        <v>5854</v>
      </c>
    </row>
    <row r="1510" spans="1:11">
      <c r="A1510" s="51">
        <v>1480</v>
      </c>
      <c r="B1510" s="51" t="s">
        <v>5853</v>
      </c>
      <c r="C1510" s="51" t="s">
        <v>5854</v>
      </c>
      <c r="D1510" s="52" t="s">
        <v>2665</v>
      </c>
      <c r="E1510" s="52" t="s">
        <v>2664</v>
      </c>
      <c r="F1510" s="53" t="s">
        <v>5700</v>
      </c>
      <c r="G1510" s="51" t="s">
        <v>4812</v>
      </c>
      <c r="H1510" s="54"/>
      <c r="I1510" s="55">
        <v>108</v>
      </c>
      <c r="K1510" s="51" t="s">
        <v>5854</v>
      </c>
    </row>
    <row r="1511" spans="1:11">
      <c r="A1511" s="51">
        <v>1481</v>
      </c>
      <c r="B1511" s="51" t="s">
        <v>5853</v>
      </c>
      <c r="C1511" s="51" t="s">
        <v>5854</v>
      </c>
      <c r="D1511" s="52" t="s">
        <v>2663</v>
      </c>
      <c r="E1511" s="52" t="s">
        <v>2662</v>
      </c>
      <c r="F1511" s="53" t="s">
        <v>5700</v>
      </c>
      <c r="G1511" s="51" t="s">
        <v>4812</v>
      </c>
      <c r="H1511" s="54"/>
      <c r="I1511" s="55">
        <v>0</v>
      </c>
      <c r="K1511" s="51" t="s">
        <v>5854</v>
      </c>
    </row>
    <row r="1512" spans="1:11">
      <c r="A1512" s="51">
        <v>1482</v>
      </c>
      <c r="B1512" s="51" t="s">
        <v>5853</v>
      </c>
      <c r="C1512" s="51" t="s">
        <v>5854</v>
      </c>
      <c r="D1512" s="52" t="s">
        <v>3288</v>
      </c>
      <c r="E1512" s="52" t="s">
        <v>3287</v>
      </c>
      <c r="F1512" s="53" t="s">
        <v>5865</v>
      </c>
      <c r="G1512" s="51" t="s">
        <v>4812</v>
      </c>
      <c r="H1512" s="54"/>
      <c r="I1512" s="55">
        <v>1</v>
      </c>
      <c r="K1512" s="51" t="s">
        <v>5854</v>
      </c>
    </row>
    <row r="1513" spans="1:11">
      <c r="A1513" s="51">
        <v>1483</v>
      </c>
      <c r="B1513" s="51" t="s">
        <v>5853</v>
      </c>
      <c r="C1513" s="51" t="s">
        <v>5854</v>
      </c>
      <c r="D1513" s="52" t="s">
        <v>680</v>
      </c>
      <c r="E1513" s="52" t="s">
        <v>679</v>
      </c>
      <c r="F1513" s="53" t="s">
        <v>5866</v>
      </c>
      <c r="G1513" s="51" t="s">
        <v>4812</v>
      </c>
      <c r="H1513" s="54"/>
      <c r="I1513" s="55">
        <v>0</v>
      </c>
      <c r="K1513" s="51" t="s">
        <v>5854</v>
      </c>
    </row>
    <row r="1514" spans="1:11">
      <c r="A1514" s="51">
        <v>1484</v>
      </c>
      <c r="B1514" s="51" t="s">
        <v>5853</v>
      </c>
      <c r="C1514" s="51" t="s">
        <v>5854</v>
      </c>
      <c r="D1514" s="52" t="s">
        <v>597</v>
      </c>
      <c r="E1514" s="52" t="s">
        <v>596</v>
      </c>
      <c r="F1514" s="53" t="s">
        <v>5850</v>
      </c>
      <c r="G1514" s="51" t="s">
        <v>4812</v>
      </c>
      <c r="H1514" s="54"/>
      <c r="I1514" s="55">
        <v>78</v>
      </c>
      <c r="K1514" s="51" t="s">
        <v>5854</v>
      </c>
    </row>
    <row r="1515" spans="1:11">
      <c r="A1515" s="51">
        <v>1485</v>
      </c>
      <c r="B1515" s="51" t="s">
        <v>5853</v>
      </c>
      <c r="C1515" s="51" t="s">
        <v>5854</v>
      </c>
      <c r="D1515" s="52" t="s">
        <v>3572</v>
      </c>
      <c r="E1515" s="52" t="s">
        <v>3571</v>
      </c>
      <c r="F1515" s="53" t="s">
        <v>5851</v>
      </c>
      <c r="G1515" s="51" t="s">
        <v>4812</v>
      </c>
      <c r="H1515" s="54"/>
      <c r="I1515" s="55">
        <v>35</v>
      </c>
      <c r="K1515" s="51" t="s">
        <v>5854</v>
      </c>
    </row>
    <row r="1516" spans="1:11">
      <c r="A1516" s="51">
        <v>1486</v>
      </c>
      <c r="B1516" s="51" t="s">
        <v>5853</v>
      </c>
      <c r="C1516" s="51" t="s">
        <v>5854</v>
      </c>
      <c r="D1516" s="52" t="s">
        <v>3580</v>
      </c>
      <c r="E1516" s="52" t="s">
        <v>3579</v>
      </c>
      <c r="F1516" s="53" t="s">
        <v>5867</v>
      </c>
      <c r="G1516" s="51" t="s">
        <v>4812</v>
      </c>
      <c r="H1516" s="54"/>
      <c r="I1516" s="55">
        <v>117</v>
      </c>
      <c r="K1516" s="51" t="s">
        <v>5854</v>
      </c>
    </row>
    <row r="1517" spans="1:11">
      <c r="A1517" s="51">
        <v>1487</v>
      </c>
      <c r="B1517" s="51" t="s">
        <v>5868</v>
      </c>
      <c r="C1517" s="51" t="s">
        <v>5869</v>
      </c>
      <c r="D1517" s="52" t="s">
        <v>5870</v>
      </c>
      <c r="E1517" s="52" t="s">
        <v>5871</v>
      </c>
      <c r="F1517" s="53" t="s">
        <v>5872</v>
      </c>
      <c r="G1517" s="51" t="s">
        <v>4812</v>
      </c>
      <c r="H1517" s="54"/>
      <c r="I1517" s="55">
        <v>0</v>
      </c>
      <c r="K1517" s="51" t="s">
        <v>5869</v>
      </c>
    </row>
    <row r="1518" spans="1:11">
      <c r="A1518" s="51">
        <v>1488</v>
      </c>
      <c r="B1518" s="51" t="s">
        <v>5868</v>
      </c>
      <c r="C1518" s="51" t="s">
        <v>5869</v>
      </c>
      <c r="D1518" s="52" t="s">
        <v>438</v>
      </c>
      <c r="E1518" s="52" t="s">
        <v>437</v>
      </c>
      <c r="F1518" s="53" t="s">
        <v>5787</v>
      </c>
      <c r="G1518" s="51" t="s">
        <v>4812</v>
      </c>
      <c r="H1518" s="54"/>
      <c r="I1518" s="55">
        <v>3</v>
      </c>
      <c r="K1518" s="51" t="s">
        <v>5869</v>
      </c>
    </row>
    <row r="1519" spans="1:11">
      <c r="A1519" s="51">
        <v>1489</v>
      </c>
      <c r="B1519" s="51" t="s">
        <v>5868</v>
      </c>
      <c r="C1519" s="51" t="s">
        <v>5869</v>
      </c>
      <c r="D1519" s="52" t="s">
        <v>2765</v>
      </c>
      <c r="E1519" s="52" t="s">
        <v>2764</v>
      </c>
      <c r="F1519" s="53" t="s">
        <v>5447</v>
      </c>
      <c r="G1519" s="51" t="s">
        <v>4812</v>
      </c>
      <c r="H1519" s="54"/>
      <c r="I1519" s="55">
        <v>0</v>
      </c>
      <c r="K1519" s="51" t="s">
        <v>5869</v>
      </c>
    </row>
    <row r="1520" spans="1:11">
      <c r="A1520" s="51">
        <v>1490</v>
      </c>
      <c r="B1520" s="51" t="s">
        <v>5868</v>
      </c>
      <c r="C1520" s="51" t="s">
        <v>5869</v>
      </c>
      <c r="D1520" s="52" t="s">
        <v>675</v>
      </c>
      <c r="E1520" s="52" t="s">
        <v>5873</v>
      </c>
      <c r="F1520" s="53" t="s">
        <v>5788</v>
      </c>
      <c r="G1520" s="51" t="s">
        <v>4812</v>
      </c>
      <c r="H1520" s="54"/>
      <c r="I1520" s="55">
        <v>3</v>
      </c>
      <c r="K1520" s="51" t="s">
        <v>5869</v>
      </c>
    </row>
    <row r="1521" spans="1:11">
      <c r="A1521" s="51">
        <v>1491</v>
      </c>
      <c r="B1521" s="51" t="s">
        <v>5868</v>
      </c>
      <c r="C1521" s="51" t="s">
        <v>5869</v>
      </c>
      <c r="D1521" s="52" t="s">
        <v>2683</v>
      </c>
      <c r="E1521" s="52" t="s">
        <v>2682</v>
      </c>
      <c r="F1521" s="53" t="s">
        <v>5733</v>
      </c>
      <c r="G1521" s="51" t="s">
        <v>4812</v>
      </c>
      <c r="H1521" s="54"/>
      <c r="I1521" s="55">
        <v>19</v>
      </c>
      <c r="K1521" s="51" t="s">
        <v>5869</v>
      </c>
    </row>
    <row r="1522" spans="1:11">
      <c r="A1522" s="51">
        <v>1492</v>
      </c>
      <c r="B1522" s="51" t="s">
        <v>5868</v>
      </c>
      <c r="C1522" s="51" t="s">
        <v>5869</v>
      </c>
      <c r="D1522" s="52" t="s">
        <v>678</v>
      </c>
      <c r="E1522" s="52" t="s">
        <v>677</v>
      </c>
      <c r="F1522" s="53" t="s">
        <v>5874</v>
      </c>
      <c r="G1522" s="51" t="s">
        <v>4812</v>
      </c>
      <c r="H1522" s="54"/>
      <c r="I1522" s="55">
        <v>0</v>
      </c>
      <c r="K1522" s="51" t="s">
        <v>5869</v>
      </c>
    </row>
    <row r="1523" spans="1:11">
      <c r="A1523" s="51">
        <v>1493</v>
      </c>
      <c r="B1523" s="51" t="s">
        <v>5868</v>
      </c>
      <c r="C1523" s="51" t="s">
        <v>5869</v>
      </c>
      <c r="D1523" s="52" t="s">
        <v>2947</v>
      </c>
      <c r="E1523" s="52" t="s">
        <v>2946</v>
      </c>
      <c r="F1523" s="53" t="s">
        <v>5875</v>
      </c>
      <c r="G1523" s="51" t="s">
        <v>4812</v>
      </c>
      <c r="H1523" s="54"/>
      <c r="I1523" s="55">
        <v>0</v>
      </c>
      <c r="K1523" s="51" t="s">
        <v>5869</v>
      </c>
    </row>
    <row r="1524" spans="1:11">
      <c r="A1524" s="51">
        <v>1494</v>
      </c>
      <c r="B1524" s="51" t="s">
        <v>5868</v>
      </c>
      <c r="C1524" s="51" t="s">
        <v>5869</v>
      </c>
      <c r="D1524" s="52" t="s">
        <v>5876</v>
      </c>
      <c r="E1524" s="52" t="s">
        <v>5877</v>
      </c>
      <c r="F1524" s="53" t="s">
        <v>5687</v>
      </c>
      <c r="G1524" s="51" t="s">
        <v>4812</v>
      </c>
      <c r="H1524" s="54"/>
      <c r="I1524" s="55">
        <v>0</v>
      </c>
      <c r="K1524" s="51" t="s">
        <v>5869</v>
      </c>
    </row>
    <row r="1525" spans="1:11">
      <c r="A1525" s="51">
        <v>1495</v>
      </c>
      <c r="B1525" s="51" t="s">
        <v>5868</v>
      </c>
      <c r="C1525" s="51" t="s">
        <v>5869</v>
      </c>
      <c r="D1525" s="52" t="s">
        <v>3895</v>
      </c>
      <c r="E1525" s="52" t="s">
        <v>5878</v>
      </c>
      <c r="F1525" s="53" t="s">
        <v>5691</v>
      </c>
      <c r="G1525" s="51" t="s">
        <v>4812</v>
      </c>
      <c r="H1525" s="54"/>
      <c r="I1525" s="55">
        <v>1</v>
      </c>
      <c r="K1525" s="51" t="s">
        <v>5869</v>
      </c>
    </row>
    <row r="1526" spans="1:11">
      <c r="A1526" s="51">
        <v>1496</v>
      </c>
      <c r="B1526" s="51" t="s">
        <v>5868</v>
      </c>
      <c r="C1526" s="51" t="s">
        <v>5869</v>
      </c>
      <c r="D1526" s="52" t="s">
        <v>3847</v>
      </c>
      <c r="E1526" s="52" t="s">
        <v>3846</v>
      </c>
      <c r="F1526" s="53" t="s">
        <v>5548</v>
      </c>
      <c r="G1526" s="51" t="s">
        <v>4812</v>
      </c>
      <c r="H1526" s="54"/>
      <c r="I1526" s="55">
        <v>8</v>
      </c>
      <c r="K1526" s="51" t="s">
        <v>5869</v>
      </c>
    </row>
    <row r="1527" spans="1:11">
      <c r="A1527" s="51">
        <v>1497</v>
      </c>
      <c r="B1527" s="51" t="s">
        <v>5868</v>
      </c>
      <c r="C1527" s="51" t="s">
        <v>5869</v>
      </c>
      <c r="D1527" s="52" t="s">
        <v>5879</v>
      </c>
      <c r="E1527" s="52" t="s">
        <v>5880</v>
      </c>
      <c r="F1527" s="53" t="s">
        <v>5881</v>
      </c>
      <c r="G1527" s="51" t="s">
        <v>4812</v>
      </c>
      <c r="H1527" s="54"/>
      <c r="I1527" s="55">
        <v>0</v>
      </c>
      <c r="K1527" s="51" t="s">
        <v>5869</v>
      </c>
    </row>
    <row r="1528" spans="1:11">
      <c r="A1528" s="51">
        <v>1498</v>
      </c>
      <c r="B1528" s="51" t="s">
        <v>5868</v>
      </c>
      <c r="C1528" s="51" t="s">
        <v>5869</v>
      </c>
      <c r="D1528" s="52" t="s">
        <v>3246</v>
      </c>
      <c r="E1528" s="52" t="s">
        <v>3245</v>
      </c>
      <c r="F1528" s="53" t="s">
        <v>5882</v>
      </c>
      <c r="G1528" s="51" t="s">
        <v>4812</v>
      </c>
      <c r="H1528" s="54"/>
      <c r="I1528" s="55">
        <v>20</v>
      </c>
      <c r="K1528" s="51" t="s">
        <v>5869</v>
      </c>
    </row>
    <row r="1529" spans="1:11">
      <c r="A1529" s="51">
        <v>1499</v>
      </c>
      <c r="B1529" s="51" t="s">
        <v>5868</v>
      </c>
      <c r="C1529" s="51" t="s">
        <v>5869</v>
      </c>
      <c r="D1529" s="52" t="s">
        <v>2667</v>
      </c>
      <c r="E1529" s="52" t="s">
        <v>2666</v>
      </c>
      <c r="F1529" s="53" t="s">
        <v>5700</v>
      </c>
      <c r="G1529" s="51" t="s">
        <v>4812</v>
      </c>
      <c r="H1529" s="54"/>
      <c r="I1529" s="55">
        <v>0</v>
      </c>
      <c r="K1529" s="51" t="s">
        <v>5869</v>
      </c>
    </row>
    <row r="1530" spans="1:11">
      <c r="A1530" s="51">
        <v>1500</v>
      </c>
      <c r="B1530" s="51" t="s">
        <v>5868</v>
      </c>
      <c r="C1530" s="51" t="s">
        <v>5869</v>
      </c>
      <c r="D1530" s="52" t="s">
        <v>4013</v>
      </c>
      <c r="E1530" s="52" t="s">
        <v>5883</v>
      </c>
      <c r="F1530" s="53" t="s">
        <v>5884</v>
      </c>
      <c r="G1530" s="51" t="s">
        <v>4812</v>
      </c>
      <c r="H1530" s="54"/>
      <c r="I1530" s="55">
        <v>0</v>
      </c>
      <c r="K1530" s="51" t="s">
        <v>5869</v>
      </c>
    </row>
    <row r="1531" spans="1:11">
      <c r="A1531" s="51">
        <v>1501</v>
      </c>
      <c r="B1531" s="51" t="s">
        <v>5868</v>
      </c>
      <c r="C1531" s="51" t="s">
        <v>5869</v>
      </c>
      <c r="D1531" s="52" t="s">
        <v>428</v>
      </c>
      <c r="E1531" s="52" t="s">
        <v>5885</v>
      </c>
      <c r="F1531" s="53" t="s">
        <v>5886</v>
      </c>
      <c r="G1531" s="51" t="s">
        <v>4812</v>
      </c>
      <c r="H1531" s="54"/>
      <c r="I1531" s="55">
        <v>14</v>
      </c>
      <c r="K1531" s="51" t="s">
        <v>5869</v>
      </c>
    </row>
    <row r="1532" spans="1:11">
      <c r="A1532" s="51">
        <v>1502</v>
      </c>
      <c r="B1532" s="51" t="s">
        <v>5868</v>
      </c>
      <c r="C1532" s="51" t="s">
        <v>5869</v>
      </c>
      <c r="D1532" s="52" t="s">
        <v>3620</v>
      </c>
      <c r="E1532" s="52" t="s">
        <v>5887</v>
      </c>
      <c r="F1532" s="53" t="s">
        <v>5888</v>
      </c>
      <c r="G1532" s="51" t="s">
        <v>4812</v>
      </c>
      <c r="H1532" s="54"/>
      <c r="I1532" s="55">
        <v>33</v>
      </c>
      <c r="K1532" s="51" t="s">
        <v>5869</v>
      </c>
    </row>
    <row r="1533" spans="1:11">
      <c r="A1533" s="51">
        <v>1503</v>
      </c>
      <c r="B1533" s="51" t="s">
        <v>5868</v>
      </c>
      <c r="C1533" s="51" t="s">
        <v>5869</v>
      </c>
      <c r="D1533" s="52" t="s">
        <v>682</v>
      </c>
      <c r="E1533" s="52" t="s">
        <v>5889</v>
      </c>
      <c r="F1533" s="53" t="s">
        <v>5890</v>
      </c>
      <c r="G1533" s="51" t="s">
        <v>4812</v>
      </c>
      <c r="H1533" s="54"/>
      <c r="I1533" s="55">
        <v>239</v>
      </c>
      <c r="K1533" s="51" t="s">
        <v>5869</v>
      </c>
    </row>
    <row r="1534" spans="1:11">
      <c r="A1534" s="51">
        <v>1504</v>
      </c>
      <c r="B1534" s="51" t="s">
        <v>5868</v>
      </c>
      <c r="C1534" s="51" t="s">
        <v>5869</v>
      </c>
      <c r="D1534" s="52" t="s">
        <v>2757</v>
      </c>
      <c r="E1534" s="52" t="s">
        <v>5891</v>
      </c>
      <c r="F1534" s="53" t="s">
        <v>5892</v>
      </c>
      <c r="G1534" s="51" t="s">
        <v>4812</v>
      </c>
      <c r="H1534" s="54"/>
      <c r="I1534" s="55">
        <v>20</v>
      </c>
      <c r="K1534" s="51" t="s">
        <v>5869</v>
      </c>
    </row>
    <row r="1535" spans="1:11">
      <c r="A1535" s="51">
        <v>1505</v>
      </c>
      <c r="B1535" s="51" t="s">
        <v>5868</v>
      </c>
      <c r="C1535" s="51" t="s">
        <v>5869</v>
      </c>
      <c r="D1535" s="52" t="s">
        <v>2935</v>
      </c>
      <c r="E1535" s="52" t="s">
        <v>5893</v>
      </c>
      <c r="F1535" s="53" t="s">
        <v>5894</v>
      </c>
      <c r="G1535" s="51" t="s">
        <v>4812</v>
      </c>
      <c r="H1535" s="54"/>
      <c r="I1535" s="55">
        <v>95</v>
      </c>
      <c r="K1535" s="51" t="s">
        <v>5869</v>
      </c>
    </row>
    <row r="1536" spans="1:11">
      <c r="A1536" s="51">
        <v>1506</v>
      </c>
      <c r="B1536" s="51" t="s">
        <v>5868</v>
      </c>
      <c r="C1536" s="51" t="s">
        <v>5869</v>
      </c>
      <c r="D1536" s="52" t="s">
        <v>3260</v>
      </c>
      <c r="E1536" s="52" t="s">
        <v>5895</v>
      </c>
      <c r="F1536" s="53" t="s">
        <v>5896</v>
      </c>
      <c r="G1536" s="51" t="s">
        <v>4812</v>
      </c>
      <c r="H1536" s="54"/>
      <c r="I1536" s="55">
        <v>39</v>
      </c>
      <c r="K1536" s="51" t="s">
        <v>5869</v>
      </c>
    </row>
    <row r="1537" spans="1:11">
      <c r="A1537" s="51">
        <v>1507</v>
      </c>
      <c r="B1537" s="51" t="s">
        <v>5868</v>
      </c>
      <c r="C1537" s="51" t="s">
        <v>5869</v>
      </c>
      <c r="D1537" s="52" t="s">
        <v>3264</v>
      </c>
      <c r="E1537" s="52" t="s">
        <v>5897</v>
      </c>
      <c r="F1537" s="53" t="s">
        <v>5896</v>
      </c>
      <c r="G1537" s="51" t="s">
        <v>4812</v>
      </c>
      <c r="H1537" s="54"/>
      <c r="I1537" s="55">
        <v>77</v>
      </c>
      <c r="K1537" s="51" t="s">
        <v>5869</v>
      </c>
    </row>
    <row r="1538" spans="1:11">
      <c r="A1538" s="51">
        <v>1508</v>
      </c>
      <c r="B1538" s="51" t="s">
        <v>5868</v>
      </c>
      <c r="C1538" s="51" t="s">
        <v>5869</v>
      </c>
      <c r="D1538" s="52" t="s">
        <v>3758</v>
      </c>
      <c r="E1538" s="52" t="s">
        <v>5898</v>
      </c>
      <c r="F1538" s="53" t="s">
        <v>5899</v>
      </c>
      <c r="G1538" s="51" t="s">
        <v>4812</v>
      </c>
      <c r="H1538" s="54"/>
      <c r="I1538" s="55">
        <v>91</v>
      </c>
      <c r="K1538" s="51" t="s">
        <v>5869</v>
      </c>
    </row>
    <row r="1539" spans="1:11">
      <c r="A1539" s="51">
        <v>1509</v>
      </c>
      <c r="B1539" s="51" t="s">
        <v>5868</v>
      </c>
      <c r="C1539" s="51" t="s">
        <v>5869</v>
      </c>
      <c r="D1539" s="52" t="s">
        <v>2687</v>
      </c>
      <c r="E1539" s="52" t="s">
        <v>5900</v>
      </c>
      <c r="F1539" s="53" t="s">
        <v>5901</v>
      </c>
      <c r="G1539" s="51" t="s">
        <v>4812</v>
      </c>
      <c r="H1539" s="54"/>
      <c r="I1539" s="55">
        <v>26</v>
      </c>
      <c r="K1539" s="51" t="s">
        <v>5869</v>
      </c>
    </row>
    <row r="1540" spans="1:11">
      <c r="A1540" s="51">
        <v>1510</v>
      </c>
      <c r="B1540" s="51" t="s">
        <v>5868</v>
      </c>
      <c r="C1540" s="51" t="s">
        <v>5869</v>
      </c>
      <c r="D1540" s="52" t="s">
        <v>3818</v>
      </c>
      <c r="E1540" s="52" t="s">
        <v>5902</v>
      </c>
      <c r="F1540" s="53" t="s">
        <v>5903</v>
      </c>
      <c r="G1540" s="51" t="s">
        <v>4812</v>
      </c>
      <c r="H1540" s="54"/>
      <c r="I1540" s="55">
        <v>62</v>
      </c>
      <c r="K1540" s="51" t="s">
        <v>5869</v>
      </c>
    </row>
    <row r="1541" spans="1:11">
      <c r="A1541" s="51">
        <v>1511</v>
      </c>
      <c r="B1541" s="51" t="s">
        <v>5904</v>
      </c>
      <c r="C1541" s="51" t="s">
        <v>5905</v>
      </c>
      <c r="D1541" s="52" t="s">
        <v>5906</v>
      </c>
      <c r="E1541" s="52" t="s">
        <v>5907</v>
      </c>
      <c r="F1541" s="53" t="s">
        <v>5908</v>
      </c>
      <c r="G1541" s="51" t="s">
        <v>4812</v>
      </c>
      <c r="H1541" s="54"/>
      <c r="I1541" s="55">
        <v>0</v>
      </c>
      <c r="K1541" s="51" t="s">
        <v>5905</v>
      </c>
    </row>
    <row r="1542" spans="1:11">
      <c r="A1542" s="51">
        <v>1512</v>
      </c>
      <c r="B1542" s="51" t="s">
        <v>5904</v>
      </c>
      <c r="C1542" s="51" t="s">
        <v>5905</v>
      </c>
      <c r="D1542" s="52" t="s">
        <v>424</v>
      </c>
      <c r="E1542" s="52" t="s">
        <v>423</v>
      </c>
      <c r="F1542" s="53" t="s">
        <v>5816</v>
      </c>
      <c r="G1542" s="51" t="s">
        <v>4812</v>
      </c>
      <c r="H1542" s="54"/>
      <c r="I1542" s="55">
        <v>0</v>
      </c>
      <c r="K1542" s="51" t="s">
        <v>5905</v>
      </c>
    </row>
    <row r="1543" spans="1:11">
      <c r="A1543" s="51">
        <v>1513</v>
      </c>
      <c r="B1543" s="51" t="s">
        <v>5904</v>
      </c>
      <c r="C1543" s="51" t="s">
        <v>5905</v>
      </c>
      <c r="D1543" s="52" t="s">
        <v>2709</v>
      </c>
      <c r="E1543" s="52" t="s">
        <v>2708</v>
      </c>
      <c r="F1543" s="53" t="s">
        <v>5446</v>
      </c>
      <c r="G1543" s="51" t="s">
        <v>4812</v>
      </c>
      <c r="H1543" s="54"/>
      <c r="I1543" s="55">
        <v>0</v>
      </c>
      <c r="K1543" s="51" t="s">
        <v>5905</v>
      </c>
    </row>
    <row r="1544" spans="1:11">
      <c r="A1544" s="51">
        <v>1514</v>
      </c>
      <c r="B1544" s="51" t="s">
        <v>5904</v>
      </c>
      <c r="C1544" s="51" t="s">
        <v>5905</v>
      </c>
      <c r="D1544" s="52" t="s">
        <v>670</v>
      </c>
      <c r="E1544" s="52" t="s">
        <v>5909</v>
      </c>
      <c r="F1544" s="53" t="s">
        <v>5855</v>
      </c>
      <c r="G1544" s="51" t="s">
        <v>4812</v>
      </c>
      <c r="H1544" s="54"/>
      <c r="I1544" s="55">
        <v>76</v>
      </c>
      <c r="K1544" s="51" t="s">
        <v>5905</v>
      </c>
    </row>
    <row r="1545" spans="1:11">
      <c r="A1545" s="51">
        <v>1515</v>
      </c>
      <c r="B1545" s="51" t="s">
        <v>5904</v>
      </c>
      <c r="C1545" s="51" t="s">
        <v>5905</v>
      </c>
      <c r="D1545" s="52" t="s">
        <v>2579</v>
      </c>
      <c r="E1545" s="52" t="s">
        <v>2578</v>
      </c>
      <c r="F1545" s="53" t="s">
        <v>5760</v>
      </c>
      <c r="G1545" s="51" t="s">
        <v>4812</v>
      </c>
      <c r="H1545" s="54"/>
      <c r="I1545" s="55">
        <v>2</v>
      </c>
      <c r="K1545" s="51" t="s">
        <v>5905</v>
      </c>
    </row>
    <row r="1546" spans="1:11">
      <c r="A1546" s="51">
        <v>1516</v>
      </c>
      <c r="B1546" s="51" t="s">
        <v>5904</v>
      </c>
      <c r="C1546" s="51" t="s">
        <v>5905</v>
      </c>
      <c r="D1546" s="52" t="s">
        <v>678</v>
      </c>
      <c r="E1546" s="52" t="s">
        <v>677</v>
      </c>
      <c r="F1546" s="53" t="s">
        <v>5874</v>
      </c>
      <c r="G1546" s="51" t="s">
        <v>4812</v>
      </c>
      <c r="H1546" s="54"/>
      <c r="I1546" s="55">
        <v>69</v>
      </c>
      <c r="K1546" s="51" t="s">
        <v>5905</v>
      </c>
    </row>
    <row r="1547" spans="1:11">
      <c r="A1547" s="51">
        <v>1517</v>
      </c>
      <c r="B1547" s="51" t="s">
        <v>5904</v>
      </c>
      <c r="C1547" s="51" t="s">
        <v>5905</v>
      </c>
      <c r="D1547" s="52" t="s">
        <v>2947</v>
      </c>
      <c r="E1547" s="52" t="s">
        <v>5910</v>
      </c>
      <c r="F1547" s="53" t="s">
        <v>5875</v>
      </c>
      <c r="G1547" s="51" t="s">
        <v>4812</v>
      </c>
      <c r="H1547" s="54"/>
      <c r="I1547" s="55">
        <v>21</v>
      </c>
      <c r="K1547" s="51" t="s">
        <v>5905</v>
      </c>
    </row>
    <row r="1548" spans="1:11">
      <c r="A1548" s="51">
        <v>1518</v>
      </c>
      <c r="B1548" s="51" t="s">
        <v>5904</v>
      </c>
      <c r="C1548" s="51" t="s">
        <v>5905</v>
      </c>
      <c r="D1548" s="52" t="s">
        <v>5911</v>
      </c>
      <c r="E1548" s="52" t="s">
        <v>5877</v>
      </c>
      <c r="F1548" s="53" t="s">
        <v>5687</v>
      </c>
      <c r="G1548" s="51" t="s">
        <v>4812</v>
      </c>
      <c r="H1548" s="54"/>
      <c r="I1548" s="55">
        <v>0</v>
      </c>
      <c r="K1548" s="51" t="s">
        <v>5905</v>
      </c>
    </row>
    <row r="1549" spans="1:11">
      <c r="A1549" s="51">
        <v>1519</v>
      </c>
      <c r="B1549" s="51" t="s">
        <v>5904</v>
      </c>
      <c r="C1549" s="51" t="s">
        <v>5905</v>
      </c>
      <c r="D1549" s="52" t="s">
        <v>3895</v>
      </c>
      <c r="E1549" s="52" t="s">
        <v>3894</v>
      </c>
      <c r="F1549" s="53" t="s">
        <v>5691</v>
      </c>
      <c r="G1549" s="51" t="s">
        <v>4812</v>
      </c>
      <c r="H1549" s="54"/>
      <c r="I1549" s="55">
        <v>0</v>
      </c>
      <c r="K1549" s="51" t="s">
        <v>5905</v>
      </c>
    </row>
    <row r="1550" spans="1:11">
      <c r="A1550" s="51">
        <v>1520</v>
      </c>
      <c r="B1550" s="51" t="s">
        <v>5904</v>
      </c>
      <c r="C1550" s="51" t="s">
        <v>5905</v>
      </c>
      <c r="D1550" s="52" t="s">
        <v>3849</v>
      </c>
      <c r="E1550" s="52" t="s">
        <v>3848</v>
      </c>
      <c r="F1550" s="53" t="s">
        <v>5548</v>
      </c>
      <c r="G1550" s="51" t="s">
        <v>4812</v>
      </c>
      <c r="H1550" s="54"/>
      <c r="I1550" s="55">
        <v>8</v>
      </c>
      <c r="K1550" s="51" t="s">
        <v>5905</v>
      </c>
    </row>
    <row r="1551" spans="1:11">
      <c r="A1551" s="51">
        <v>1521</v>
      </c>
      <c r="B1551" s="51" t="s">
        <v>5904</v>
      </c>
      <c r="C1551" s="51" t="s">
        <v>5905</v>
      </c>
      <c r="D1551" s="52" t="s">
        <v>5912</v>
      </c>
      <c r="E1551" s="52" t="s">
        <v>5913</v>
      </c>
      <c r="F1551" s="53" t="s">
        <v>5914</v>
      </c>
      <c r="G1551" s="51" t="s">
        <v>4812</v>
      </c>
      <c r="H1551" s="54"/>
      <c r="I1551" s="55">
        <v>0</v>
      </c>
      <c r="K1551" s="51" t="s">
        <v>5905</v>
      </c>
    </row>
    <row r="1552" spans="1:11">
      <c r="A1552" s="51">
        <v>1522</v>
      </c>
      <c r="B1552" s="51" t="s">
        <v>5904</v>
      </c>
      <c r="C1552" s="51" t="s">
        <v>5905</v>
      </c>
      <c r="D1552" s="52" t="s">
        <v>3246</v>
      </c>
      <c r="E1552" s="52" t="s">
        <v>3245</v>
      </c>
      <c r="F1552" s="53" t="s">
        <v>5882</v>
      </c>
      <c r="G1552" s="51" t="s">
        <v>4812</v>
      </c>
      <c r="H1552" s="54"/>
      <c r="I1552" s="55">
        <v>0</v>
      </c>
      <c r="K1552" s="51" t="s">
        <v>5905</v>
      </c>
    </row>
    <row r="1553" spans="1:11">
      <c r="A1553" s="51">
        <v>1523</v>
      </c>
      <c r="B1553" s="51" t="s">
        <v>5904</v>
      </c>
      <c r="C1553" s="51" t="s">
        <v>5905</v>
      </c>
      <c r="D1553" s="52" t="s">
        <v>2667</v>
      </c>
      <c r="E1553" s="52" t="s">
        <v>2666</v>
      </c>
      <c r="F1553" s="53" t="s">
        <v>5700</v>
      </c>
      <c r="G1553" s="51" t="s">
        <v>4812</v>
      </c>
      <c r="H1553" s="54"/>
      <c r="I1553" s="55">
        <v>115</v>
      </c>
      <c r="K1553" s="51" t="s">
        <v>5905</v>
      </c>
    </row>
    <row r="1554" spans="1:11">
      <c r="A1554" s="51">
        <v>1524</v>
      </c>
      <c r="B1554" s="51" t="s">
        <v>5904</v>
      </c>
      <c r="C1554" s="51" t="s">
        <v>5905</v>
      </c>
      <c r="D1554" s="52" t="s">
        <v>4013</v>
      </c>
      <c r="E1554" s="52" t="s">
        <v>5883</v>
      </c>
      <c r="F1554" s="53" t="s">
        <v>5884</v>
      </c>
      <c r="G1554" s="51" t="s">
        <v>4812</v>
      </c>
      <c r="H1554" s="54"/>
      <c r="I1554" s="55">
        <v>135</v>
      </c>
      <c r="K1554" s="51" t="s">
        <v>5905</v>
      </c>
    </row>
    <row r="1555" spans="1:11">
      <c r="A1555" s="51">
        <v>1525</v>
      </c>
      <c r="B1555" s="51" t="s">
        <v>5904</v>
      </c>
      <c r="C1555" s="51" t="s">
        <v>5905</v>
      </c>
      <c r="D1555" s="52" t="s">
        <v>413</v>
      </c>
      <c r="E1555" s="52" t="s">
        <v>5915</v>
      </c>
      <c r="F1555" s="53" t="s">
        <v>5916</v>
      </c>
      <c r="G1555" s="51" t="s">
        <v>4812</v>
      </c>
      <c r="H1555" s="54"/>
      <c r="I1555" s="55">
        <v>23</v>
      </c>
      <c r="K1555" s="51" t="s">
        <v>5905</v>
      </c>
    </row>
    <row r="1556" spans="1:11">
      <c r="A1556" s="51">
        <v>1526</v>
      </c>
      <c r="B1556" s="51" t="s">
        <v>5904</v>
      </c>
      <c r="C1556" s="51" t="s">
        <v>5905</v>
      </c>
      <c r="D1556" s="52" t="s">
        <v>3618</v>
      </c>
      <c r="E1556" s="52" t="s">
        <v>5917</v>
      </c>
      <c r="F1556" s="53" t="s">
        <v>5888</v>
      </c>
      <c r="G1556" s="51" t="s">
        <v>4812</v>
      </c>
      <c r="H1556" s="54"/>
      <c r="I1556" s="55">
        <v>16</v>
      </c>
      <c r="K1556" s="51" t="s">
        <v>5905</v>
      </c>
    </row>
    <row r="1557" spans="1:11">
      <c r="A1557" s="51">
        <v>1527</v>
      </c>
      <c r="B1557" s="51" t="s">
        <v>5904</v>
      </c>
      <c r="C1557" s="51" t="s">
        <v>5905</v>
      </c>
      <c r="D1557" s="52" t="s">
        <v>2102</v>
      </c>
      <c r="E1557" s="52" t="s">
        <v>5918</v>
      </c>
      <c r="F1557" s="53" t="s">
        <v>5892</v>
      </c>
      <c r="G1557" s="51" t="s">
        <v>4812</v>
      </c>
      <c r="H1557" s="54"/>
      <c r="I1557" s="55">
        <v>20</v>
      </c>
      <c r="K1557" s="51" t="s">
        <v>5905</v>
      </c>
    </row>
    <row r="1558" spans="1:11">
      <c r="A1558" s="51">
        <v>1528</v>
      </c>
      <c r="B1558" s="51" t="s">
        <v>5904</v>
      </c>
      <c r="C1558" s="51" t="s">
        <v>5905</v>
      </c>
      <c r="D1558" s="52" t="s">
        <v>3258</v>
      </c>
      <c r="E1558" s="52" t="s">
        <v>5919</v>
      </c>
      <c r="F1558" s="53" t="s">
        <v>5896</v>
      </c>
      <c r="G1558" s="51" t="s">
        <v>4812</v>
      </c>
      <c r="H1558" s="54"/>
      <c r="I1558" s="55">
        <v>5</v>
      </c>
      <c r="K1558" s="51" t="s">
        <v>5905</v>
      </c>
    </row>
    <row r="1559" spans="1:11">
      <c r="A1559" s="51">
        <v>1529</v>
      </c>
      <c r="B1559" s="51" t="s">
        <v>5904</v>
      </c>
      <c r="C1559" s="51" t="s">
        <v>5905</v>
      </c>
      <c r="D1559" s="52" t="s">
        <v>3262</v>
      </c>
      <c r="E1559" s="52" t="s">
        <v>5920</v>
      </c>
      <c r="F1559" s="53" t="s">
        <v>5896</v>
      </c>
      <c r="G1559" s="51" t="s">
        <v>4812</v>
      </c>
      <c r="H1559" s="54"/>
      <c r="I1559" s="55">
        <v>70</v>
      </c>
      <c r="K1559" s="51" t="s">
        <v>5905</v>
      </c>
    </row>
    <row r="1560" spans="1:11">
      <c r="A1560" s="51">
        <v>1530</v>
      </c>
      <c r="B1560" s="51" t="s">
        <v>5904</v>
      </c>
      <c r="C1560" s="51" t="s">
        <v>5905</v>
      </c>
      <c r="D1560" s="52" t="s">
        <v>3760</v>
      </c>
      <c r="E1560" s="52" t="s">
        <v>5921</v>
      </c>
      <c r="F1560" s="53" t="s">
        <v>5899</v>
      </c>
      <c r="G1560" s="51" t="s">
        <v>4812</v>
      </c>
      <c r="H1560" s="54"/>
      <c r="I1560" s="55">
        <v>205</v>
      </c>
      <c r="K1560" s="51" t="s">
        <v>5905</v>
      </c>
    </row>
    <row r="1561" spans="1:11">
      <c r="A1561" s="51">
        <v>1531</v>
      </c>
      <c r="B1561" s="51" t="s">
        <v>5904</v>
      </c>
      <c r="C1561" s="51" t="s">
        <v>5905</v>
      </c>
      <c r="D1561" s="52" t="s">
        <v>684</v>
      </c>
      <c r="E1561" s="52" t="s">
        <v>5922</v>
      </c>
      <c r="F1561" s="53" t="s">
        <v>5890</v>
      </c>
      <c r="G1561" s="51" t="s">
        <v>4812</v>
      </c>
      <c r="H1561" s="54"/>
      <c r="I1561" s="55">
        <v>68</v>
      </c>
      <c r="K1561" s="51" t="s">
        <v>5905</v>
      </c>
    </row>
    <row r="1562" spans="1:11">
      <c r="A1562" s="51">
        <v>1532</v>
      </c>
      <c r="B1562" s="51" t="s">
        <v>5904</v>
      </c>
      <c r="C1562" s="51" t="s">
        <v>5905</v>
      </c>
      <c r="D1562" s="52" t="s">
        <v>2583</v>
      </c>
      <c r="E1562" s="52" t="s">
        <v>5923</v>
      </c>
      <c r="F1562" s="53" t="s">
        <v>5924</v>
      </c>
      <c r="G1562" s="51" t="s">
        <v>4812</v>
      </c>
      <c r="H1562" s="54"/>
      <c r="I1562" s="55">
        <v>42</v>
      </c>
      <c r="K1562" s="51" t="s">
        <v>5905</v>
      </c>
    </row>
    <row r="1563" spans="1:11">
      <c r="A1563" s="51">
        <v>1533</v>
      </c>
      <c r="B1563" s="51" t="s">
        <v>5904</v>
      </c>
      <c r="C1563" s="51" t="s">
        <v>5905</v>
      </c>
      <c r="D1563" s="52" t="s">
        <v>2655</v>
      </c>
      <c r="E1563" s="52" t="s">
        <v>5925</v>
      </c>
      <c r="F1563" s="53" t="s">
        <v>5784</v>
      </c>
      <c r="G1563" s="51" t="s">
        <v>4812</v>
      </c>
      <c r="H1563" s="54"/>
      <c r="I1563" s="55">
        <v>21</v>
      </c>
      <c r="K1563" s="51" t="s">
        <v>5905</v>
      </c>
    </row>
    <row r="1564" spans="1:11">
      <c r="A1564" s="51">
        <v>1534</v>
      </c>
      <c r="B1564" s="51" t="s">
        <v>5904</v>
      </c>
      <c r="C1564" s="51" t="s">
        <v>5905</v>
      </c>
      <c r="D1564" s="52" t="s">
        <v>2933</v>
      </c>
      <c r="E1564" s="52" t="s">
        <v>5926</v>
      </c>
      <c r="F1564" s="53" t="s">
        <v>5894</v>
      </c>
      <c r="G1564" s="51" t="s">
        <v>4812</v>
      </c>
      <c r="H1564" s="54"/>
      <c r="I1564" s="55">
        <v>3</v>
      </c>
      <c r="K1564" s="51" t="s">
        <v>5905</v>
      </c>
    </row>
    <row r="1565" spans="1:11">
      <c r="A1565" s="51">
        <v>1535</v>
      </c>
      <c r="B1565" s="51" t="s">
        <v>5927</v>
      </c>
      <c r="C1565" s="51" t="s">
        <v>5928</v>
      </c>
      <c r="D1565" s="52" t="s">
        <v>331</v>
      </c>
      <c r="E1565" s="52" t="s">
        <v>5929</v>
      </c>
      <c r="F1565" s="53" t="s">
        <v>5930</v>
      </c>
      <c r="G1565" s="51" t="s">
        <v>4812</v>
      </c>
      <c r="H1565" s="54"/>
      <c r="I1565" s="55">
        <v>31</v>
      </c>
      <c r="K1565" s="51" t="s">
        <v>5928</v>
      </c>
    </row>
    <row r="1566" spans="1:11">
      <c r="A1566" s="51">
        <v>1536</v>
      </c>
      <c r="B1566" s="51" t="s">
        <v>5927</v>
      </c>
      <c r="C1566" s="51" t="s">
        <v>5928</v>
      </c>
      <c r="D1566" s="52" t="s">
        <v>307</v>
      </c>
      <c r="E1566" s="52" t="s">
        <v>5931</v>
      </c>
      <c r="F1566" s="53" t="s">
        <v>5932</v>
      </c>
      <c r="G1566" s="51" t="s">
        <v>4812</v>
      </c>
      <c r="H1566" s="54"/>
      <c r="I1566" s="55">
        <v>7</v>
      </c>
      <c r="K1566" s="51" t="s">
        <v>5928</v>
      </c>
    </row>
    <row r="1567" spans="1:11">
      <c r="A1567" s="51">
        <v>1537</v>
      </c>
      <c r="B1567" s="51" t="s">
        <v>5927</v>
      </c>
      <c r="C1567" s="51" t="s">
        <v>5928</v>
      </c>
      <c r="D1567" s="52" t="s">
        <v>5933</v>
      </c>
      <c r="E1567" s="52" t="s">
        <v>5934</v>
      </c>
      <c r="F1567" s="53" t="s">
        <v>5687</v>
      </c>
      <c r="G1567" s="51" t="s">
        <v>4812</v>
      </c>
      <c r="H1567" s="54"/>
      <c r="I1567" s="55">
        <v>0</v>
      </c>
      <c r="K1567" s="51" t="s">
        <v>5928</v>
      </c>
    </row>
    <row r="1568" spans="1:11">
      <c r="A1568" s="51">
        <v>1538</v>
      </c>
      <c r="B1568" s="51" t="s">
        <v>5927</v>
      </c>
      <c r="C1568" s="51" t="s">
        <v>5928</v>
      </c>
      <c r="D1568" s="52" t="s">
        <v>5935</v>
      </c>
      <c r="E1568" s="52" t="s">
        <v>5936</v>
      </c>
      <c r="F1568" s="53" t="s">
        <v>5704</v>
      </c>
      <c r="G1568" s="51" t="s">
        <v>4812</v>
      </c>
      <c r="H1568" s="54"/>
      <c r="I1568" s="55">
        <v>0</v>
      </c>
      <c r="K1568" s="51" t="s">
        <v>5928</v>
      </c>
    </row>
    <row r="1569" spans="1:11">
      <c r="A1569" s="51">
        <v>1539</v>
      </c>
      <c r="B1569" s="51" t="s">
        <v>5927</v>
      </c>
      <c r="C1569" s="51" t="s">
        <v>5928</v>
      </c>
      <c r="D1569" s="52" t="s">
        <v>2825</v>
      </c>
      <c r="E1569" s="52" t="s">
        <v>2824</v>
      </c>
      <c r="F1569" s="53" t="s">
        <v>5937</v>
      </c>
      <c r="G1569" s="51" t="s">
        <v>4812</v>
      </c>
      <c r="H1569" s="54"/>
      <c r="I1569" s="55">
        <v>24</v>
      </c>
      <c r="K1569" s="51" t="s">
        <v>5928</v>
      </c>
    </row>
    <row r="1570" spans="1:11">
      <c r="A1570" s="51">
        <v>1540</v>
      </c>
      <c r="B1570" s="51" t="s">
        <v>5927</v>
      </c>
      <c r="C1570" s="51" t="s">
        <v>5928</v>
      </c>
      <c r="D1570" s="52" t="s">
        <v>2849</v>
      </c>
      <c r="E1570" s="52" t="s">
        <v>2848</v>
      </c>
      <c r="F1570" s="53" t="s">
        <v>5937</v>
      </c>
      <c r="G1570" s="51" t="s">
        <v>4812</v>
      </c>
      <c r="H1570" s="54"/>
      <c r="I1570" s="55">
        <v>0</v>
      </c>
      <c r="K1570" s="51" t="s">
        <v>5928</v>
      </c>
    </row>
    <row r="1571" spans="1:11">
      <c r="A1571" s="51">
        <v>1541</v>
      </c>
      <c r="B1571" s="51" t="s">
        <v>5927</v>
      </c>
      <c r="C1571" s="51" t="s">
        <v>5928</v>
      </c>
      <c r="D1571" s="52" t="s">
        <v>323</v>
      </c>
      <c r="E1571" s="52" t="s">
        <v>322</v>
      </c>
      <c r="F1571" s="53" t="s">
        <v>5697</v>
      </c>
      <c r="G1571" s="51" t="s">
        <v>4812</v>
      </c>
      <c r="H1571" s="54"/>
      <c r="I1571" s="55">
        <v>0</v>
      </c>
      <c r="K1571" s="51" t="s">
        <v>5928</v>
      </c>
    </row>
    <row r="1572" spans="1:11">
      <c r="A1572" s="51">
        <v>1542</v>
      </c>
      <c r="B1572" s="51" t="s">
        <v>5927</v>
      </c>
      <c r="C1572" s="51" t="s">
        <v>5928</v>
      </c>
      <c r="D1572" s="52" t="s">
        <v>299</v>
      </c>
      <c r="E1572" s="52" t="s">
        <v>298</v>
      </c>
      <c r="F1572" s="53" t="s">
        <v>5938</v>
      </c>
      <c r="G1572" s="51" t="s">
        <v>4812</v>
      </c>
      <c r="H1572" s="54"/>
      <c r="I1572" s="55">
        <v>0</v>
      </c>
      <c r="K1572" s="51" t="s">
        <v>5928</v>
      </c>
    </row>
    <row r="1573" spans="1:11">
      <c r="A1573" s="51">
        <v>1543</v>
      </c>
      <c r="B1573" s="51" t="s">
        <v>5927</v>
      </c>
      <c r="C1573" s="51" t="s">
        <v>5928</v>
      </c>
      <c r="D1573" s="52" t="s">
        <v>2819</v>
      </c>
      <c r="E1573" s="52" t="s">
        <v>2818</v>
      </c>
      <c r="F1573" s="53" t="s">
        <v>5761</v>
      </c>
      <c r="G1573" s="51" t="s">
        <v>4812</v>
      </c>
      <c r="H1573" s="54"/>
      <c r="I1573" s="55">
        <v>0</v>
      </c>
      <c r="K1573" s="51" t="s">
        <v>5928</v>
      </c>
    </row>
    <row r="1574" spans="1:11">
      <c r="A1574" s="51">
        <v>1544</v>
      </c>
      <c r="B1574" s="51" t="s">
        <v>5927</v>
      </c>
      <c r="C1574" s="51" t="s">
        <v>5928</v>
      </c>
      <c r="D1574" s="52" t="s">
        <v>2843</v>
      </c>
      <c r="E1574" s="52" t="s">
        <v>2842</v>
      </c>
      <c r="F1574" s="53" t="s">
        <v>5689</v>
      </c>
      <c r="G1574" s="51" t="s">
        <v>4812</v>
      </c>
      <c r="H1574" s="54"/>
      <c r="I1574" s="55">
        <v>0</v>
      </c>
      <c r="K1574" s="51" t="s">
        <v>5928</v>
      </c>
    </row>
    <row r="1575" spans="1:11">
      <c r="A1575" s="51">
        <v>1545</v>
      </c>
      <c r="B1575" s="51" t="s">
        <v>5927</v>
      </c>
      <c r="C1575" s="51" t="s">
        <v>5928</v>
      </c>
      <c r="D1575" s="52" t="s">
        <v>5939</v>
      </c>
      <c r="E1575" s="52" t="s">
        <v>5940</v>
      </c>
      <c r="F1575" s="53"/>
      <c r="G1575" s="51" t="s">
        <v>4812</v>
      </c>
      <c r="H1575" s="54"/>
      <c r="I1575" s="55">
        <v>0</v>
      </c>
      <c r="K1575" s="51" t="s">
        <v>5928</v>
      </c>
    </row>
    <row r="1576" spans="1:11">
      <c r="A1576" s="51">
        <v>1546</v>
      </c>
      <c r="B1576" s="51" t="s">
        <v>5927</v>
      </c>
      <c r="C1576" s="51" t="s">
        <v>5928</v>
      </c>
      <c r="D1576" s="52" t="s">
        <v>5941</v>
      </c>
      <c r="E1576" s="52" t="s">
        <v>5942</v>
      </c>
      <c r="F1576" s="53"/>
      <c r="G1576" s="51" t="s">
        <v>4812</v>
      </c>
      <c r="H1576" s="54"/>
      <c r="I1576" s="55">
        <v>0</v>
      </c>
      <c r="K1576" s="51" t="s">
        <v>5928</v>
      </c>
    </row>
    <row r="1577" spans="1:11">
      <c r="A1577" s="51">
        <v>1547</v>
      </c>
      <c r="B1577" s="51" t="s">
        <v>5927</v>
      </c>
      <c r="C1577" s="51" t="s">
        <v>5928</v>
      </c>
      <c r="D1577" s="52" t="s">
        <v>2571</v>
      </c>
      <c r="E1577" s="52" t="s">
        <v>2570</v>
      </c>
      <c r="F1577" s="53" t="s">
        <v>5856</v>
      </c>
      <c r="G1577" s="51" t="s">
        <v>4812</v>
      </c>
      <c r="H1577" s="54"/>
      <c r="I1577" s="55">
        <v>12</v>
      </c>
      <c r="K1577" s="51" t="s">
        <v>5928</v>
      </c>
    </row>
    <row r="1578" spans="1:11">
      <c r="A1578" s="51">
        <v>1548</v>
      </c>
      <c r="B1578" s="51" t="s">
        <v>5927</v>
      </c>
      <c r="C1578" s="51" t="s">
        <v>5928</v>
      </c>
      <c r="D1578" s="52" t="s">
        <v>2903</v>
      </c>
      <c r="E1578" s="52" t="s">
        <v>2902</v>
      </c>
      <c r="F1578" s="53" t="s">
        <v>5943</v>
      </c>
      <c r="G1578" s="51" t="s">
        <v>4812</v>
      </c>
      <c r="H1578" s="54"/>
      <c r="I1578" s="55">
        <v>69</v>
      </c>
      <c r="K1578" s="51" t="s">
        <v>5928</v>
      </c>
    </row>
    <row r="1579" spans="1:11">
      <c r="A1579" s="51">
        <v>1549</v>
      </c>
      <c r="B1579" s="51" t="s">
        <v>5944</v>
      </c>
      <c r="C1579" s="51" t="s">
        <v>5945</v>
      </c>
      <c r="D1579" s="52" t="s">
        <v>2977</v>
      </c>
      <c r="E1579" s="52" t="s">
        <v>5946</v>
      </c>
      <c r="F1579" s="53" t="s">
        <v>5947</v>
      </c>
      <c r="G1579" s="51" t="s">
        <v>4812</v>
      </c>
      <c r="H1579" s="54"/>
      <c r="I1579" s="55">
        <v>91</v>
      </c>
      <c r="K1579" s="51" t="s">
        <v>5945</v>
      </c>
    </row>
    <row r="1580" spans="1:11">
      <c r="A1580" s="51">
        <v>1550</v>
      </c>
      <c r="B1580" s="51" t="s">
        <v>5944</v>
      </c>
      <c r="C1580" s="51" t="s">
        <v>5945</v>
      </c>
      <c r="D1580" s="52" t="s">
        <v>2983</v>
      </c>
      <c r="E1580" s="52" t="s">
        <v>5948</v>
      </c>
      <c r="F1580" s="53" t="s">
        <v>5949</v>
      </c>
      <c r="G1580" s="51" t="s">
        <v>4812</v>
      </c>
      <c r="H1580" s="54"/>
      <c r="I1580" s="55">
        <v>90</v>
      </c>
      <c r="K1580" s="51" t="s">
        <v>5945</v>
      </c>
    </row>
    <row r="1581" spans="1:11">
      <c r="A1581" s="51">
        <v>1551</v>
      </c>
      <c r="B1581" s="51" t="s">
        <v>5944</v>
      </c>
      <c r="C1581" s="51" t="s">
        <v>5945</v>
      </c>
      <c r="D1581" s="52" t="s">
        <v>5950</v>
      </c>
      <c r="E1581" s="52" t="s">
        <v>5951</v>
      </c>
      <c r="F1581" s="53" t="s">
        <v>5687</v>
      </c>
      <c r="G1581" s="51" t="s">
        <v>4812</v>
      </c>
      <c r="H1581" s="54"/>
      <c r="I1581" s="55">
        <v>2</v>
      </c>
      <c r="K1581" s="51" t="s">
        <v>5945</v>
      </c>
    </row>
    <row r="1582" spans="1:11">
      <c r="A1582" s="51">
        <v>1552</v>
      </c>
      <c r="B1582" s="51" t="s">
        <v>5944</v>
      </c>
      <c r="C1582" s="51" t="s">
        <v>5945</v>
      </c>
      <c r="D1582" s="52" t="s">
        <v>5952</v>
      </c>
      <c r="E1582" s="52" t="s">
        <v>5953</v>
      </c>
      <c r="F1582" s="53" t="s">
        <v>5687</v>
      </c>
      <c r="G1582" s="51" t="s">
        <v>4812</v>
      </c>
      <c r="H1582" s="54"/>
      <c r="I1582" s="55">
        <v>0</v>
      </c>
      <c r="K1582" s="51" t="s">
        <v>5945</v>
      </c>
    </row>
    <row r="1583" spans="1:11">
      <c r="A1583" s="51">
        <v>1553</v>
      </c>
      <c r="B1583" s="51" t="s">
        <v>5944</v>
      </c>
      <c r="C1583" s="51" t="s">
        <v>5945</v>
      </c>
      <c r="D1583" s="52" t="s">
        <v>5954</v>
      </c>
      <c r="E1583" s="52" t="s">
        <v>5955</v>
      </c>
      <c r="F1583" s="53" t="s">
        <v>5704</v>
      </c>
      <c r="G1583" s="51" t="s">
        <v>4812</v>
      </c>
      <c r="H1583" s="54"/>
      <c r="I1583" s="55">
        <v>2</v>
      </c>
      <c r="K1583" s="51" t="s">
        <v>5945</v>
      </c>
    </row>
    <row r="1584" spans="1:11">
      <c r="A1584" s="51">
        <v>1554</v>
      </c>
      <c r="B1584" s="51" t="s">
        <v>5944</v>
      </c>
      <c r="C1584" s="51" t="s">
        <v>5945</v>
      </c>
      <c r="D1584" s="52" t="s">
        <v>5956</v>
      </c>
      <c r="E1584" s="52" t="s">
        <v>5957</v>
      </c>
      <c r="F1584" s="53" t="s">
        <v>5704</v>
      </c>
      <c r="G1584" s="51" t="s">
        <v>4812</v>
      </c>
      <c r="H1584" s="54"/>
      <c r="I1584" s="55">
        <v>0</v>
      </c>
      <c r="K1584" s="51" t="s">
        <v>5945</v>
      </c>
    </row>
    <row r="1585" spans="1:11">
      <c r="A1585" s="51">
        <v>1555</v>
      </c>
      <c r="B1585" s="51" t="s">
        <v>5944</v>
      </c>
      <c r="C1585" s="51" t="s">
        <v>5945</v>
      </c>
      <c r="D1585" s="52" t="s">
        <v>2823</v>
      </c>
      <c r="E1585" s="52" t="s">
        <v>5958</v>
      </c>
      <c r="F1585" s="53" t="s">
        <v>5761</v>
      </c>
      <c r="G1585" s="51" t="s">
        <v>4812</v>
      </c>
      <c r="H1585" s="54"/>
      <c r="I1585" s="55">
        <v>40</v>
      </c>
      <c r="K1585" s="51" t="s">
        <v>5945</v>
      </c>
    </row>
    <row r="1586" spans="1:11">
      <c r="A1586" s="51">
        <v>1556</v>
      </c>
      <c r="B1586" s="51" t="s">
        <v>5944</v>
      </c>
      <c r="C1586" s="51" t="s">
        <v>5945</v>
      </c>
      <c r="D1586" s="52" t="s">
        <v>2847</v>
      </c>
      <c r="E1586" s="52" t="s">
        <v>5959</v>
      </c>
      <c r="F1586" s="53" t="s">
        <v>5689</v>
      </c>
      <c r="G1586" s="51" t="s">
        <v>4812</v>
      </c>
      <c r="H1586" s="54"/>
      <c r="I1586" s="55">
        <v>44</v>
      </c>
      <c r="K1586" s="51" t="s">
        <v>5945</v>
      </c>
    </row>
    <row r="1587" spans="1:11">
      <c r="A1587" s="51">
        <v>1557</v>
      </c>
      <c r="B1587" s="51" t="s">
        <v>5944</v>
      </c>
      <c r="C1587" s="51" t="s">
        <v>5945</v>
      </c>
      <c r="D1587" s="52" t="s">
        <v>3461</v>
      </c>
      <c r="E1587" s="52" t="s">
        <v>3460</v>
      </c>
      <c r="F1587" s="53" t="s">
        <v>5549</v>
      </c>
      <c r="G1587" s="51" t="s">
        <v>4812</v>
      </c>
      <c r="H1587" s="54"/>
      <c r="I1587" s="55">
        <v>277</v>
      </c>
      <c r="K1587" s="51" t="s">
        <v>5945</v>
      </c>
    </row>
    <row r="1588" spans="1:11">
      <c r="A1588" s="51">
        <v>1558</v>
      </c>
      <c r="B1588" s="51" t="s">
        <v>5944</v>
      </c>
      <c r="C1588" s="51" t="s">
        <v>5945</v>
      </c>
      <c r="D1588" s="52" t="s">
        <v>3475</v>
      </c>
      <c r="E1588" s="52" t="s">
        <v>3474</v>
      </c>
      <c r="F1588" s="53" t="s">
        <v>5550</v>
      </c>
      <c r="G1588" s="51" t="s">
        <v>4812</v>
      </c>
      <c r="H1588" s="54"/>
      <c r="I1588" s="55">
        <v>358</v>
      </c>
      <c r="K1588" s="51" t="s">
        <v>5945</v>
      </c>
    </row>
    <row r="1589" spans="1:11">
      <c r="A1589" s="51">
        <v>1559</v>
      </c>
      <c r="B1589" s="51" t="s">
        <v>5944</v>
      </c>
      <c r="C1589" s="51" t="s">
        <v>5945</v>
      </c>
      <c r="D1589" s="52" t="s">
        <v>2673</v>
      </c>
      <c r="E1589" s="52" t="s">
        <v>2672</v>
      </c>
      <c r="F1589" s="53" t="s">
        <v>5700</v>
      </c>
      <c r="G1589" s="51" t="s">
        <v>4812</v>
      </c>
      <c r="H1589" s="54"/>
      <c r="I1589" s="55">
        <v>9</v>
      </c>
      <c r="K1589" s="51" t="s">
        <v>5945</v>
      </c>
    </row>
    <row r="1590" spans="1:11">
      <c r="A1590" s="51">
        <v>1560</v>
      </c>
      <c r="B1590" s="51" t="s">
        <v>5944</v>
      </c>
      <c r="C1590" s="51" t="s">
        <v>5945</v>
      </c>
      <c r="D1590" s="52" t="s">
        <v>2927</v>
      </c>
      <c r="E1590" s="52" t="s">
        <v>5960</v>
      </c>
      <c r="F1590" s="53" t="s">
        <v>5961</v>
      </c>
      <c r="G1590" s="51" t="s">
        <v>4812</v>
      </c>
      <c r="H1590" s="54"/>
      <c r="I1590" s="55">
        <v>89</v>
      </c>
      <c r="K1590" s="51" t="s">
        <v>5945</v>
      </c>
    </row>
    <row r="1591" spans="1:11">
      <c r="A1591" s="51">
        <v>1561</v>
      </c>
      <c r="B1591" s="51" t="s">
        <v>5944</v>
      </c>
      <c r="C1591" s="51" t="s">
        <v>5945</v>
      </c>
      <c r="D1591" s="52" t="s">
        <v>2971</v>
      </c>
      <c r="E1591" s="52" t="s">
        <v>2970</v>
      </c>
      <c r="F1591" s="53" t="s">
        <v>5701</v>
      </c>
      <c r="G1591" s="51" t="s">
        <v>4812</v>
      </c>
      <c r="H1591" s="54"/>
      <c r="I1591" s="55">
        <v>2</v>
      </c>
      <c r="K1591" s="51" t="s">
        <v>5945</v>
      </c>
    </row>
    <row r="1592" spans="1:11">
      <c r="A1592" s="51">
        <v>1562</v>
      </c>
      <c r="B1592" s="51" t="s">
        <v>5944</v>
      </c>
      <c r="C1592" s="51" t="s">
        <v>5945</v>
      </c>
      <c r="D1592" s="52" t="s">
        <v>2973</v>
      </c>
      <c r="E1592" s="52" t="s">
        <v>2972</v>
      </c>
      <c r="F1592" s="53" t="s">
        <v>5701</v>
      </c>
      <c r="G1592" s="51" t="s">
        <v>4812</v>
      </c>
      <c r="H1592" s="54"/>
      <c r="I1592" s="55">
        <v>88</v>
      </c>
      <c r="K1592" s="51" t="s">
        <v>5945</v>
      </c>
    </row>
    <row r="1593" spans="1:11">
      <c r="A1593" s="51">
        <v>1563</v>
      </c>
      <c r="B1593" s="51" t="s">
        <v>5944</v>
      </c>
      <c r="C1593" s="51" t="s">
        <v>5945</v>
      </c>
      <c r="D1593" s="52" t="s">
        <v>5962</v>
      </c>
      <c r="E1593" s="52" t="s">
        <v>5963</v>
      </c>
      <c r="F1593" s="53" t="s">
        <v>5964</v>
      </c>
      <c r="G1593" s="51" t="s">
        <v>4812</v>
      </c>
      <c r="H1593" s="54"/>
      <c r="I1593" s="55">
        <v>1</v>
      </c>
      <c r="K1593" s="51" t="s">
        <v>5945</v>
      </c>
    </row>
    <row r="1594" spans="1:11">
      <c r="A1594" s="51">
        <v>1564</v>
      </c>
      <c r="B1594" s="51" t="s">
        <v>5944</v>
      </c>
      <c r="C1594" s="51" t="s">
        <v>5945</v>
      </c>
      <c r="D1594" s="52" t="s">
        <v>5965</v>
      </c>
      <c r="E1594" s="52" t="s">
        <v>5966</v>
      </c>
      <c r="F1594" s="53" t="s">
        <v>5964</v>
      </c>
      <c r="G1594" s="51" t="s">
        <v>4812</v>
      </c>
      <c r="H1594" s="54"/>
      <c r="I1594" s="55">
        <v>0</v>
      </c>
      <c r="K1594" s="51" t="s">
        <v>5945</v>
      </c>
    </row>
    <row r="1595" spans="1:11">
      <c r="A1595" s="51">
        <v>1565</v>
      </c>
      <c r="B1595" s="51" t="s">
        <v>5944</v>
      </c>
      <c r="C1595" s="51" t="s">
        <v>5945</v>
      </c>
      <c r="D1595" s="52" t="s">
        <v>5967</v>
      </c>
      <c r="E1595" s="52" t="s">
        <v>5968</v>
      </c>
      <c r="F1595" s="53" t="s">
        <v>5721</v>
      </c>
      <c r="G1595" s="51" t="s">
        <v>4812</v>
      </c>
      <c r="H1595" s="54"/>
      <c r="I1595" s="55">
        <v>1</v>
      </c>
      <c r="K1595" s="51" t="s">
        <v>5945</v>
      </c>
    </row>
    <row r="1596" spans="1:11">
      <c r="A1596" s="51">
        <v>1566</v>
      </c>
      <c r="B1596" s="51" t="s">
        <v>5944</v>
      </c>
      <c r="C1596" s="51" t="s">
        <v>5945</v>
      </c>
      <c r="D1596" s="52" t="s">
        <v>5969</v>
      </c>
      <c r="E1596" s="52" t="s">
        <v>5970</v>
      </c>
      <c r="F1596" s="53" t="s">
        <v>5721</v>
      </c>
      <c r="G1596" s="51" t="s">
        <v>4812</v>
      </c>
      <c r="H1596" s="54"/>
      <c r="I1596" s="55">
        <v>0</v>
      </c>
      <c r="K1596" s="51" t="s">
        <v>5945</v>
      </c>
    </row>
    <row r="1597" spans="1:11">
      <c r="A1597" s="51">
        <v>1567</v>
      </c>
      <c r="B1597" s="51" t="s">
        <v>5944</v>
      </c>
      <c r="C1597" s="51" t="s">
        <v>5945</v>
      </c>
      <c r="D1597" s="52" t="s">
        <v>301</v>
      </c>
      <c r="E1597" s="52" t="s">
        <v>300</v>
      </c>
      <c r="F1597" s="53" t="s">
        <v>5938</v>
      </c>
      <c r="G1597" s="51" t="s">
        <v>4812</v>
      </c>
      <c r="H1597" s="54"/>
      <c r="I1597" s="55">
        <v>8</v>
      </c>
      <c r="K1597" s="51" t="s">
        <v>5945</v>
      </c>
    </row>
    <row r="1598" spans="1:11">
      <c r="A1598" s="51">
        <v>1568</v>
      </c>
      <c r="B1598" s="51" t="s">
        <v>5944</v>
      </c>
      <c r="C1598" s="51" t="s">
        <v>5945</v>
      </c>
      <c r="D1598" s="52" t="s">
        <v>325</v>
      </c>
      <c r="E1598" s="52" t="s">
        <v>324</v>
      </c>
      <c r="F1598" s="53" t="s">
        <v>5697</v>
      </c>
      <c r="G1598" s="51" t="s">
        <v>4812</v>
      </c>
      <c r="H1598" s="54"/>
      <c r="I1598" s="55">
        <v>5</v>
      </c>
      <c r="K1598" s="51" t="s">
        <v>5945</v>
      </c>
    </row>
    <row r="1599" spans="1:11">
      <c r="A1599" s="51">
        <v>1569</v>
      </c>
      <c r="B1599" s="51" t="s">
        <v>5944</v>
      </c>
      <c r="C1599" s="51" t="s">
        <v>5945</v>
      </c>
      <c r="D1599" s="52" t="s">
        <v>2635</v>
      </c>
      <c r="E1599" s="52" t="s">
        <v>2634</v>
      </c>
      <c r="F1599" s="53" t="s">
        <v>5971</v>
      </c>
      <c r="G1599" s="51" t="s">
        <v>4812</v>
      </c>
      <c r="H1599" s="54"/>
      <c r="I1599" s="55">
        <v>26</v>
      </c>
      <c r="K1599" s="51" t="s">
        <v>5945</v>
      </c>
    </row>
    <row r="1600" spans="1:11">
      <c r="A1600" s="51">
        <v>1570</v>
      </c>
      <c r="B1600" s="51" t="s">
        <v>5944</v>
      </c>
      <c r="C1600" s="51" t="s">
        <v>5945</v>
      </c>
      <c r="D1600" s="52" t="s">
        <v>2641</v>
      </c>
      <c r="E1600" s="52" t="s">
        <v>2640</v>
      </c>
      <c r="F1600" s="53" t="s">
        <v>5972</v>
      </c>
      <c r="G1600" s="51" t="s">
        <v>4812</v>
      </c>
      <c r="H1600" s="54"/>
      <c r="I1600" s="55">
        <v>22</v>
      </c>
      <c r="K1600" s="51" t="s">
        <v>5945</v>
      </c>
    </row>
    <row r="1601" spans="1:11">
      <c r="A1601" s="51">
        <v>1571</v>
      </c>
      <c r="B1601" s="51" t="s">
        <v>5944</v>
      </c>
      <c r="C1601" s="51" t="s">
        <v>5945</v>
      </c>
      <c r="D1601" s="52" t="s">
        <v>2821</v>
      </c>
      <c r="E1601" s="52" t="s">
        <v>2820</v>
      </c>
      <c r="F1601" s="53" t="s">
        <v>5761</v>
      </c>
      <c r="G1601" s="51" t="s">
        <v>4812</v>
      </c>
      <c r="H1601" s="54"/>
      <c r="I1601" s="55">
        <v>21</v>
      </c>
      <c r="K1601" s="51" t="s">
        <v>5945</v>
      </c>
    </row>
    <row r="1602" spans="1:11">
      <c r="A1602" s="51">
        <v>1572</v>
      </c>
      <c r="B1602" s="51" t="s">
        <v>5944</v>
      </c>
      <c r="C1602" s="51" t="s">
        <v>5945</v>
      </c>
      <c r="D1602" s="52" t="s">
        <v>2845</v>
      </c>
      <c r="E1602" s="52" t="s">
        <v>2844</v>
      </c>
      <c r="F1602" s="53" t="s">
        <v>5689</v>
      </c>
      <c r="G1602" s="51" t="s">
        <v>4812</v>
      </c>
      <c r="H1602" s="54"/>
      <c r="I1602" s="55">
        <v>45</v>
      </c>
      <c r="K1602" s="51" t="s">
        <v>5945</v>
      </c>
    </row>
    <row r="1603" spans="1:11">
      <c r="A1603" s="51">
        <v>1573</v>
      </c>
      <c r="B1603" s="51" t="s">
        <v>5944</v>
      </c>
      <c r="C1603" s="51" t="s">
        <v>5945</v>
      </c>
      <c r="D1603" s="52" t="s">
        <v>2585</v>
      </c>
      <c r="E1603" s="52" t="s">
        <v>2584</v>
      </c>
      <c r="F1603" s="53" t="s">
        <v>5856</v>
      </c>
      <c r="G1603" s="51" t="s">
        <v>4812</v>
      </c>
      <c r="H1603" s="54"/>
      <c r="I1603" s="55">
        <v>6</v>
      </c>
      <c r="K1603" s="51" t="s">
        <v>5945</v>
      </c>
    </row>
    <row r="1604" spans="1:11">
      <c r="A1604" s="51">
        <v>1574</v>
      </c>
      <c r="B1604" s="51" t="s">
        <v>5944</v>
      </c>
      <c r="C1604" s="51" t="s">
        <v>5945</v>
      </c>
      <c r="D1604" s="52" t="s">
        <v>2689</v>
      </c>
      <c r="E1604" s="52" t="s">
        <v>2688</v>
      </c>
      <c r="F1604" s="53" t="s">
        <v>5973</v>
      </c>
      <c r="G1604" s="51" t="s">
        <v>4812</v>
      </c>
      <c r="H1604" s="54"/>
      <c r="I1604" s="55">
        <v>76</v>
      </c>
      <c r="K1604" s="51" t="s">
        <v>5945</v>
      </c>
    </row>
    <row r="1605" spans="1:11">
      <c r="A1605" s="51">
        <v>1575</v>
      </c>
      <c r="B1605" s="51" t="s">
        <v>5944</v>
      </c>
      <c r="C1605" s="51" t="s">
        <v>5945</v>
      </c>
      <c r="D1605" s="52" t="s">
        <v>305</v>
      </c>
      <c r="E1605" s="52" t="s">
        <v>5974</v>
      </c>
      <c r="F1605" s="53" t="s">
        <v>5932</v>
      </c>
      <c r="G1605" s="51" t="s">
        <v>4812</v>
      </c>
      <c r="H1605" s="54"/>
      <c r="I1605" s="55">
        <v>16</v>
      </c>
      <c r="K1605" s="51" t="s">
        <v>5945</v>
      </c>
    </row>
    <row r="1606" spans="1:11">
      <c r="A1606" s="51">
        <v>1576</v>
      </c>
      <c r="B1606" s="51" t="s">
        <v>5944</v>
      </c>
      <c r="C1606" s="51" t="s">
        <v>5945</v>
      </c>
      <c r="D1606" s="52" t="s">
        <v>329</v>
      </c>
      <c r="E1606" s="52" t="s">
        <v>5975</v>
      </c>
      <c r="F1606" s="53" t="s">
        <v>5930</v>
      </c>
      <c r="G1606" s="51" t="s">
        <v>4812</v>
      </c>
      <c r="H1606" s="54"/>
      <c r="I1606" s="55">
        <v>7</v>
      </c>
      <c r="K1606" s="51" t="s">
        <v>5945</v>
      </c>
    </row>
    <row r="1607" spans="1:11">
      <c r="A1607" s="51">
        <v>1577</v>
      </c>
      <c r="B1607" s="51" t="s">
        <v>5976</v>
      </c>
      <c r="C1607" s="51" t="s">
        <v>5977</v>
      </c>
      <c r="D1607" s="52" t="s">
        <v>5978</v>
      </c>
      <c r="E1607" s="52" t="s">
        <v>5979</v>
      </c>
      <c r="F1607" s="53" t="s">
        <v>5980</v>
      </c>
      <c r="G1607" s="51" t="s">
        <v>4812</v>
      </c>
      <c r="H1607" s="54"/>
      <c r="I1607" s="55">
        <v>0</v>
      </c>
      <c r="K1607" s="51" t="s">
        <v>5977</v>
      </c>
    </row>
    <row r="1608" spans="1:11">
      <c r="A1608" s="51">
        <v>1578</v>
      </c>
      <c r="B1608" s="51" t="s">
        <v>5976</v>
      </c>
      <c r="C1608" s="51" t="s">
        <v>5977</v>
      </c>
      <c r="D1608" s="52" t="s">
        <v>5981</v>
      </c>
      <c r="E1608" s="52" t="s">
        <v>5982</v>
      </c>
      <c r="F1608" s="53" t="s">
        <v>5980</v>
      </c>
      <c r="G1608" s="51" t="s">
        <v>4812</v>
      </c>
      <c r="H1608" s="54"/>
      <c r="I1608" s="55">
        <v>0</v>
      </c>
      <c r="K1608" s="51" t="s">
        <v>5977</v>
      </c>
    </row>
    <row r="1609" spans="1:11">
      <c r="A1609" s="51">
        <v>1579</v>
      </c>
      <c r="B1609" s="51" t="s">
        <v>5976</v>
      </c>
      <c r="C1609" s="51" t="s">
        <v>5977</v>
      </c>
      <c r="D1609" s="52" t="s">
        <v>5983</v>
      </c>
      <c r="E1609" s="52" t="s">
        <v>5984</v>
      </c>
      <c r="F1609" s="53" t="s">
        <v>5980</v>
      </c>
      <c r="G1609" s="51" t="s">
        <v>4812</v>
      </c>
      <c r="H1609" s="54"/>
      <c r="I1609" s="55">
        <v>0</v>
      </c>
      <c r="K1609" s="51" t="s">
        <v>5977</v>
      </c>
    </row>
    <row r="1610" spans="1:11">
      <c r="A1610" s="51">
        <v>1580</v>
      </c>
      <c r="B1610" s="51" t="s">
        <v>5976</v>
      </c>
      <c r="C1610" s="51" t="s">
        <v>5977</v>
      </c>
      <c r="D1610" s="52" t="s">
        <v>5985</v>
      </c>
      <c r="E1610" s="52" t="s">
        <v>5986</v>
      </c>
      <c r="F1610" s="53" t="s">
        <v>5987</v>
      </c>
      <c r="G1610" s="51" t="s">
        <v>4812</v>
      </c>
      <c r="H1610" s="54"/>
      <c r="I1610" s="55">
        <v>0</v>
      </c>
      <c r="K1610" s="51" t="s">
        <v>5977</v>
      </c>
    </row>
    <row r="1611" spans="1:11">
      <c r="A1611" s="51">
        <v>1581</v>
      </c>
      <c r="B1611" s="51" t="s">
        <v>5976</v>
      </c>
      <c r="C1611" s="51" t="s">
        <v>5977</v>
      </c>
      <c r="D1611" s="52" t="s">
        <v>3256</v>
      </c>
      <c r="E1611" s="52" t="s">
        <v>3255</v>
      </c>
      <c r="F1611" s="53" t="s">
        <v>5847</v>
      </c>
      <c r="G1611" s="51" t="s">
        <v>4812</v>
      </c>
      <c r="H1611" s="54"/>
      <c r="I1611" s="55">
        <v>600</v>
      </c>
      <c r="K1611" s="51" t="s">
        <v>5977</v>
      </c>
    </row>
    <row r="1612" spans="1:11">
      <c r="A1612" s="51">
        <v>1582</v>
      </c>
      <c r="B1612" s="51" t="s">
        <v>5976</v>
      </c>
      <c r="C1612" s="51" t="s">
        <v>5977</v>
      </c>
      <c r="D1612" s="52" t="s">
        <v>5988</v>
      </c>
      <c r="E1612" s="52" t="s">
        <v>5989</v>
      </c>
      <c r="F1612" s="53" t="s">
        <v>5990</v>
      </c>
      <c r="G1612" s="51" t="s">
        <v>4812</v>
      </c>
      <c r="H1612" s="54"/>
      <c r="I1612" s="55">
        <v>0</v>
      </c>
      <c r="K1612" s="51" t="s">
        <v>5977</v>
      </c>
    </row>
    <row r="1613" spans="1:11">
      <c r="A1613" s="51">
        <v>1583</v>
      </c>
      <c r="B1613" s="51" t="s">
        <v>5976</v>
      </c>
      <c r="C1613" s="51" t="s">
        <v>5977</v>
      </c>
      <c r="D1613" s="52" t="s">
        <v>4147</v>
      </c>
      <c r="E1613" s="52" t="s">
        <v>5991</v>
      </c>
      <c r="F1613" s="53" t="s">
        <v>5992</v>
      </c>
      <c r="G1613" s="51" t="s">
        <v>4812</v>
      </c>
      <c r="H1613" s="54"/>
      <c r="I1613" s="55">
        <v>1842</v>
      </c>
      <c r="K1613" s="51" t="s">
        <v>5977</v>
      </c>
    </row>
    <row r="1614" spans="1:11">
      <c r="A1614" s="51">
        <v>1584</v>
      </c>
      <c r="B1614" s="51" t="s">
        <v>5976</v>
      </c>
      <c r="C1614" s="51" t="s">
        <v>5977</v>
      </c>
      <c r="D1614" s="52" t="s">
        <v>4141</v>
      </c>
      <c r="E1614" s="52" t="s">
        <v>5993</v>
      </c>
      <c r="F1614" s="53" t="s">
        <v>5994</v>
      </c>
      <c r="G1614" s="51" t="s">
        <v>4812</v>
      </c>
      <c r="H1614" s="54"/>
      <c r="I1614" s="55">
        <v>11</v>
      </c>
      <c r="K1614" s="51" t="s">
        <v>5977</v>
      </c>
    </row>
    <row r="1615" spans="1:11">
      <c r="A1615" s="51">
        <v>1585</v>
      </c>
      <c r="B1615" s="51" t="s">
        <v>5976</v>
      </c>
      <c r="C1615" s="51" t="s">
        <v>5977</v>
      </c>
      <c r="D1615" s="52" t="s">
        <v>4143</v>
      </c>
      <c r="E1615" s="52" t="s">
        <v>4142</v>
      </c>
      <c r="F1615" s="53" t="s">
        <v>5995</v>
      </c>
      <c r="G1615" s="51" t="s">
        <v>4812</v>
      </c>
      <c r="H1615" s="54"/>
      <c r="I1615" s="55">
        <v>100</v>
      </c>
      <c r="K1615" s="51" t="s">
        <v>5977</v>
      </c>
    </row>
    <row r="1616" spans="1:11">
      <c r="A1616" s="51">
        <v>1586</v>
      </c>
      <c r="B1616" s="51" t="s">
        <v>5976</v>
      </c>
      <c r="C1616" s="51" t="s">
        <v>5977</v>
      </c>
      <c r="D1616" s="52" t="s">
        <v>4145</v>
      </c>
      <c r="E1616" s="52" t="s">
        <v>4144</v>
      </c>
      <c r="F1616" s="53" t="s">
        <v>5996</v>
      </c>
      <c r="G1616" s="51" t="s">
        <v>4812</v>
      </c>
      <c r="H1616" s="54"/>
      <c r="I1616" s="55">
        <v>18</v>
      </c>
      <c r="K1616" s="51" t="s">
        <v>5977</v>
      </c>
    </row>
    <row r="1617" spans="1:11">
      <c r="A1617" s="51">
        <v>1587</v>
      </c>
      <c r="B1617" s="51" t="s">
        <v>5976</v>
      </c>
      <c r="C1617" s="51" t="s">
        <v>5977</v>
      </c>
      <c r="D1617" s="52" t="s">
        <v>4149</v>
      </c>
      <c r="E1617" s="52" t="s">
        <v>4148</v>
      </c>
      <c r="F1617" s="53" t="s">
        <v>5997</v>
      </c>
      <c r="G1617" s="51" t="s">
        <v>4812</v>
      </c>
      <c r="H1617" s="54"/>
      <c r="I1617" s="55">
        <v>28</v>
      </c>
      <c r="K1617" s="51" t="s">
        <v>5977</v>
      </c>
    </row>
    <row r="1618" spans="1:11">
      <c r="A1618" s="51">
        <v>1588</v>
      </c>
      <c r="B1618" s="51" t="s">
        <v>5998</v>
      </c>
      <c r="C1618" s="51" t="s">
        <v>5999</v>
      </c>
      <c r="D1618" s="52" t="s">
        <v>6000</v>
      </c>
      <c r="E1618" s="52" t="s">
        <v>5102</v>
      </c>
      <c r="F1618" s="53" t="s">
        <v>5103</v>
      </c>
      <c r="G1618" s="51" t="s">
        <v>4812</v>
      </c>
      <c r="H1618" s="54"/>
      <c r="I1618" s="55">
        <v>1180</v>
      </c>
      <c r="K1618" s="51" t="s">
        <v>5999</v>
      </c>
    </row>
    <row r="1619" spans="1:11">
      <c r="A1619" s="51">
        <v>1589</v>
      </c>
      <c r="B1619" s="51" t="s">
        <v>5998</v>
      </c>
      <c r="C1619" s="51" t="s">
        <v>5999</v>
      </c>
      <c r="D1619" s="52" t="s">
        <v>4133</v>
      </c>
      <c r="E1619" s="52" t="s">
        <v>4132</v>
      </c>
      <c r="F1619" s="53" t="s">
        <v>6001</v>
      </c>
      <c r="G1619" s="51" t="s">
        <v>4812</v>
      </c>
      <c r="H1619" s="54"/>
      <c r="I1619" s="55">
        <v>2297</v>
      </c>
      <c r="K1619" s="51" t="s">
        <v>5999</v>
      </c>
    </row>
    <row r="1620" spans="1:11">
      <c r="A1620" s="51">
        <v>1590</v>
      </c>
      <c r="B1620" s="51" t="s">
        <v>6002</v>
      </c>
      <c r="C1620" s="51">
        <v>20</v>
      </c>
      <c r="D1620" s="52" t="s">
        <v>6003</v>
      </c>
      <c r="E1620" s="52" t="s">
        <v>5105</v>
      </c>
      <c r="F1620" s="53" t="s">
        <v>5106</v>
      </c>
      <c r="G1620" s="51" t="s">
        <v>4812</v>
      </c>
      <c r="H1620" s="54"/>
      <c r="I1620" s="55">
        <v>360</v>
      </c>
      <c r="K1620" s="51">
        <v>20</v>
      </c>
    </row>
    <row r="1621" spans="1:11">
      <c r="A1621" s="51">
        <v>1591</v>
      </c>
      <c r="B1621" s="51" t="s">
        <v>6002</v>
      </c>
      <c r="C1621" s="51">
        <v>20</v>
      </c>
      <c r="D1621" s="52" t="s">
        <v>4137</v>
      </c>
      <c r="E1621" s="52" t="s">
        <v>4136</v>
      </c>
      <c r="F1621" s="53" t="s">
        <v>6004</v>
      </c>
      <c r="G1621" s="51" t="s">
        <v>4812</v>
      </c>
      <c r="H1621" s="54"/>
      <c r="I1621" s="55">
        <v>1966</v>
      </c>
      <c r="K1621" s="51">
        <v>20</v>
      </c>
    </row>
    <row r="1622" spans="1:11">
      <c r="A1622" s="51">
        <v>1592</v>
      </c>
      <c r="B1622" s="51" t="s">
        <v>6005</v>
      </c>
      <c r="C1622" s="51" t="s">
        <v>6006</v>
      </c>
      <c r="D1622" s="52" t="s">
        <v>6007</v>
      </c>
      <c r="E1622" s="52" t="s">
        <v>5107</v>
      </c>
      <c r="F1622" s="53" t="s">
        <v>5108</v>
      </c>
      <c r="G1622" s="51" t="s">
        <v>4812</v>
      </c>
      <c r="H1622" s="54"/>
      <c r="I1622" s="55">
        <v>200</v>
      </c>
      <c r="K1622" s="51" t="s">
        <v>6006</v>
      </c>
    </row>
    <row r="1623" spans="1:11">
      <c r="A1623" s="51">
        <v>1593</v>
      </c>
      <c r="B1623" s="51" t="s">
        <v>6005</v>
      </c>
      <c r="C1623" s="51" t="s">
        <v>6006</v>
      </c>
      <c r="D1623" s="52" t="s">
        <v>6008</v>
      </c>
      <c r="E1623" s="52" t="s">
        <v>5110</v>
      </c>
      <c r="F1623" s="53" t="s">
        <v>5108</v>
      </c>
      <c r="G1623" s="51" t="s">
        <v>4812</v>
      </c>
      <c r="H1623" s="54"/>
      <c r="I1623" s="55">
        <v>260</v>
      </c>
      <c r="K1623" s="51" t="s">
        <v>6006</v>
      </c>
    </row>
    <row r="1624" spans="1:11">
      <c r="A1624" s="51">
        <v>1594</v>
      </c>
      <c r="B1624" s="51" t="s">
        <v>6005</v>
      </c>
      <c r="C1624" s="51" t="s">
        <v>6006</v>
      </c>
      <c r="D1624" s="52" t="s">
        <v>6009</v>
      </c>
      <c r="E1624" s="52" t="s">
        <v>6010</v>
      </c>
      <c r="F1624" s="53" t="s">
        <v>6011</v>
      </c>
      <c r="G1624" s="51" t="s">
        <v>4812</v>
      </c>
      <c r="H1624" s="54"/>
      <c r="I1624" s="55">
        <v>600</v>
      </c>
      <c r="K1624" s="51" t="s">
        <v>6006</v>
      </c>
    </row>
    <row r="1625" spans="1:11">
      <c r="A1625" s="51">
        <v>1595</v>
      </c>
      <c r="B1625" s="51" t="s">
        <v>6005</v>
      </c>
      <c r="C1625" s="51" t="s">
        <v>6006</v>
      </c>
      <c r="D1625" s="52" t="s">
        <v>4123</v>
      </c>
      <c r="E1625" s="52" t="s">
        <v>6012</v>
      </c>
      <c r="F1625" s="53" t="s">
        <v>6013</v>
      </c>
      <c r="G1625" s="51" t="s">
        <v>4812</v>
      </c>
      <c r="H1625" s="54"/>
      <c r="I1625" s="55">
        <v>1137</v>
      </c>
      <c r="K1625" s="51" t="s">
        <v>6006</v>
      </c>
    </row>
    <row r="1626" spans="1:11">
      <c r="A1626" s="51">
        <v>1596</v>
      </c>
      <c r="B1626" s="51" t="s">
        <v>6005</v>
      </c>
      <c r="C1626" s="51" t="s">
        <v>6006</v>
      </c>
      <c r="D1626" s="52" t="s">
        <v>4121</v>
      </c>
      <c r="E1626" s="52" t="s">
        <v>6014</v>
      </c>
      <c r="F1626" s="53" t="s">
        <v>6015</v>
      </c>
      <c r="G1626" s="51" t="s">
        <v>4812</v>
      </c>
      <c r="H1626" s="54"/>
      <c r="I1626" s="55">
        <v>1107</v>
      </c>
      <c r="K1626" s="51" t="s">
        <v>6006</v>
      </c>
    </row>
    <row r="1627" spans="1:11">
      <c r="A1627" s="51">
        <v>1597</v>
      </c>
      <c r="B1627" s="51" t="s">
        <v>6016</v>
      </c>
      <c r="C1627" s="51" t="s">
        <v>6017</v>
      </c>
      <c r="D1627" s="52" t="s">
        <v>6000</v>
      </c>
      <c r="E1627" s="52" t="s">
        <v>5102</v>
      </c>
      <c r="F1627" s="53" t="s">
        <v>5103</v>
      </c>
      <c r="G1627" s="51" t="s">
        <v>4812</v>
      </c>
      <c r="H1627" s="54"/>
      <c r="I1627" s="55">
        <v>0</v>
      </c>
      <c r="K1627" s="51" t="s">
        <v>6017</v>
      </c>
    </row>
    <row r="1628" spans="1:11">
      <c r="A1628" s="51">
        <v>1598</v>
      </c>
      <c r="B1628" s="51" t="s">
        <v>6016</v>
      </c>
      <c r="C1628" s="51" t="s">
        <v>6017</v>
      </c>
      <c r="D1628" s="52" t="s">
        <v>6003</v>
      </c>
      <c r="E1628" s="52" t="s">
        <v>6018</v>
      </c>
      <c r="F1628" s="53" t="s">
        <v>6011</v>
      </c>
      <c r="G1628" s="51" t="s">
        <v>4812</v>
      </c>
      <c r="H1628" s="54"/>
      <c r="I1628" s="55">
        <v>0</v>
      </c>
      <c r="K1628" s="51" t="s">
        <v>6017</v>
      </c>
    </row>
    <row r="1629" spans="1:11">
      <c r="A1629" s="51">
        <v>1599</v>
      </c>
      <c r="B1629" s="51" t="s">
        <v>6016</v>
      </c>
      <c r="C1629" s="51" t="s">
        <v>6017</v>
      </c>
      <c r="D1629" s="52" t="s">
        <v>6008</v>
      </c>
      <c r="E1629" s="52" t="s">
        <v>5110</v>
      </c>
      <c r="F1629" s="53" t="s">
        <v>5108</v>
      </c>
      <c r="G1629" s="51" t="s">
        <v>4812</v>
      </c>
      <c r="H1629" s="54"/>
      <c r="I1629" s="55">
        <v>0</v>
      </c>
      <c r="K1629" s="51" t="s">
        <v>6017</v>
      </c>
    </row>
    <row r="1630" spans="1:11">
      <c r="A1630" s="51">
        <v>1600</v>
      </c>
      <c r="B1630" s="51" t="s">
        <v>6019</v>
      </c>
      <c r="C1630" s="51" t="s">
        <v>6020</v>
      </c>
      <c r="D1630" s="52" t="s">
        <v>1571</v>
      </c>
      <c r="E1630" s="52" t="s">
        <v>1570</v>
      </c>
      <c r="F1630" s="53" t="s">
        <v>6021</v>
      </c>
      <c r="G1630" s="51" t="s">
        <v>4812</v>
      </c>
      <c r="H1630" s="54"/>
      <c r="I1630" s="55">
        <v>10</v>
      </c>
      <c r="K1630" s="51" t="s">
        <v>6020</v>
      </c>
    </row>
    <row r="1631" spans="1:11">
      <c r="A1631" s="51">
        <v>1601</v>
      </c>
      <c r="B1631" s="51" t="s">
        <v>6019</v>
      </c>
      <c r="C1631" s="51" t="s">
        <v>6020</v>
      </c>
      <c r="D1631" s="52" t="s">
        <v>1675</v>
      </c>
      <c r="E1631" s="52" t="s">
        <v>1674</v>
      </c>
      <c r="F1631" s="53" t="s">
        <v>6022</v>
      </c>
      <c r="G1631" s="51" t="s">
        <v>4812</v>
      </c>
      <c r="H1631" s="54"/>
      <c r="I1631" s="55">
        <v>9</v>
      </c>
      <c r="K1631" s="51" t="s">
        <v>6020</v>
      </c>
    </row>
    <row r="1632" spans="1:11">
      <c r="A1632" s="51">
        <v>1602</v>
      </c>
      <c r="B1632" s="51" t="s">
        <v>6019</v>
      </c>
      <c r="C1632" s="51" t="s">
        <v>6020</v>
      </c>
      <c r="D1632" s="52" t="s">
        <v>1709</v>
      </c>
      <c r="E1632" s="52" t="s">
        <v>1708</v>
      </c>
      <c r="F1632" s="60" t="s">
        <v>6022</v>
      </c>
      <c r="G1632" s="51" t="s">
        <v>4812</v>
      </c>
      <c r="H1632" s="54"/>
      <c r="I1632" s="55">
        <v>65</v>
      </c>
      <c r="K1632" s="51" t="s">
        <v>6020</v>
      </c>
    </row>
    <row r="1633" spans="1:11">
      <c r="A1633" s="51">
        <v>1603</v>
      </c>
      <c r="B1633" s="51" t="s">
        <v>6019</v>
      </c>
      <c r="C1633" s="51" t="s">
        <v>6020</v>
      </c>
      <c r="D1633" s="52" t="s">
        <v>1738</v>
      </c>
      <c r="E1633" s="52" t="s">
        <v>1737</v>
      </c>
      <c r="F1633" s="53" t="s">
        <v>6022</v>
      </c>
      <c r="G1633" s="51" t="s">
        <v>4812</v>
      </c>
      <c r="H1633" s="54"/>
      <c r="I1633" s="55">
        <v>39</v>
      </c>
      <c r="K1633" s="51" t="s">
        <v>6020</v>
      </c>
    </row>
    <row r="1634" spans="1:11">
      <c r="A1634" s="51">
        <v>1604</v>
      </c>
      <c r="B1634" s="51" t="s">
        <v>6019</v>
      </c>
      <c r="C1634" s="51" t="s">
        <v>6020</v>
      </c>
      <c r="D1634" s="52" t="s">
        <v>1631</v>
      </c>
      <c r="E1634" s="52" t="s">
        <v>1630</v>
      </c>
      <c r="F1634" s="53" t="s">
        <v>6023</v>
      </c>
      <c r="G1634" s="51" t="s">
        <v>4812</v>
      </c>
      <c r="H1634" s="54"/>
      <c r="I1634" s="55">
        <v>14</v>
      </c>
      <c r="K1634" s="51" t="s">
        <v>6020</v>
      </c>
    </row>
    <row r="1635" spans="1:11">
      <c r="A1635" s="51">
        <v>1605</v>
      </c>
      <c r="B1635" s="51" t="s">
        <v>6019</v>
      </c>
      <c r="C1635" s="51" t="s">
        <v>6020</v>
      </c>
      <c r="D1635" s="52" t="s">
        <v>1398</v>
      </c>
      <c r="E1635" s="52" t="s">
        <v>1397</v>
      </c>
      <c r="F1635" s="53" t="s">
        <v>101</v>
      </c>
      <c r="G1635" s="51" t="s">
        <v>4812</v>
      </c>
      <c r="H1635" s="54"/>
      <c r="I1635" s="55">
        <v>124</v>
      </c>
      <c r="K1635" s="51" t="s">
        <v>6020</v>
      </c>
    </row>
    <row r="1636" spans="1:11">
      <c r="A1636" s="51">
        <v>1606</v>
      </c>
      <c r="B1636" s="51" t="s">
        <v>6019</v>
      </c>
      <c r="C1636" s="51" t="s">
        <v>6020</v>
      </c>
      <c r="D1636" s="52" t="s">
        <v>6024</v>
      </c>
      <c r="E1636" s="52" t="s">
        <v>5091</v>
      </c>
      <c r="F1636" s="53"/>
      <c r="G1636" s="51" t="s">
        <v>4812</v>
      </c>
      <c r="H1636" s="54"/>
      <c r="I1636" s="55">
        <v>0</v>
      </c>
      <c r="K1636" s="51" t="s">
        <v>6020</v>
      </c>
    </row>
    <row r="1637" spans="1:11">
      <c r="A1637" s="51">
        <v>1607</v>
      </c>
      <c r="B1637" s="51" t="s">
        <v>6019</v>
      </c>
      <c r="C1637" s="51" t="s">
        <v>6020</v>
      </c>
      <c r="D1637" s="52" t="s">
        <v>6025</v>
      </c>
      <c r="E1637" s="52" t="s">
        <v>5093</v>
      </c>
      <c r="F1637" s="53"/>
      <c r="G1637" s="51" t="s">
        <v>4812</v>
      </c>
      <c r="H1637" s="54"/>
      <c r="I1637" s="55">
        <v>0</v>
      </c>
      <c r="K1637" s="51" t="s">
        <v>6020</v>
      </c>
    </row>
    <row r="1638" spans="1:11">
      <c r="A1638" s="51">
        <v>1608</v>
      </c>
      <c r="B1638" s="51" t="s">
        <v>6019</v>
      </c>
      <c r="C1638" s="51" t="s">
        <v>6020</v>
      </c>
      <c r="D1638" s="52" t="s">
        <v>6026</v>
      </c>
      <c r="E1638" s="52" t="s">
        <v>5095</v>
      </c>
      <c r="F1638" s="53"/>
      <c r="G1638" s="51" t="s">
        <v>4812</v>
      </c>
      <c r="H1638" s="54"/>
      <c r="I1638" s="55">
        <v>0</v>
      </c>
      <c r="K1638" s="51" t="s">
        <v>6020</v>
      </c>
    </row>
    <row r="1639" spans="1:11">
      <c r="A1639" s="51">
        <v>1609</v>
      </c>
      <c r="B1639" s="51" t="s">
        <v>6019</v>
      </c>
      <c r="C1639" s="51" t="s">
        <v>6020</v>
      </c>
      <c r="D1639" s="52" t="s">
        <v>1764</v>
      </c>
      <c r="E1639" s="52" t="s">
        <v>1763</v>
      </c>
      <c r="F1639" s="53" t="s">
        <v>4860</v>
      </c>
      <c r="G1639" s="51" t="s">
        <v>4812</v>
      </c>
      <c r="H1639" s="54"/>
      <c r="I1639" s="55">
        <v>379</v>
      </c>
      <c r="K1639" s="51" t="s">
        <v>6020</v>
      </c>
    </row>
    <row r="1640" spans="1:11">
      <c r="A1640" s="51">
        <v>1610</v>
      </c>
      <c r="B1640" s="51" t="s">
        <v>6019</v>
      </c>
      <c r="C1640" s="51" t="s">
        <v>6020</v>
      </c>
      <c r="D1640" s="52" t="s">
        <v>2416</v>
      </c>
      <c r="E1640" s="52" t="s">
        <v>2415</v>
      </c>
      <c r="F1640" s="53" t="s">
        <v>6027</v>
      </c>
      <c r="G1640" s="51" t="s">
        <v>4812</v>
      </c>
      <c r="H1640" s="54"/>
      <c r="I1640" s="55">
        <v>648</v>
      </c>
      <c r="K1640" s="51" t="s">
        <v>6020</v>
      </c>
    </row>
    <row r="1641" spans="1:11">
      <c r="A1641" s="51">
        <v>1611</v>
      </c>
      <c r="B1641" s="51" t="s">
        <v>6019</v>
      </c>
      <c r="C1641" s="51" t="s">
        <v>6020</v>
      </c>
      <c r="D1641" s="52" t="s">
        <v>568</v>
      </c>
      <c r="E1641" s="52" t="s">
        <v>567</v>
      </c>
      <c r="F1641" s="53" t="s">
        <v>6028</v>
      </c>
      <c r="G1641" s="51" t="s">
        <v>4812</v>
      </c>
      <c r="H1641" s="54"/>
      <c r="I1641" s="55">
        <v>1696</v>
      </c>
      <c r="K1641" s="51" t="s">
        <v>6020</v>
      </c>
    </row>
    <row r="1642" spans="1:11">
      <c r="A1642" s="51">
        <v>1612</v>
      </c>
      <c r="B1642" s="51" t="s">
        <v>6029</v>
      </c>
      <c r="C1642" s="51" t="s">
        <v>6030</v>
      </c>
      <c r="D1642" s="52" t="s">
        <v>6031</v>
      </c>
      <c r="E1642" s="52"/>
      <c r="F1642" s="53"/>
      <c r="G1642" s="51" t="s">
        <v>4812</v>
      </c>
      <c r="H1642" s="54"/>
      <c r="I1642" s="55">
        <v>0</v>
      </c>
      <c r="K1642" s="51" t="s">
        <v>6030</v>
      </c>
    </row>
    <row r="1643" spans="1:11">
      <c r="A1643" s="51">
        <v>1613</v>
      </c>
      <c r="B1643" s="51" t="s">
        <v>6029</v>
      </c>
      <c r="C1643" s="51" t="s">
        <v>6030</v>
      </c>
      <c r="D1643" s="52" t="s">
        <v>6032</v>
      </c>
      <c r="E1643" s="52"/>
      <c r="F1643" s="53"/>
      <c r="G1643" s="51" t="s">
        <v>4812</v>
      </c>
      <c r="H1643" s="54"/>
      <c r="I1643" s="55">
        <v>0</v>
      </c>
      <c r="K1643" s="51" t="s">
        <v>6030</v>
      </c>
    </row>
    <row r="1644" spans="1:11">
      <c r="A1644" s="51">
        <v>1614</v>
      </c>
      <c r="B1644" s="51" t="s">
        <v>6029</v>
      </c>
      <c r="C1644" s="51" t="s">
        <v>6030</v>
      </c>
      <c r="D1644" s="52" t="s">
        <v>6033</v>
      </c>
      <c r="E1644" s="52"/>
      <c r="F1644" s="53"/>
      <c r="G1644" s="51" t="s">
        <v>4812</v>
      </c>
      <c r="H1644" s="54"/>
      <c r="I1644" s="55">
        <v>0</v>
      </c>
      <c r="K1644" s="51" t="s">
        <v>6030</v>
      </c>
    </row>
    <row r="1645" spans="1:11">
      <c r="A1645" s="51">
        <v>1615</v>
      </c>
      <c r="B1645" s="51" t="s">
        <v>6029</v>
      </c>
      <c r="C1645" s="51" t="s">
        <v>6030</v>
      </c>
      <c r="D1645" s="52" t="s">
        <v>6034</v>
      </c>
      <c r="E1645" s="52"/>
      <c r="F1645" s="53"/>
      <c r="G1645" s="51" t="s">
        <v>4812</v>
      </c>
      <c r="H1645" s="54"/>
      <c r="I1645" s="55">
        <v>5</v>
      </c>
      <c r="K1645" s="51" t="s">
        <v>6030</v>
      </c>
    </row>
    <row r="1646" spans="1:11">
      <c r="A1646" s="51">
        <v>1616</v>
      </c>
      <c r="B1646" s="51" t="s">
        <v>6029</v>
      </c>
      <c r="C1646" s="51" t="s">
        <v>6030</v>
      </c>
      <c r="D1646" s="52" t="s">
        <v>6035</v>
      </c>
      <c r="E1646" s="52"/>
      <c r="F1646" s="53"/>
      <c r="G1646" s="51" t="s">
        <v>4812</v>
      </c>
      <c r="H1646" s="54"/>
      <c r="I1646" s="55">
        <v>51</v>
      </c>
      <c r="K1646" s="51" t="s">
        <v>6030</v>
      </c>
    </row>
    <row r="1647" spans="1:11">
      <c r="A1647" s="51">
        <v>1617</v>
      </c>
      <c r="B1647" s="51" t="s">
        <v>6029</v>
      </c>
      <c r="C1647" s="51" t="s">
        <v>6030</v>
      </c>
      <c r="D1647" s="52" t="s">
        <v>6036</v>
      </c>
      <c r="E1647" s="52" t="s">
        <v>6037</v>
      </c>
      <c r="F1647" s="53" t="s">
        <v>119</v>
      </c>
      <c r="G1647" s="51" t="s">
        <v>4812</v>
      </c>
      <c r="H1647" s="54"/>
      <c r="I1647" s="55">
        <v>0</v>
      </c>
      <c r="K1647" s="51" t="s">
        <v>6030</v>
      </c>
    </row>
    <row r="1648" spans="1:11">
      <c r="A1648" s="51">
        <v>1618</v>
      </c>
      <c r="B1648" s="51" t="s">
        <v>6029</v>
      </c>
      <c r="C1648" s="51" t="s">
        <v>6030</v>
      </c>
      <c r="D1648" s="52" t="s">
        <v>6038</v>
      </c>
      <c r="E1648" s="52" t="s">
        <v>6039</v>
      </c>
      <c r="F1648" s="53" t="s">
        <v>119</v>
      </c>
      <c r="G1648" s="51" t="s">
        <v>4812</v>
      </c>
      <c r="H1648" s="54"/>
      <c r="I1648" s="55">
        <v>1</v>
      </c>
      <c r="K1648" s="51" t="s">
        <v>6030</v>
      </c>
    </row>
    <row r="1649" spans="1:11">
      <c r="A1649" s="51">
        <v>1619</v>
      </c>
      <c r="B1649" s="51" t="s">
        <v>6029</v>
      </c>
      <c r="C1649" s="51" t="s">
        <v>6030</v>
      </c>
      <c r="D1649" s="52" t="s">
        <v>6040</v>
      </c>
      <c r="E1649" s="52" t="s">
        <v>6041</v>
      </c>
      <c r="F1649" s="53" t="s">
        <v>5125</v>
      </c>
      <c r="G1649" s="51" t="s">
        <v>4812</v>
      </c>
      <c r="H1649" s="54"/>
      <c r="I1649" s="55">
        <v>0</v>
      </c>
      <c r="K1649" s="51" t="s">
        <v>6030</v>
      </c>
    </row>
    <row r="1650" spans="1:11">
      <c r="A1650" s="51">
        <v>1620</v>
      </c>
      <c r="B1650" s="51" t="s">
        <v>6029</v>
      </c>
      <c r="C1650" s="51" t="s">
        <v>6030</v>
      </c>
      <c r="D1650" s="52" t="s">
        <v>6042</v>
      </c>
      <c r="E1650" s="52" t="s">
        <v>6043</v>
      </c>
      <c r="F1650" s="53" t="s">
        <v>119</v>
      </c>
      <c r="G1650" s="51" t="s">
        <v>4812</v>
      </c>
      <c r="H1650" s="54"/>
      <c r="I1650" s="55">
        <v>0</v>
      </c>
      <c r="K1650" s="51" t="s">
        <v>6030</v>
      </c>
    </row>
    <row r="1651" spans="1:11">
      <c r="A1651" s="51">
        <v>1621</v>
      </c>
      <c r="B1651" s="51" t="s">
        <v>6029</v>
      </c>
      <c r="C1651" s="51" t="s">
        <v>6030</v>
      </c>
      <c r="D1651" s="52" t="s">
        <v>6044</v>
      </c>
      <c r="E1651" s="52" t="s">
        <v>6045</v>
      </c>
      <c r="F1651" s="53" t="s">
        <v>5226</v>
      </c>
      <c r="G1651" s="51" t="s">
        <v>4812</v>
      </c>
      <c r="H1651" s="54"/>
      <c r="I1651" s="55">
        <v>0</v>
      </c>
      <c r="K1651" s="51" t="s">
        <v>6030</v>
      </c>
    </row>
    <row r="1652" spans="1:11">
      <c r="A1652" s="51">
        <v>1622</v>
      </c>
      <c r="B1652" s="51" t="s">
        <v>6029</v>
      </c>
      <c r="C1652" s="51" t="s">
        <v>6030</v>
      </c>
      <c r="D1652" s="52" t="s">
        <v>6046</v>
      </c>
      <c r="E1652" s="52" t="s">
        <v>6047</v>
      </c>
      <c r="F1652" s="53" t="s">
        <v>5135</v>
      </c>
      <c r="G1652" s="51" t="s">
        <v>4812</v>
      </c>
      <c r="H1652" s="54"/>
      <c r="I1652" s="55">
        <v>0</v>
      </c>
      <c r="K1652" s="51" t="s">
        <v>6030</v>
      </c>
    </row>
    <row r="1653" spans="1:11">
      <c r="A1653" s="51">
        <v>1623</v>
      </c>
      <c r="B1653" s="51" t="s">
        <v>6029</v>
      </c>
      <c r="C1653" s="51" t="s">
        <v>6030</v>
      </c>
      <c r="D1653" s="52" t="s">
        <v>6048</v>
      </c>
      <c r="E1653" s="52" t="s">
        <v>6049</v>
      </c>
      <c r="F1653" s="53" t="s">
        <v>5138</v>
      </c>
      <c r="G1653" s="51" t="s">
        <v>4812</v>
      </c>
      <c r="H1653" s="54"/>
      <c r="I1653" s="55">
        <v>0</v>
      </c>
      <c r="K1653" s="51" t="s">
        <v>6030</v>
      </c>
    </row>
    <row r="1654" spans="1:11">
      <c r="A1654" s="51">
        <v>1624</v>
      </c>
      <c r="B1654" s="51" t="s">
        <v>6029</v>
      </c>
      <c r="C1654" s="51" t="s">
        <v>6030</v>
      </c>
      <c r="D1654" s="52" t="s">
        <v>5090</v>
      </c>
      <c r="E1654" s="52" t="s">
        <v>6050</v>
      </c>
      <c r="F1654" s="53" t="s">
        <v>6051</v>
      </c>
      <c r="G1654" s="51" t="s">
        <v>4812</v>
      </c>
      <c r="H1654" s="54"/>
      <c r="I1654" s="55">
        <v>46</v>
      </c>
      <c r="K1654" s="51" t="s">
        <v>6030</v>
      </c>
    </row>
    <row r="1655" spans="1:11">
      <c r="A1655" s="51">
        <v>1625</v>
      </c>
      <c r="B1655" s="51" t="s">
        <v>6029</v>
      </c>
      <c r="C1655" s="51" t="s">
        <v>6030</v>
      </c>
      <c r="D1655" s="52" t="s">
        <v>5092</v>
      </c>
      <c r="E1655" s="52" t="s">
        <v>6037</v>
      </c>
      <c r="F1655" s="53" t="s">
        <v>119</v>
      </c>
      <c r="G1655" s="51" t="s">
        <v>4812</v>
      </c>
      <c r="H1655" s="54"/>
      <c r="I1655" s="55">
        <v>63</v>
      </c>
      <c r="K1655" s="51" t="s">
        <v>6030</v>
      </c>
    </row>
    <row r="1656" spans="1:11">
      <c r="A1656" s="51">
        <v>1626</v>
      </c>
      <c r="B1656" s="51" t="s">
        <v>6029</v>
      </c>
      <c r="C1656" s="51" t="s">
        <v>6030</v>
      </c>
      <c r="D1656" s="52" t="s">
        <v>5094</v>
      </c>
      <c r="E1656" s="52" t="s">
        <v>5095</v>
      </c>
      <c r="F1656" s="53" t="s">
        <v>6052</v>
      </c>
      <c r="G1656" s="51" t="s">
        <v>4812</v>
      </c>
      <c r="H1656" s="54"/>
      <c r="I1656" s="55">
        <v>0</v>
      </c>
      <c r="K1656" s="51" t="s">
        <v>6030</v>
      </c>
    </row>
    <row r="1657" spans="1:11">
      <c r="A1657" s="51">
        <v>1627</v>
      </c>
      <c r="B1657" s="51" t="s">
        <v>6029</v>
      </c>
      <c r="C1657" s="51" t="s">
        <v>6030</v>
      </c>
      <c r="D1657" s="52" t="s">
        <v>1964</v>
      </c>
      <c r="E1657" s="52" t="s">
        <v>1963</v>
      </c>
      <c r="F1657" s="53" t="s">
        <v>6053</v>
      </c>
      <c r="G1657" s="51" t="s">
        <v>4812</v>
      </c>
      <c r="H1657" s="54"/>
      <c r="I1657" s="55">
        <v>358</v>
      </c>
      <c r="K1657" s="51" t="s">
        <v>6030</v>
      </c>
    </row>
    <row r="1658" spans="1:11">
      <c r="A1658" s="51">
        <v>1628</v>
      </c>
      <c r="B1658" s="51" t="s">
        <v>6029</v>
      </c>
      <c r="C1658" s="51" t="s">
        <v>6030</v>
      </c>
      <c r="D1658" s="52" t="s">
        <v>1418</v>
      </c>
      <c r="E1658" s="52" t="s">
        <v>1417</v>
      </c>
      <c r="F1658" s="53" t="s">
        <v>6054</v>
      </c>
      <c r="G1658" s="51" t="s">
        <v>4812</v>
      </c>
      <c r="H1658" s="54"/>
      <c r="I1658" s="55">
        <v>43</v>
      </c>
      <c r="K1658" s="51" t="s">
        <v>6030</v>
      </c>
    </row>
    <row r="1659" spans="1:11">
      <c r="A1659" s="51">
        <v>1629</v>
      </c>
      <c r="B1659" s="51" t="s">
        <v>6029</v>
      </c>
      <c r="C1659" s="51" t="s">
        <v>6030</v>
      </c>
      <c r="D1659" s="52" t="s">
        <v>1420</v>
      </c>
      <c r="E1659" s="52" t="s">
        <v>1419</v>
      </c>
      <c r="F1659" s="53" t="s">
        <v>105</v>
      </c>
      <c r="G1659" s="51" t="s">
        <v>4812</v>
      </c>
      <c r="H1659" s="54"/>
      <c r="I1659" s="55">
        <v>145</v>
      </c>
      <c r="K1659" s="51" t="s">
        <v>6030</v>
      </c>
    </row>
    <row r="1660" spans="1:11">
      <c r="A1660" s="51">
        <v>1630</v>
      </c>
      <c r="B1660" s="51" t="s">
        <v>6029</v>
      </c>
      <c r="C1660" s="51" t="s">
        <v>6030</v>
      </c>
      <c r="D1660" s="52" t="s">
        <v>1416</v>
      </c>
      <c r="E1660" s="52" t="s">
        <v>1415</v>
      </c>
      <c r="F1660" s="53" t="s">
        <v>6055</v>
      </c>
      <c r="G1660" s="51" t="s">
        <v>4812</v>
      </c>
      <c r="H1660" s="54"/>
      <c r="I1660" s="55">
        <v>178</v>
      </c>
      <c r="K1660" s="51" t="s">
        <v>6030</v>
      </c>
    </row>
    <row r="1661" spans="1:11">
      <c r="A1661" s="51">
        <v>1631</v>
      </c>
      <c r="B1661" s="51" t="s">
        <v>6056</v>
      </c>
      <c r="C1661" s="51" t="s">
        <v>6057</v>
      </c>
      <c r="D1661" s="52" t="s">
        <v>337</v>
      </c>
      <c r="E1661" s="52" t="s">
        <v>336</v>
      </c>
      <c r="F1661" s="53" t="s">
        <v>6058</v>
      </c>
      <c r="G1661" s="51" t="s">
        <v>4812</v>
      </c>
      <c r="H1661" s="54"/>
      <c r="I1661" s="55">
        <v>112</v>
      </c>
      <c r="K1661" s="51" t="s">
        <v>6057</v>
      </c>
    </row>
    <row r="1662" spans="1:11">
      <c r="A1662" s="51">
        <v>1632</v>
      </c>
      <c r="B1662" s="51" t="s">
        <v>6056</v>
      </c>
      <c r="C1662" s="51" t="s">
        <v>6057</v>
      </c>
      <c r="D1662" s="52" t="s">
        <v>6059</v>
      </c>
      <c r="E1662" s="52" t="s">
        <v>6060</v>
      </c>
      <c r="F1662" s="53" t="s">
        <v>6061</v>
      </c>
      <c r="G1662" s="51" t="s">
        <v>4812</v>
      </c>
      <c r="H1662" s="54"/>
      <c r="I1662" s="55">
        <v>0</v>
      </c>
      <c r="K1662" s="51" t="s">
        <v>6057</v>
      </c>
    </row>
    <row r="1663" spans="1:11">
      <c r="A1663" s="51">
        <v>1633</v>
      </c>
      <c r="B1663" s="51" t="s">
        <v>6056</v>
      </c>
      <c r="C1663" s="51" t="s">
        <v>6057</v>
      </c>
      <c r="D1663" s="52" t="s">
        <v>357</v>
      </c>
      <c r="E1663" s="52" t="s">
        <v>356</v>
      </c>
      <c r="F1663" s="53" t="s">
        <v>6062</v>
      </c>
      <c r="G1663" s="51" t="s">
        <v>4812</v>
      </c>
      <c r="H1663" s="54"/>
      <c r="I1663" s="55">
        <v>95</v>
      </c>
      <c r="K1663" s="51" t="s">
        <v>6057</v>
      </c>
    </row>
    <row r="1664" spans="1:11">
      <c r="A1664" s="51">
        <v>1634</v>
      </c>
      <c r="B1664" s="51" t="s">
        <v>6063</v>
      </c>
      <c r="C1664" s="51" t="s">
        <v>6064</v>
      </c>
      <c r="D1664" s="52" t="s">
        <v>2579</v>
      </c>
      <c r="E1664" s="52" t="s">
        <v>2578</v>
      </c>
      <c r="F1664" s="53" t="s">
        <v>5856</v>
      </c>
      <c r="G1664" s="51" t="s">
        <v>4812</v>
      </c>
      <c r="H1664" s="54"/>
      <c r="I1664" s="55">
        <v>34</v>
      </c>
      <c r="K1664" s="51" t="s">
        <v>6064</v>
      </c>
    </row>
    <row r="1665" spans="1:11">
      <c r="A1665" s="51">
        <v>1635</v>
      </c>
      <c r="B1665" s="51" t="s">
        <v>6063</v>
      </c>
      <c r="C1665" s="51" t="s">
        <v>6064</v>
      </c>
      <c r="D1665" s="52" t="s">
        <v>6065</v>
      </c>
      <c r="E1665" s="52" t="s">
        <v>6066</v>
      </c>
      <c r="F1665" s="53" t="s">
        <v>6067</v>
      </c>
      <c r="G1665" s="51" t="s">
        <v>4812</v>
      </c>
      <c r="H1665" s="54"/>
      <c r="I1665" s="55">
        <v>0</v>
      </c>
      <c r="K1665" s="51" t="s">
        <v>6064</v>
      </c>
    </row>
    <row r="1666" spans="1:11">
      <c r="A1666" s="51">
        <v>1636</v>
      </c>
      <c r="B1666" s="51" t="s">
        <v>6063</v>
      </c>
      <c r="C1666" s="51" t="s">
        <v>6064</v>
      </c>
      <c r="D1666" s="52" t="s">
        <v>6068</v>
      </c>
      <c r="E1666" s="52" t="s">
        <v>6069</v>
      </c>
      <c r="F1666" s="53" t="s">
        <v>6070</v>
      </c>
      <c r="G1666" s="51" t="s">
        <v>4812</v>
      </c>
      <c r="H1666" s="54"/>
      <c r="I1666" s="55">
        <v>0</v>
      </c>
      <c r="K1666" s="51" t="s">
        <v>6064</v>
      </c>
    </row>
    <row r="1667" spans="1:11">
      <c r="A1667" s="51">
        <v>1637</v>
      </c>
      <c r="B1667" s="51" t="s">
        <v>6063</v>
      </c>
      <c r="C1667" s="51" t="s">
        <v>6064</v>
      </c>
      <c r="D1667" s="52" t="s">
        <v>6071</v>
      </c>
      <c r="E1667" s="52" t="s">
        <v>6072</v>
      </c>
      <c r="F1667" s="53" t="s">
        <v>6073</v>
      </c>
      <c r="G1667" s="51" t="s">
        <v>4812</v>
      </c>
      <c r="H1667" s="54"/>
      <c r="I1667" s="55">
        <v>1</v>
      </c>
      <c r="K1667" s="51" t="s">
        <v>6064</v>
      </c>
    </row>
    <row r="1668" spans="1:11">
      <c r="A1668" s="51">
        <v>1638</v>
      </c>
      <c r="B1668" s="51" t="s">
        <v>6063</v>
      </c>
      <c r="C1668" s="51" t="s">
        <v>6064</v>
      </c>
      <c r="D1668" s="52" t="s">
        <v>6074</v>
      </c>
      <c r="E1668" s="52" t="s">
        <v>6075</v>
      </c>
      <c r="F1668" s="53" t="s">
        <v>6076</v>
      </c>
      <c r="G1668" s="51" t="s">
        <v>4812</v>
      </c>
      <c r="H1668" s="54"/>
      <c r="I1668" s="55">
        <v>0</v>
      </c>
      <c r="K1668" s="51" t="s">
        <v>6064</v>
      </c>
    </row>
    <row r="1669" spans="1:11">
      <c r="A1669" s="51">
        <v>1639</v>
      </c>
      <c r="B1669" s="51" t="s">
        <v>6063</v>
      </c>
      <c r="C1669" s="51" t="s">
        <v>6064</v>
      </c>
      <c r="D1669" s="52" t="s">
        <v>2741</v>
      </c>
      <c r="E1669" s="52" t="s">
        <v>2740</v>
      </c>
      <c r="F1669" s="53" t="s">
        <v>4826</v>
      </c>
      <c r="G1669" s="51" t="s">
        <v>4812</v>
      </c>
      <c r="H1669" s="54"/>
      <c r="I1669" s="55">
        <v>9</v>
      </c>
      <c r="K1669" s="51" t="s">
        <v>6064</v>
      </c>
    </row>
    <row r="1670" spans="1:11">
      <c r="A1670" s="51">
        <v>1640</v>
      </c>
      <c r="B1670" s="51" t="s">
        <v>6063</v>
      </c>
      <c r="C1670" s="51" t="s">
        <v>6064</v>
      </c>
      <c r="D1670" s="52" t="s">
        <v>2739</v>
      </c>
      <c r="E1670" s="52" t="s">
        <v>2738</v>
      </c>
      <c r="F1670" s="53" t="s">
        <v>6077</v>
      </c>
      <c r="G1670" s="51" t="s">
        <v>4812</v>
      </c>
      <c r="H1670" s="54"/>
      <c r="I1670" s="55">
        <v>71</v>
      </c>
      <c r="K1670" s="51" t="s">
        <v>6064</v>
      </c>
    </row>
    <row r="1671" spans="1:11">
      <c r="A1671" s="51">
        <v>1641</v>
      </c>
      <c r="B1671" s="51" t="s">
        <v>6063</v>
      </c>
      <c r="C1671" s="51" t="s">
        <v>6064</v>
      </c>
      <c r="D1671" s="52" t="s">
        <v>6078</v>
      </c>
      <c r="E1671" s="52" t="s">
        <v>6079</v>
      </c>
      <c r="F1671" s="53" t="s">
        <v>6073</v>
      </c>
      <c r="G1671" s="51" t="s">
        <v>4812</v>
      </c>
      <c r="H1671" s="54"/>
      <c r="I1671" s="55">
        <v>0</v>
      </c>
      <c r="K1671" s="51" t="s">
        <v>6064</v>
      </c>
    </row>
    <row r="1672" spans="1:11">
      <c r="A1672" s="51">
        <v>1642</v>
      </c>
      <c r="B1672" s="51" t="s">
        <v>6063</v>
      </c>
      <c r="C1672" s="51" t="s">
        <v>6064</v>
      </c>
      <c r="D1672" s="52" t="s">
        <v>6080</v>
      </c>
      <c r="E1672" s="52" t="s">
        <v>6081</v>
      </c>
      <c r="F1672" s="53" t="s">
        <v>6082</v>
      </c>
      <c r="G1672" s="51" t="s">
        <v>4812</v>
      </c>
      <c r="H1672" s="54"/>
      <c r="I1672" s="55">
        <v>0</v>
      </c>
      <c r="K1672" s="51" t="s">
        <v>6064</v>
      </c>
    </row>
    <row r="1673" spans="1:11">
      <c r="A1673" s="51">
        <v>1643</v>
      </c>
      <c r="B1673" s="51" t="s">
        <v>6063</v>
      </c>
      <c r="C1673" s="51" t="s">
        <v>6064</v>
      </c>
      <c r="D1673" s="52" t="s">
        <v>6083</v>
      </c>
      <c r="E1673" s="52" t="s">
        <v>6084</v>
      </c>
      <c r="F1673" s="53" t="s">
        <v>6067</v>
      </c>
      <c r="G1673" s="51"/>
      <c r="H1673" s="54"/>
      <c r="I1673" s="55">
        <v>0</v>
      </c>
      <c r="K1673" s="51" t="s">
        <v>6064</v>
      </c>
    </row>
    <row r="1674" spans="1:11">
      <c r="A1674" s="51">
        <v>1644</v>
      </c>
      <c r="B1674" s="51" t="s">
        <v>6063</v>
      </c>
      <c r="C1674" s="51" t="s">
        <v>6064</v>
      </c>
      <c r="D1674" s="52" t="s">
        <v>6085</v>
      </c>
      <c r="E1674" s="52" t="s">
        <v>6086</v>
      </c>
      <c r="F1674" s="53" t="s">
        <v>5427</v>
      </c>
      <c r="G1674" s="51"/>
      <c r="H1674" s="54"/>
      <c r="I1674" s="55">
        <v>0</v>
      </c>
      <c r="K1674" s="51" t="s">
        <v>6064</v>
      </c>
    </row>
    <row r="1675" spans="1:11">
      <c r="A1675" s="51">
        <v>1645</v>
      </c>
      <c r="B1675" s="51" t="s">
        <v>6063</v>
      </c>
      <c r="C1675" s="51" t="s">
        <v>6064</v>
      </c>
      <c r="D1675" s="52" t="s">
        <v>3803</v>
      </c>
      <c r="E1675" s="52" t="s">
        <v>4828</v>
      </c>
      <c r="F1675" s="53" t="s">
        <v>100</v>
      </c>
      <c r="G1675" s="51" t="s">
        <v>4812</v>
      </c>
      <c r="H1675" s="54"/>
      <c r="I1675" s="55">
        <v>0</v>
      </c>
      <c r="K1675" s="51" t="s">
        <v>6064</v>
      </c>
    </row>
    <row r="1676" spans="1:11">
      <c r="A1676" s="51">
        <v>1646</v>
      </c>
      <c r="B1676" s="51" t="s">
        <v>6063</v>
      </c>
      <c r="C1676" s="51" t="s">
        <v>6064</v>
      </c>
      <c r="D1676" s="52" t="s">
        <v>2522</v>
      </c>
      <c r="E1676" s="52" t="s">
        <v>2521</v>
      </c>
      <c r="F1676" s="53" t="s">
        <v>5260</v>
      </c>
      <c r="G1676" s="51" t="s">
        <v>4812</v>
      </c>
      <c r="H1676" s="54"/>
      <c r="I1676" s="55">
        <v>549</v>
      </c>
      <c r="K1676" s="51" t="s">
        <v>6064</v>
      </c>
    </row>
    <row r="1677" spans="1:11">
      <c r="A1677" s="51">
        <v>1647</v>
      </c>
      <c r="B1677" s="51" t="s">
        <v>6063</v>
      </c>
      <c r="C1677" s="51" t="s">
        <v>6064</v>
      </c>
      <c r="D1677" s="52" t="s">
        <v>3767</v>
      </c>
      <c r="E1677" s="52" t="s">
        <v>3766</v>
      </c>
      <c r="F1677" s="53" t="s">
        <v>5734</v>
      </c>
      <c r="G1677" s="51" t="s">
        <v>4812</v>
      </c>
      <c r="H1677" s="54"/>
      <c r="I1677" s="55">
        <v>445</v>
      </c>
      <c r="K1677" s="51" t="s">
        <v>6064</v>
      </c>
    </row>
    <row r="1678" spans="1:11">
      <c r="A1678" s="51">
        <v>1648</v>
      </c>
      <c r="B1678" s="51" t="s">
        <v>6063</v>
      </c>
      <c r="C1678" s="51" t="s">
        <v>6064</v>
      </c>
      <c r="D1678" s="52" t="s">
        <v>3634</v>
      </c>
      <c r="E1678" s="52" t="s">
        <v>3633</v>
      </c>
      <c r="F1678" s="53" t="s">
        <v>6087</v>
      </c>
      <c r="G1678" s="51" t="s">
        <v>4812</v>
      </c>
      <c r="H1678" s="54"/>
      <c r="I1678" s="55">
        <v>291</v>
      </c>
      <c r="K1678" s="51" t="s">
        <v>6064</v>
      </c>
    </row>
    <row r="1679" spans="1:11">
      <c r="A1679" s="51">
        <v>1649</v>
      </c>
      <c r="B1679" s="51" t="s">
        <v>6063</v>
      </c>
      <c r="C1679" s="51" t="s">
        <v>6064</v>
      </c>
      <c r="D1679" s="52" t="s">
        <v>3638</v>
      </c>
      <c r="E1679" s="52" t="s">
        <v>3637</v>
      </c>
      <c r="F1679" s="53" t="s">
        <v>5264</v>
      </c>
      <c r="G1679" s="51" t="s">
        <v>4812</v>
      </c>
      <c r="H1679" s="54"/>
      <c r="I1679" s="55">
        <v>164</v>
      </c>
      <c r="K1679" s="51" t="s">
        <v>6064</v>
      </c>
    </row>
    <row r="1680" spans="1:11">
      <c r="A1680" s="51">
        <v>1650</v>
      </c>
      <c r="B1680" s="51" t="s">
        <v>6088</v>
      </c>
      <c r="C1680" s="51" t="s">
        <v>6089</v>
      </c>
      <c r="D1680" s="52" t="s">
        <v>2683</v>
      </c>
      <c r="E1680" s="52" t="s">
        <v>2682</v>
      </c>
      <c r="F1680" s="53" t="s">
        <v>5973</v>
      </c>
      <c r="G1680" s="51" t="s">
        <v>4812</v>
      </c>
      <c r="H1680" s="54"/>
      <c r="I1680" s="55">
        <v>41</v>
      </c>
      <c r="K1680" s="51" t="s">
        <v>6089</v>
      </c>
    </row>
    <row r="1681" spans="1:11">
      <c r="A1681" s="51">
        <v>1651</v>
      </c>
      <c r="B1681" s="51" t="s">
        <v>6088</v>
      </c>
      <c r="C1681" s="51" t="s">
        <v>6089</v>
      </c>
      <c r="D1681" s="52" t="s">
        <v>3600</v>
      </c>
      <c r="E1681" s="52" t="s">
        <v>3599</v>
      </c>
      <c r="F1681" s="53" t="s">
        <v>4972</v>
      </c>
      <c r="G1681" s="51" t="s">
        <v>4812</v>
      </c>
      <c r="H1681" s="54"/>
      <c r="I1681" s="55">
        <v>234</v>
      </c>
      <c r="K1681" s="51" t="s">
        <v>6089</v>
      </c>
    </row>
    <row r="1682" spans="1:11">
      <c r="A1682" s="51">
        <v>1652</v>
      </c>
      <c r="B1682" s="51" t="s">
        <v>6088</v>
      </c>
      <c r="C1682" s="51" t="s">
        <v>6089</v>
      </c>
      <c r="D1682" s="52" t="s">
        <v>6090</v>
      </c>
      <c r="E1682" s="52" t="s">
        <v>6091</v>
      </c>
      <c r="F1682" s="53"/>
      <c r="G1682" s="51" t="s">
        <v>4812</v>
      </c>
      <c r="H1682" s="54"/>
      <c r="I1682" s="55">
        <v>0</v>
      </c>
      <c r="K1682" s="51" t="s">
        <v>6089</v>
      </c>
    </row>
    <row r="1683" spans="1:11">
      <c r="A1683" s="51">
        <v>1653</v>
      </c>
      <c r="B1683" s="51" t="s">
        <v>6088</v>
      </c>
      <c r="C1683" s="51" t="s">
        <v>6089</v>
      </c>
      <c r="D1683" s="52" t="s">
        <v>6092</v>
      </c>
      <c r="E1683" s="52" t="s">
        <v>6093</v>
      </c>
      <c r="F1683" s="53"/>
      <c r="G1683" s="51" t="s">
        <v>4812</v>
      </c>
      <c r="H1683" s="54"/>
      <c r="I1683" s="55">
        <v>0</v>
      </c>
      <c r="K1683" s="51" t="s">
        <v>6089</v>
      </c>
    </row>
    <row r="1684" spans="1:11">
      <c r="A1684" s="51">
        <v>1654</v>
      </c>
      <c r="B1684" s="51" t="s">
        <v>6088</v>
      </c>
      <c r="C1684" s="51" t="s">
        <v>6089</v>
      </c>
      <c r="D1684" s="52" t="s">
        <v>6094</v>
      </c>
      <c r="E1684" s="52" t="s">
        <v>6095</v>
      </c>
      <c r="F1684" s="53"/>
      <c r="G1684" s="51" t="s">
        <v>4812</v>
      </c>
      <c r="H1684" s="54"/>
      <c r="I1684" s="55">
        <v>0</v>
      </c>
      <c r="K1684" s="51" t="s">
        <v>6089</v>
      </c>
    </row>
    <row r="1685" spans="1:11">
      <c r="A1685" s="51">
        <v>1655</v>
      </c>
      <c r="B1685" s="51" t="s">
        <v>6088</v>
      </c>
      <c r="C1685" s="51" t="s">
        <v>6089</v>
      </c>
      <c r="D1685" s="52" t="s">
        <v>6096</v>
      </c>
      <c r="E1685" s="52" t="s">
        <v>6097</v>
      </c>
      <c r="F1685" s="53"/>
      <c r="G1685" s="51" t="s">
        <v>4812</v>
      </c>
      <c r="H1685" s="54"/>
      <c r="I1685" s="55">
        <v>0</v>
      </c>
      <c r="K1685" s="51" t="s">
        <v>6089</v>
      </c>
    </row>
    <row r="1686" spans="1:11">
      <c r="A1686" s="51">
        <v>1656</v>
      </c>
      <c r="B1686" s="51" t="s">
        <v>6088</v>
      </c>
      <c r="C1686" s="51" t="s">
        <v>6089</v>
      </c>
      <c r="D1686" s="52" t="s">
        <v>2791</v>
      </c>
      <c r="E1686" s="52" t="s">
        <v>2790</v>
      </c>
      <c r="F1686" s="53" t="s">
        <v>4824</v>
      </c>
      <c r="G1686" s="51" t="s">
        <v>4812</v>
      </c>
      <c r="H1686" s="54"/>
      <c r="I1686" s="55">
        <v>2</v>
      </c>
      <c r="K1686" s="51" t="s">
        <v>6089</v>
      </c>
    </row>
    <row r="1687" spans="1:11">
      <c r="A1687" s="51">
        <v>1657</v>
      </c>
      <c r="B1687" s="51" t="s">
        <v>6088</v>
      </c>
      <c r="C1687" s="51" t="s">
        <v>6089</v>
      </c>
      <c r="D1687" s="52" t="s">
        <v>2789</v>
      </c>
      <c r="E1687" s="52" t="s">
        <v>2788</v>
      </c>
      <c r="F1687" s="53" t="s">
        <v>6098</v>
      </c>
      <c r="G1687" s="51" t="s">
        <v>4812</v>
      </c>
      <c r="H1687" s="54"/>
      <c r="I1687" s="55">
        <v>34</v>
      </c>
      <c r="K1687" s="51" t="s">
        <v>6089</v>
      </c>
    </row>
    <row r="1688" spans="1:11">
      <c r="A1688" s="51">
        <v>1658</v>
      </c>
      <c r="B1688" s="51" t="s">
        <v>6088</v>
      </c>
      <c r="C1688" s="51" t="s">
        <v>6089</v>
      </c>
      <c r="D1688" s="52" t="s">
        <v>6099</v>
      </c>
      <c r="E1688" s="52" t="s">
        <v>6100</v>
      </c>
      <c r="F1688" s="53" t="s">
        <v>6101</v>
      </c>
      <c r="G1688" s="51" t="s">
        <v>4812</v>
      </c>
      <c r="H1688" s="54"/>
      <c r="I1688" s="55">
        <v>0</v>
      </c>
      <c r="K1688" s="51" t="s">
        <v>6089</v>
      </c>
    </row>
    <row r="1689" spans="1:11">
      <c r="A1689" s="51">
        <v>1659</v>
      </c>
      <c r="B1689" s="51" t="s">
        <v>6088</v>
      </c>
      <c r="C1689" s="51" t="s">
        <v>6089</v>
      </c>
      <c r="D1689" s="52" t="s">
        <v>6102</v>
      </c>
      <c r="E1689" s="52" t="s">
        <v>6091</v>
      </c>
      <c r="F1689" s="53"/>
      <c r="G1689" s="51" t="s">
        <v>4812</v>
      </c>
      <c r="H1689" s="54"/>
      <c r="I1689" s="55">
        <v>0</v>
      </c>
      <c r="K1689" s="51" t="s">
        <v>6089</v>
      </c>
    </row>
    <row r="1690" spans="1:11">
      <c r="A1690" s="51">
        <v>1660</v>
      </c>
      <c r="B1690" s="51" t="s">
        <v>6088</v>
      </c>
      <c r="C1690" s="51" t="s">
        <v>6089</v>
      </c>
      <c r="D1690" s="52" t="s">
        <v>6103</v>
      </c>
      <c r="E1690" s="52" t="s">
        <v>6097</v>
      </c>
      <c r="F1690" s="53"/>
      <c r="G1690" s="51" t="s">
        <v>4812</v>
      </c>
      <c r="H1690" s="54"/>
      <c r="I1690" s="55">
        <v>0</v>
      </c>
      <c r="K1690" s="51" t="s">
        <v>6089</v>
      </c>
    </row>
    <row r="1691" spans="1:11">
      <c r="A1691" s="51">
        <v>1661</v>
      </c>
      <c r="B1691" s="51" t="s">
        <v>6088</v>
      </c>
      <c r="C1691" s="51" t="s">
        <v>6089</v>
      </c>
      <c r="D1691" s="52" t="s">
        <v>6104</v>
      </c>
      <c r="E1691" s="52" t="s">
        <v>6095</v>
      </c>
      <c r="F1691" s="53"/>
      <c r="G1691" s="51" t="s">
        <v>4812</v>
      </c>
      <c r="H1691" s="54"/>
      <c r="I1691" s="55">
        <v>0</v>
      </c>
      <c r="K1691" s="51" t="s">
        <v>6089</v>
      </c>
    </row>
    <row r="1692" spans="1:11">
      <c r="A1692" s="51">
        <v>1662</v>
      </c>
      <c r="B1692" s="51" t="s">
        <v>6088</v>
      </c>
      <c r="C1692" s="51" t="s">
        <v>6089</v>
      </c>
      <c r="D1692" s="52" t="s">
        <v>2653</v>
      </c>
      <c r="E1692" s="52" t="s">
        <v>2652</v>
      </c>
      <c r="F1692" s="53" t="s">
        <v>5700</v>
      </c>
      <c r="G1692" s="51" t="s">
        <v>4812</v>
      </c>
      <c r="H1692" s="54"/>
      <c r="I1692" s="55">
        <v>399</v>
      </c>
      <c r="K1692" s="51" t="s">
        <v>6089</v>
      </c>
    </row>
    <row r="1693" spans="1:11">
      <c r="A1693" s="51">
        <v>1663</v>
      </c>
      <c r="B1693" s="51" t="s">
        <v>6088</v>
      </c>
      <c r="C1693" s="51" t="s">
        <v>6089</v>
      </c>
      <c r="D1693" s="52" t="s">
        <v>2675</v>
      </c>
      <c r="E1693" s="52" t="s">
        <v>2674</v>
      </c>
      <c r="F1693" s="53" t="s">
        <v>5700</v>
      </c>
      <c r="G1693" s="51" t="s">
        <v>4812</v>
      </c>
      <c r="H1693" s="54"/>
      <c r="I1693" s="55">
        <v>209</v>
      </c>
      <c r="K1693" s="51" t="s">
        <v>6089</v>
      </c>
    </row>
    <row r="1694" spans="1:11">
      <c r="A1694" s="51">
        <v>1664</v>
      </c>
      <c r="B1694" s="51" t="s">
        <v>6088</v>
      </c>
      <c r="C1694" s="51" t="s">
        <v>6089</v>
      </c>
      <c r="D1694" s="52" t="s">
        <v>3803</v>
      </c>
      <c r="E1694" s="52" t="s">
        <v>4828</v>
      </c>
      <c r="F1694" s="53" t="s">
        <v>100</v>
      </c>
      <c r="G1694" s="51" t="s">
        <v>4812</v>
      </c>
      <c r="H1694" s="54"/>
      <c r="I1694" s="55">
        <v>786</v>
      </c>
      <c r="K1694" s="51" t="s">
        <v>6089</v>
      </c>
    </row>
    <row r="1695" spans="1:11">
      <c r="A1695" s="51">
        <v>1665</v>
      </c>
      <c r="B1695" s="51" t="s">
        <v>6088</v>
      </c>
      <c r="C1695" s="51" t="s">
        <v>6089</v>
      </c>
      <c r="D1695" s="52" t="s">
        <v>2522</v>
      </c>
      <c r="E1695" s="52" t="s">
        <v>2521</v>
      </c>
      <c r="F1695" s="53" t="s">
        <v>5260</v>
      </c>
      <c r="G1695" s="51" t="s">
        <v>4812</v>
      </c>
      <c r="H1695" s="54"/>
      <c r="I1695" s="55">
        <v>737</v>
      </c>
      <c r="K1695" s="51" t="s">
        <v>6089</v>
      </c>
    </row>
    <row r="1696" spans="1:11">
      <c r="A1696" s="51">
        <v>1666</v>
      </c>
      <c r="B1696" s="51" t="s">
        <v>6088</v>
      </c>
      <c r="C1696" s="51" t="s">
        <v>6089</v>
      </c>
      <c r="D1696" s="52" t="s">
        <v>3767</v>
      </c>
      <c r="E1696" s="52" t="s">
        <v>3766</v>
      </c>
      <c r="F1696" s="53" t="s">
        <v>5734</v>
      </c>
      <c r="G1696" s="51" t="s">
        <v>4812</v>
      </c>
      <c r="H1696" s="54"/>
      <c r="I1696" s="55">
        <v>0</v>
      </c>
      <c r="K1696" s="51" t="s">
        <v>6089</v>
      </c>
    </row>
    <row r="1697" spans="1:11">
      <c r="A1697" s="51">
        <v>1667</v>
      </c>
      <c r="B1697" s="51" t="s">
        <v>6088</v>
      </c>
      <c r="C1697" s="51" t="s">
        <v>6089</v>
      </c>
      <c r="D1697" s="52" t="s">
        <v>3636</v>
      </c>
      <c r="E1697" s="52" t="s">
        <v>3635</v>
      </c>
      <c r="F1697" s="53" t="s">
        <v>6105</v>
      </c>
      <c r="G1697" s="51" t="s">
        <v>4812</v>
      </c>
      <c r="H1697" s="54"/>
      <c r="I1697" s="55">
        <v>262</v>
      </c>
      <c r="K1697" s="51" t="s">
        <v>6089</v>
      </c>
    </row>
    <row r="1698" spans="1:11">
      <c r="A1698" s="51">
        <v>1668</v>
      </c>
      <c r="B1698" s="51" t="s">
        <v>6088</v>
      </c>
      <c r="C1698" s="51" t="s">
        <v>6089</v>
      </c>
      <c r="D1698" s="52" t="s">
        <v>3640</v>
      </c>
      <c r="E1698" s="52" t="s">
        <v>3639</v>
      </c>
      <c r="F1698" s="53" t="s">
        <v>5264</v>
      </c>
      <c r="G1698" s="51" t="s">
        <v>4812</v>
      </c>
      <c r="H1698" s="54"/>
      <c r="I1698" s="55">
        <v>205</v>
      </c>
      <c r="K1698" s="51" t="s">
        <v>6089</v>
      </c>
    </row>
    <row r="1699" spans="1:11">
      <c r="A1699" s="51">
        <v>1669</v>
      </c>
      <c r="B1699" s="51" t="s">
        <v>6106</v>
      </c>
      <c r="C1699" s="51" t="s">
        <v>6107</v>
      </c>
      <c r="D1699" s="52" t="s">
        <v>1778</v>
      </c>
      <c r="E1699" s="52" t="s">
        <v>1777</v>
      </c>
      <c r="F1699" s="53" t="s">
        <v>4860</v>
      </c>
      <c r="G1699" s="51" t="s">
        <v>4812</v>
      </c>
      <c r="H1699" s="54"/>
      <c r="I1699" s="55">
        <v>123</v>
      </c>
      <c r="K1699" s="51" t="s">
        <v>6107</v>
      </c>
    </row>
    <row r="1700" spans="1:11">
      <c r="A1700" s="51">
        <v>1670</v>
      </c>
      <c r="B1700" s="51" t="s">
        <v>6106</v>
      </c>
      <c r="C1700" s="51" t="s">
        <v>6107</v>
      </c>
      <c r="D1700" s="52" t="s">
        <v>552</v>
      </c>
      <c r="E1700" s="52" t="s">
        <v>6108</v>
      </c>
      <c r="F1700" s="53" t="s">
        <v>6109</v>
      </c>
      <c r="G1700" s="51" t="s">
        <v>4812</v>
      </c>
      <c r="H1700" s="54"/>
      <c r="I1700" s="55">
        <v>155</v>
      </c>
      <c r="K1700" s="51" t="s">
        <v>6107</v>
      </c>
    </row>
    <row r="1701" spans="1:11">
      <c r="A1701" s="51">
        <v>1671</v>
      </c>
      <c r="B1701" s="51" t="s">
        <v>6106</v>
      </c>
      <c r="C1701" s="51" t="s">
        <v>6107</v>
      </c>
      <c r="D1701" s="52" t="s">
        <v>554</v>
      </c>
      <c r="E1701" s="52" t="s">
        <v>553</v>
      </c>
      <c r="F1701" s="53" t="s">
        <v>97</v>
      </c>
      <c r="G1701" s="51" t="s">
        <v>4812</v>
      </c>
      <c r="H1701" s="54"/>
      <c r="I1701" s="55">
        <v>260</v>
      </c>
      <c r="K1701" s="51" t="s">
        <v>6107</v>
      </c>
    </row>
    <row r="1702" spans="1:11">
      <c r="A1702" s="51">
        <v>1672</v>
      </c>
      <c r="B1702" s="51" t="s">
        <v>6106</v>
      </c>
      <c r="C1702" s="51" t="s">
        <v>6107</v>
      </c>
      <c r="D1702" s="52" t="s">
        <v>1760</v>
      </c>
      <c r="E1702" s="52" t="s">
        <v>1759</v>
      </c>
      <c r="F1702" s="53" t="s">
        <v>6110</v>
      </c>
      <c r="G1702" s="51" t="s">
        <v>4812</v>
      </c>
      <c r="H1702" s="54"/>
      <c r="I1702" s="55">
        <v>66</v>
      </c>
      <c r="K1702" s="51" t="s">
        <v>6107</v>
      </c>
    </row>
    <row r="1703" spans="1:11">
      <c r="A1703" s="51">
        <v>1673</v>
      </c>
      <c r="B1703" s="51" t="s">
        <v>6106</v>
      </c>
      <c r="C1703" s="51" t="s">
        <v>6107</v>
      </c>
      <c r="D1703" s="52" t="s">
        <v>1736</v>
      </c>
      <c r="E1703" s="52" t="s">
        <v>1735</v>
      </c>
      <c r="F1703" s="53" t="s">
        <v>5204</v>
      </c>
      <c r="G1703" s="51" t="s">
        <v>4812</v>
      </c>
      <c r="H1703" s="54"/>
      <c r="I1703" s="55">
        <v>31</v>
      </c>
      <c r="K1703" s="51" t="s">
        <v>6107</v>
      </c>
    </row>
    <row r="1704" spans="1:11">
      <c r="A1704" s="51">
        <v>1674</v>
      </c>
      <c r="B1704" s="51" t="s">
        <v>6106</v>
      </c>
      <c r="C1704" s="51" t="s">
        <v>6107</v>
      </c>
      <c r="D1704" s="52" t="s">
        <v>1625</v>
      </c>
      <c r="E1704" s="52" t="s">
        <v>1624</v>
      </c>
      <c r="F1704" s="53" t="s">
        <v>5358</v>
      </c>
      <c r="G1704" s="51" t="s">
        <v>4812</v>
      </c>
      <c r="H1704" s="54"/>
      <c r="I1704" s="55">
        <v>305</v>
      </c>
      <c r="K1704" s="51" t="s">
        <v>6107</v>
      </c>
    </row>
    <row r="1705" spans="1:11">
      <c r="A1705" s="51">
        <v>1675</v>
      </c>
      <c r="B1705" s="51" t="s">
        <v>6106</v>
      </c>
      <c r="C1705" s="51" t="s">
        <v>6107</v>
      </c>
      <c r="D1705" s="52" t="s">
        <v>1388</v>
      </c>
      <c r="E1705" s="52" t="s">
        <v>1387</v>
      </c>
      <c r="F1705" s="53" t="s">
        <v>101</v>
      </c>
      <c r="G1705" s="51" t="s">
        <v>4812</v>
      </c>
      <c r="H1705" s="54"/>
      <c r="I1705" s="55">
        <v>67</v>
      </c>
      <c r="K1705" s="51" t="s">
        <v>6107</v>
      </c>
    </row>
    <row r="1706" spans="1:11">
      <c r="A1706" s="51">
        <v>1676</v>
      </c>
      <c r="B1706" s="51" t="s">
        <v>6106</v>
      </c>
      <c r="C1706" s="51" t="s">
        <v>6107</v>
      </c>
      <c r="D1706" s="52" t="s">
        <v>1390</v>
      </c>
      <c r="E1706" s="52" t="s">
        <v>1389</v>
      </c>
      <c r="F1706" s="53" t="s">
        <v>101</v>
      </c>
      <c r="G1706" s="51" t="s">
        <v>4812</v>
      </c>
      <c r="H1706" s="54"/>
      <c r="I1706" s="55">
        <v>17</v>
      </c>
      <c r="K1706" s="51" t="s">
        <v>6107</v>
      </c>
    </row>
    <row r="1707" spans="1:11">
      <c r="A1707" s="51">
        <v>1677</v>
      </c>
      <c r="B1707" s="51" t="s">
        <v>6106</v>
      </c>
      <c r="C1707" s="51" t="s">
        <v>6107</v>
      </c>
      <c r="D1707" s="52" t="s">
        <v>549</v>
      </c>
      <c r="E1707" s="52" t="s">
        <v>548</v>
      </c>
      <c r="F1707" s="53" t="s">
        <v>97</v>
      </c>
      <c r="G1707" s="51" t="s">
        <v>4812</v>
      </c>
      <c r="H1707" s="54"/>
      <c r="I1707" s="55">
        <v>158</v>
      </c>
      <c r="K1707" s="51" t="s">
        <v>6107</v>
      </c>
    </row>
    <row r="1708" spans="1:11">
      <c r="A1708" s="51">
        <v>1678</v>
      </c>
      <c r="B1708" s="51" t="s">
        <v>6106</v>
      </c>
      <c r="C1708" s="51" t="s">
        <v>6107</v>
      </c>
      <c r="D1708" s="52" t="s">
        <v>973</v>
      </c>
      <c r="E1708" s="52" t="s">
        <v>5056</v>
      </c>
      <c r="F1708" s="53" t="s">
        <v>6111</v>
      </c>
      <c r="G1708" s="51" t="s">
        <v>4812</v>
      </c>
      <c r="H1708" s="54"/>
      <c r="I1708" s="55">
        <v>0</v>
      </c>
      <c r="K1708" s="51" t="s">
        <v>6107</v>
      </c>
    </row>
    <row r="1709" spans="1:11">
      <c r="A1709" s="51">
        <v>1679</v>
      </c>
      <c r="B1709" s="51" t="s">
        <v>6106</v>
      </c>
      <c r="C1709" s="51" t="s">
        <v>6107</v>
      </c>
      <c r="D1709" s="52" t="s">
        <v>977</v>
      </c>
      <c r="E1709" s="52" t="s">
        <v>5058</v>
      </c>
      <c r="F1709" s="53" t="s">
        <v>6112</v>
      </c>
      <c r="G1709" s="51" t="s">
        <v>4812</v>
      </c>
      <c r="H1709" s="54"/>
      <c r="I1709" s="55">
        <v>0</v>
      </c>
      <c r="K1709" s="51" t="s">
        <v>6107</v>
      </c>
    </row>
    <row r="1710" spans="1:11">
      <c r="A1710" s="51">
        <v>1680</v>
      </c>
      <c r="B1710" s="51" t="s">
        <v>6106</v>
      </c>
      <c r="C1710" s="51" t="s">
        <v>6107</v>
      </c>
      <c r="D1710" s="52" t="s">
        <v>1073</v>
      </c>
      <c r="E1710" s="52" t="s">
        <v>5060</v>
      </c>
      <c r="F1710" s="53" t="s">
        <v>6113</v>
      </c>
      <c r="G1710" s="51" t="s">
        <v>4812</v>
      </c>
      <c r="H1710" s="54"/>
      <c r="I1710" s="55">
        <v>0</v>
      </c>
      <c r="K1710" s="51" t="s">
        <v>6107</v>
      </c>
    </row>
    <row r="1711" spans="1:11">
      <c r="A1711" s="51">
        <v>1681</v>
      </c>
      <c r="B1711" s="51" t="s">
        <v>6106</v>
      </c>
      <c r="C1711" s="51" t="s">
        <v>6107</v>
      </c>
      <c r="D1711" s="52" t="s">
        <v>981</v>
      </c>
      <c r="E1711" s="52" t="s">
        <v>5062</v>
      </c>
      <c r="F1711" s="53" t="s">
        <v>6111</v>
      </c>
      <c r="G1711" s="51" t="s">
        <v>4812</v>
      </c>
      <c r="H1711" s="54"/>
      <c r="I1711" s="55">
        <v>0</v>
      </c>
      <c r="K1711" s="51" t="s">
        <v>6107</v>
      </c>
    </row>
    <row r="1712" spans="1:11">
      <c r="A1712" s="51">
        <v>1682</v>
      </c>
      <c r="B1712" s="51" t="s">
        <v>6106</v>
      </c>
      <c r="C1712" s="51" t="s">
        <v>6107</v>
      </c>
      <c r="D1712" s="52" t="s">
        <v>985</v>
      </c>
      <c r="E1712" s="52" t="s">
        <v>5063</v>
      </c>
      <c r="F1712" s="53" t="s">
        <v>6112</v>
      </c>
      <c r="G1712" s="51" t="s">
        <v>4812</v>
      </c>
      <c r="H1712" s="54"/>
      <c r="I1712" s="55">
        <v>0</v>
      </c>
      <c r="K1712" s="51" t="s">
        <v>6107</v>
      </c>
    </row>
    <row r="1713" spans="1:11">
      <c r="A1713" s="51">
        <v>1683</v>
      </c>
      <c r="B1713" s="51" t="s">
        <v>6106</v>
      </c>
      <c r="C1713" s="51" t="s">
        <v>6107</v>
      </c>
      <c r="D1713" s="52" t="s">
        <v>1077</v>
      </c>
      <c r="E1713" s="52" t="s">
        <v>5064</v>
      </c>
      <c r="F1713" s="53" t="s">
        <v>6113</v>
      </c>
      <c r="G1713" s="51" t="s">
        <v>4812</v>
      </c>
      <c r="H1713" s="54"/>
      <c r="I1713" s="55">
        <v>0</v>
      </c>
      <c r="K1713" s="51" t="s">
        <v>6107</v>
      </c>
    </row>
    <row r="1714" spans="1:11">
      <c r="A1714" s="51">
        <v>1684</v>
      </c>
      <c r="B1714" s="51" t="s">
        <v>6114</v>
      </c>
      <c r="C1714" s="51" t="s">
        <v>6115</v>
      </c>
      <c r="D1714" s="52" t="s">
        <v>3282</v>
      </c>
      <c r="E1714" s="52" t="s">
        <v>3281</v>
      </c>
      <c r="F1714" s="53" t="s">
        <v>6116</v>
      </c>
      <c r="G1714" s="51" t="s">
        <v>4812</v>
      </c>
      <c r="H1714" s="54"/>
      <c r="I1714" s="55">
        <v>606</v>
      </c>
      <c r="K1714" s="51" t="s">
        <v>6115</v>
      </c>
    </row>
    <row r="1715" spans="1:11">
      <c r="A1715" s="51">
        <v>1685</v>
      </c>
      <c r="B1715" s="51" t="s">
        <v>6114</v>
      </c>
      <c r="C1715" s="51" t="s">
        <v>6115</v>
      </c>
      <c r="D1715" s="52" t="s">
        <v>51</v>
      </c>
      <c r="E1715" s="52" t="s">
        <v>13</v>
      </c>
      <c r="F1715" s="53" t="s">
        <v>100</v>
      </c>
      <c r="G1715" s="51" t="s">
        <v>4812</v>
      </c>
      <c r="H1715" s="54"/>
      <c r="I1715" s="55">
        <v>3654</v>
      </c>
      <c r="K1715" s="51" t="s">
        <v>6115</v>
      </c>
    </row>
    <row r="1716" spans="1:11">
      <c r="A1716" s="51">
        <v>1686</v>
      </c>
      <c r="B1716" s="51" t="s">
        <v>6114</v>
      </c>
      <c r="C1716" s="51" t="s">
        <v>6115</v>
      </c>
      <c r="D1716" s="52" t="s">
        <v>1328</v>
      </c>
      <c r="E1716" s="52" t="s">
        <v>1327</v>
      </c>
      <c r="F1716" s="53" t="s">
        <v>99</v>
      </c>
      <c r="G1716" s="51" t="s">
        <v>4812</v>
      </c>
      <c r="H1716" s="54"/>
      <c r="I1716" s="55">
        <v>48</v>
      </c>
      <c r="K1716" s="51" t="s">
        <v>6115</v>
      </c>
    </row>
    <row r="1717" spans="1:11">
      <c r="A1717" s="51">
        <v>1687</v>
      </c>
      <c r="B1717" s="51" t="s">
        <v>6114</v>
      </c>
      <c r="C1717" s="51" t="s">
        <v>6115</v>
      </c>
      <c r="D1717" s="52" t="s">
        <v>50</v>
      </c>
      <c r="E1717" s="52" t="s">
        <v>12</v>
      </c>
      <c r="F1717" s="53" t="s">
        <v>99</v>
      </c>
      <c r="G1717" s="51" t="s">
        <v>4812</v>
      </c>
      <c r="H1717" s="54"/>
      <c r="I1717" s="55">
        <v>51</v>
      </c>
      <c r="K1717" s="51" t="s">
        <v>6115</v>
      </c>
    </row>
    <row r="1718" spans="1:11">
      <c r="A1718" s="51">
        <v>1688</v>
      </c>
      <c r="B1718" s="51" t="s">
        <v>6114</v>
      </c>
      <c r="C1718" s="51" t="s">
        <v>6115</v>
      </c>
      <c r="D1718" s="52" t="s">
        <v>1795</v>
      </c>
      <c r="E1718" s="52" t="s">
        <v>1794</v>
      </c>
      <c r="F1718" s="53" t="s">
        <v>6117</v>
      </c>
      <c r="G1718" s="51" t="s">
        <v>4812</v>
      </c>
      <c r="H1718" s="54"/>
      <c r="I1718" s="55">
        <v>72</v>
      </c>
      <c r="K1718" s="51" t="s">
        <v>6115</v>
      </c>
    </row>
    <row r="1719" spans="1:11">
      <c r="A1719" s="51">
        <v>1689</v>
      </c>
      <c r="B1719" s="51" t="s">
        <v>6114</v>
      </c>
      <c r="C1719" s="51" t="s">
        <v>6115</v>
      </c>
      <c r="D1719" s="52" t="s">
        <v>2247</v>
      </c>
      <c r="E1719" s="52" t="s">
        <v>2246</v>
      </c>
      <c r="F1719" s="53" t="s">
        <v>5235</v>
      </c>
      <c r="G1719" s="51" t="s">
        <v>4812</v>
      </c>
      <c r="H1719" s="54"/>
      <c r="I1719" s="55">
        <v>124</v>
      </c>
      <c r="K1719" s="51" t="s">
        <v>6115</v>
      </c>
    </row>
    <row r="1720" spans="1:11">
      <c r="A1720" s="51">
        <v>1690</v>
      </c>
      <c r="B1720" s="51" t="s">
        <v>6114</v>
      </c>
      <c r="C1720" s="51" t="s">
        <v>6115</v>
      </c>
      <c r="D1720" s="52" t="s">
        <v>1330</v>
      </c>
      <c r="E1720" s="52" t="s">
        <v>1329</v>
      </c>
      <c r="F1720" s="53" t="s">
        <v>99</v>
      </c>
      <c r="G1720" s="51" t="s">
        <v>4812</v>
      </c>
      <c r="H1720" s="54"/>
      <c r="I1720" s="55">
        <v>538</v>
      </c>
      <c r="K1720" s="51" t="s">
        <v>6115</v>
      </c>
    </row>
    <row r="1721" spans="1:11">
      <c r="A1721" s="51">
        <v>1691</v>
      </c>
      <c r="B1721" s="51" t="s">
        <v>6114</v>
      </c>
      <c r="C1721" s="51" t="s">
        <v>6115</v>
      </c>
      <c r="D1721" s="52" t="s">
        <v>1146</v>
      </c>
      <c r="E1721" s="52" t="s">
        <v>1145</v>
      </c>
      <c r="F1721" s="53" t="s">
        <v>99</v>
      </c>
      <c r="G1721" s="51" t="s">
        <v>4812</v>
      </c>
      <c r="H1721" s="54"/>
      <c r="I1721" s="55">
        <v>76</v>
      </c>
      <c r="K1721" s="51" t="s">
        <v>6115</v>
      </c>
    </row>
    <row r="1722" spans="1:11">
      <c r="A1722" s="51">
        <v>1692</v>
      </c>
      <c r="B1722" s="51" t="s">
        <v>6114</v>
      </c>
      <c r="C1722" s="51" t="s">
        <v>6115</v>
      </c>
      <c r="D1722" s="52" t="s">
        <v>1144</v>
      </c>
      <c r="E1722" s="52" t="s">
        <v>1143</v>
      </c>
      <c r="F1722" s="53" t="s">
        <v>99</v>
      </c>
      <c r="G1722" s="51" t="s">
        <v>4812</v>
      </c>
      <c r="H1722" s="54"/>
      <c r="I1722" s="55">
        <v>85</v>
      </c>
      <c r="K1722" s="51" t="s">
        <v>6115</v>
      </c>
    </row>
    <row r="1723" spans="1:11">
      <c r="A1723" s="51">
        <v>1693</v>
      </c>
      <c r="B1723" s="51" t="s">
        <v>6114</v>
      </c>
      <c r="C1723" s="51" t="s">
        <v>6115</v>
      </c>
      <c r="D1723" s="52" t="s">
        <v>1148</v>
      </c>
      <c r="E1723" s="52" t="s">
        <v>11</v>
      </c>
      <c r="F1723" s="53" t="s">
        <v>6118</v>
      </c>
      <c r="G1723" s="51" t="s">
        <v>4812</v>
      </c>
      <c r="H1723" s="54"/>
      <c r="I1723" s="55">
        <v>120</v>
      </c>
      <c r="K1723" s="51" t="s">
        <v>6115</v>
      </c>
    </row>
    <row r="1724" spans="1:11">
      <c r="A1724" s="51">
        <v>1694</v>
      </c>
      <c r="B1724" s="51" t="s">
        <v>6119</v>
      </c>
      <c r="C1724" s="51" t="s">
        <v>6120</v>
      </c>
      <c r="D1724" s="52" t="s">
        <v>6121</v>
      </c>
      <c r="E1724" s="52"/>
      <c r="F1724" s="53"/>
      <c r="G1724" s="51" t="s">
        <v>4812</v>
      </c>
      <c r="H1724" s="54"/>
      <c r="I1724" s="55">
        <v>80</v>
      </c>
      <c r="K1724" s="51" t="s">
        <v>6120</v>
      </c>
    </row>
    <row r="1725" spans="1:11">
      <c r="A1725" s="51">
        <v>1695</v>
      </c>
      <c r="B1725" s="51" t="s">
        <v>6119</v>
      </c>
      <c r="C1725" s="51" t="s">
        <v>6120</v>
      </c>
      <c r="D1725" s="52" t="s">
        <v>6122</v>
      </c>
      <c r="E1725" s="52"/>
      <c r="F1725" s="53"/>
      <c r="G1725" s="51" t="s">
        <v>4812</v>
      </c>
      <c r="H1725" s="54"/>
      <c r="I1725" s="55">
        <v>80</v>
      </c>
      <c r="K1725" s="51" t="s">
        <v>6120</v>
      </c>
    </row>
    <row r="1726" spans="1:11">
      <c r="A1726" s="51">
        <v>1696</v>
      </c>
      <c r="B1726" s="51" t="s">
        <v>6119</v>
      </c>
      <c r="C1726" s="51" t="s">
        <v>6120</v>
      </c>
      <c r="D1726" s="52" t="s">
        <v>271</v>
      </c>
      <c r="E1726" s="52" t="s">
        <v>270</v>
      </c>
      <c r="F1726" s="53" t="s">
        <v>6123</v>
      </c>
      <c r="G1726" s="51" t="s">
        <v>4812</v>
      </c>
      <c r="H1726" s="54"/>
      <c r="I1726" s="55">
        <v>6</v>
      </c>
      <c r="K1726" s="51" t="s">
        <v>6120</v>
      </c>
    </row>
    <row r="1727" spans="1:11">
      <c r="A1727" s="51">
        <v>1697</v>
      </c>
      <c r="B1727" s="51" t="s">
        <v>6119</v>
      </c>
      <c r="C1727" s="51" t="s">
        <v>6120</v>
      </c>
      <c r="D1727" s="52" t="s">
        <v>78</v>
      </c>
      <c r="E1727" s="52" t="s">
        <v>40</v>
      </c>
      <c r="F1727" s="53" t="s">
        <v>113</v>
      </c>
      <c r="G1727" s="51" t="s">
        <v>4812</v>
      </c>
      <c r="H1727" s="54"/>
      <c r="I1727" s="55">
        <v>10</v>
      </c>
      <c r="K1727" s="51" t="s">
        <v>6120</v>
      </c>
    </row>
    <row r="1728" spans="1:11">
      <c r="A1728" s="51">
        <v>1698</v>
      </c>
      <c r="B1728" s="51" t="s">
        <v>6119</v>
      </c>
      <c r="C1728" s="51" t="s">
        <v>6120</v>
      </c>
      <c r="D1728" s="52" t="s">
        <v>83</v>
      </c>
      <c r="E1728" s="52" t="s">
        <v>6124</v>
      </c>
      <c r="F1728" s="53" t="s">
        <v>6125</v>
      </c>
      <c r="G1728" s="51" t="s">
        <v>4812</v>
      </c>
      <c r="H1728" s="54"/>
      <c r="I1728" s="55">
        <v>118</v>
      </c>
      <c r="K1728" s="51" t="s">
        <v>6120</v>
      </c>
    </row>
    <row r="1729" spans="1:11">
      <c r="A1729" s="51">
        <v>1699</v>
      </c>
      <c r="B1729" s="51" t="s">
        <v>6119</v>
      </c>
      <c r="C1729" s="51" t="s">
        <v>6120</v>
      </c>
      <c r="D1729" s="52" t="s">
        <v>640</v>
      </c>
      <c r="E1729" s="52" t="s">
        <v>6126</v>
      </c>
      <c r="F1729" s="53" t="s">
        <v>6127</v>
      </c>
      <c r="G1729" s="51" t="s">
        <v>4812</v>
      </c>
      <c r="H1729" s="54"/>
      <c r="I1729" s="55">
        <v>1</v>
      </c>
      <c r="K1729" s="51" t="s">
        <v>6120</v>
      </c>
    </row>
    <row r="1730" spans="1:11">
      <c r="A1730" s="51">
        <v>1700</v>
      </c>
      <c r="B1730" s="51" t="s">
        <v>6119</v>
      </c>
      <c r="C1730" s="51" t="s">
        <v>6120</v>
      </c>
      <c r="D1730" s="52" t="s">
        <v>80</v>
      </c>
      <c r="E1730" s="52" t="s">
        <v>6128</v>
      </c>
      <c r="F1730" s="53" t="s">
        <v>6129</v>
      </c>
      <c r="G1730" s="51" t="s">
        <v>4812</v>
      </c>
      <c r="H1730" s="54"/>
      <c r="I1730" s="55">
        <v>0</v>
      </c>
      <c r="K1730" s="51" t="s">
        <v>6120</v>
      </c>
    </row>
    <row r="1731" spans="1:11">
      <c r="A1731" s="51">
        <v>1701</v>
      </c>
      <c r="B1731" s="51" t="s">
        <v>6119</v>
      </c>
      <c r="C1731" s="51" t="s">
        <v>6120</v>
      </c>
      <c r="D1731" s="52" t="s">
        <v>6130</v>
      </c>
      <c r="E1731" s="52" t="s">
        <v>6131</v>
      </c>
      <c r="F1731" s="53" t="s">
        <v>6132</v>
      </c>
      <c r="G1731" s="51" t="s">
        <v>4812</v>
      </c>
      <c r="H1731" s="54"/>
      <c r="I1731" s="55">
        <v>0</v>
      </c>
      <c r="K1731" s="51" t="s">
        <v>6120</v>
      </c>
    </row>
    <row r="1732" spans="1:11">
      <c r="A1732" s="51">
        <v>1702</v>
      </c>
      <c r="B1732" s="51" t="s">
        <v>6119</v>
      </c>
      <c r="C1732" s="51" t="s">
        <v>6120</v>
      </c>
      <c r="D1732" s="52" t="s">
        <v>79</v>
      </c>
      <c r="E1732" s="52" t="s">
        <v>6133</v>
      </c>
      <c r="F1732" s="53" t="s">
        <v>6134</v>
      </c>
      <c r="G1732" s="51" t="s">
        <v>4812</v>
      </c>
      <c r="H1732" s="54"/>
      <c r="I1732" s="55">
        <v>7</v>
      </c>
      <c r="K1732" s="51" t="s">
        <v>6120</v>
      </c>
    </row>
    <row r="1733" spans="1:11">
      <c r="A1733" s="51">
        <v>1703</v>
      </c>
      <c r="B1733" s="51" t="s">
        <v>6119</v>
      </c>
      <c r="C1733" s="51" t="s">
        <v>6120</v>
      </c>
      <c r="D1733" s="52" t="s">
        <v>81</v>
      </c>
      <c r="E1733" s="52" t="s">
        <v>6135</v>
      </c>
      <c r="F1733" s="53" t="s">
        <v>6136</v>
      </c>
      <c r="G1733" s="51" t="s">
        <v>4812</v>
      </c>
      <c r="H1733" s="54"/>
      <c r="I1733" s="55">
        <v>376</v>
      </c>
      <c r="K1733" s="51" t="s">
        <v>6120</v>
      </c>
    </row>
    <row r="1734" spans="1:11">
      <c r="A1734" s="51">
        <v>1704</v>
      </c>
      <c r="B1734" s="51" t="s">
        <v>6119</v>
      </c>
      <c r="C1734" s="51" t="s">
        <v>6120</v>
      </c>
      <c r="D1734" s="52" t="s">
        <v>642</v>
      </c>
      <c r="E1734" s="52" t="s">
        <v>6137</v>
      </c>
      <c r="F1734" s="53" t="s">
        <v>6127</v>
      </c>
      <c r="G1734" s="51" t="s">
        <v>4812</v>
      </c>
      <c r="H1734" s="54"/>
      <c r="I1734" s="55">
        <v>0</v>
      </c>
      <c r="K1734" s="51" t="s">
        <v>6120</v>
      </c>
    </row>
    <row r="1735" spans="1:11">
      <c r="A1735" s="51">
        <v>1705</v>
      </c>
      <c r="B1735" s="51" t="s">
        <v>6119</v>
      </c>
      <c r="C1735" s="51" t="s">
        <v>6120</v>
      </c>
      <c r="D1735" s="52" t="s">
        <v>634</v>
      </c>
      <c r="E1735" s="52" t="s">
        <v>6138</v>
      </c>
      <c r="F1735" s="53" t="s">
        <v>6129</v>
      </c>
      <c r="G1735" s="51" t="s">
        <v>4812</v>
      </c>
      <c r="H1735" s="54"/>
      <c r="I1735" s="55">
        <v>34</v>
      </c>
      <c r="K1735" s="51" t="s">
        <v>6120</v>
      </c>
    </row>
    <row r="1736" spans="1:11">
      <c r="A1736" s="51">
        <v>1706</v>
      </c>
      <c r="B1736" s="51" t="s">
        <v>6119</v>
      </c>
      <c r="C1736" s="51" t="s">
        <v>6120</v>
      </c>
      <c r="D1736" s="52" t="s">
        <v>265</v>
      </c>
      <c r="E1736" s="52" t="s">
        <v>6139</v>
      </c>
      <c r="F1736" s="53" t="s">
        <v>6140</v>
      </c>
      <c r="G1736" s="51" t="s">
        <v>4812</v>
      </c>
      <c r="H1736" s="54"/>
      <c r="I1736" s="55">
        <v>16</v>
      </c>
      <c r="K1736" s="51" t="s">
        <v>6120</v>
      </c>
    </row>
    <row r="1737" spans="1:11">
      <c r="A1737" s="51">
        <v>1707</v>
      </c>
      <c r="B1737" s="51" t="s">
        <v>6119</v>
      </c>
      <c r="C1737" s="51" t="s">
        <v>6120</v>
      </c>
      <c r="D1737" s="52" t="s">
        <v>283</v>
      </c>
      <c r="E1737" s="52" t="s">
        <v>6141</v>
      </c>
      <c r="F1737" s="53" t="s">
        <v>6142</v>
      </c>
      <c r="G1737" s="51" t="s">
        <v>4812</v>
      </c>
      <c r="H1737" s="54"/>
      <c r="I1737" s="55">
        <v>47</v>
      </c>
      <c r="K1737" s="51" t="s">
        <v>6120</v>
      </c>
    </row>
    <row r="1738" spans="1:11">
      <c r="A1738" s="51">
        <v>1708</v>
      </c>
      <c r="B1738" s="51" t="s">
        <v>6119</v>
      </c>
      <c r="C1738" s="51" t="s">
        <v>6120</v>
      </c>
      <c r="D1738" s="52" t="s">
        <v>1877</v>
      </c>
      <c r="E1738" s="52" t="s">
        <v>1876</v>
      </c>
      <c r="F1738" s="53" t="s">
        <v>6143</v>
      </c>
      <c r="G1738" s="51" t="s">
        <v>4812</v>
      </c>
      <c r="H1738" s="54"/>
      <c r="I1738" s="55">
        <v>0</v>
      </c>
      <c r="K1738" s="51" t="s">
        <v>6120</v>
      </c>
    </row>
    <row r="1739" spans="1:11">
      <c r="A1739" s="51">
        <v>1709</v>
      </c>
      <c r="B1739" s="51" t="s">
        <v>6119</v>
      </c>
      <c r="C1739" s="51" t="s">
        <v>6120</v>
      </c>
      <c r="D1739" s="52" t="s">
        <v>1867</v>
      </c>
      <c r="E1739" s="52" t="s">
        <v>1866</v>
      </c>
      <c r="F1739" s="53" t="s">
        <v>109</v>
      </c>
      <c r="G1739" s="51" t="s">
        <v>4812</v>
      </c>
      <c r="H1739" s="54"/>
      <c r="I1739" s="55">
        <v>0</v>
      </c>
      <c r="K1739" s="51" t="s">
        <v>6120</v>
      </c>
    </row>
    <row r="1740" spans="1:11">
      <c r="A1740" s="51">
        <v>1710</v>
      </c>
      <c r="B1740" s="51" t="s">
        <v>6119</v>
      </c>
      <c r="C1740" s="51" t="s">
        <v>6120</v>
      </c>
      <c r="D1740" s="52" t="s">
        <v>1875</v>
      </c>
      <c r="E1740" s="52" t="s">
        <v>1874</v>
      </c>
      <c r="F1740" s="53" t="s">
        <v>6143</v>
      </c>
      <c r="G1740" s="51" t="s">
        <v>4812</v>
      </c>
      <c r="H1740" s="54"/>
      <c r="I1740" s="55">
        <v>137</v>
      </c>
      <c r="K1740" s="51" t="s">
        <v>6120</v>
      </c>
    </row>
    <row r="1741" spans="1:11">
      <c r="A1741" s="51">
        <v>1711</v>
      </c>
      <c r="B1741" s="51" t="s">
        <v>6119</v>
      </c>
      <c r="C1741" s="51" t="s">
        <v>6120</v>
      </c>
      <c r="D1741" s="52" t="s">
        <v>1865</v>
      </c>
      <c r="E1741" s="52" t="s">
        <v>1864</v>
      </c>
      <c r="F1741" s="53" t="s">
        <v>109</v>
      </c>
      <c r="G1741" s="51" t="s">
        <v>4812</v>
      </c>
      <c r="H1741" s="54"/>
      <c r="I1741" s="55">
        <v>120</v>
      </c>
      <c r="K1741" s="51" t="s">
        <v>6120</v>
      </c>
    </row>
    <row r="1742" spans="1:11">
      <c r="A1742" s="51" t="s">
        <v>6144</v>
      </c>
      <c r="B1742" s="51"/>
      <c r="C1742" s="51" t="s">
        <v>6120</v>
      </c>
      <c r="D1742" s="52"/>
      <c r="E1742" s="52" t="s">
        <v>6145</v>
      </c>
      <c r="F1742" s="53"/>
      <c r="G1742" s="51" t="s">
        <v>4812</v>
      </c>
      <c r="H1742" s="54"/>
      <c r="I1742" s="55">
        <v>13</v>
      </c>
      <c r="K1742" s="51" t="s">
        <v>6120</v>
      </c>
    </row>
    <row r="1743" spans="1:11">
      <c r="A1743" s="51" t="s">
        <v>6146</v>
      </c>
      <c r="B1743" s="51"/>
      <c r="C1743" s="51" t="s">
        <v>6120</v>
      </c>
      <c r="D1743" s="52"/>
      <c r="E1743" s="52" t="s">
        <v>6147</v>
      </c>
      <c r="F1743" s="53"/>
      <c r="G1743" s="51" t="s">
        <v>4812</v>
      </c>
      <c r="H1743" s="54"/>
      <c r="I1743" s="55">
        <v>13</v>
      </c>
      <c r="K1743" s="51" t="s">
        <v>6120</v>
      </c>
    </row>
    <row r="1744" spans="1:11">
      <c r="A1744" s="51" t="s">
        <v>6148</v>
      </c>
      <c r="B1744" s="51"/>
      <c r="C1744" s="51" t="s">
        <v>6120</v>
      </c>
      <c r="D1744" s="52"/>
      <c r="E1744" s="52" t="s">
        <v>6149</v>
      </c>
      <c r="F1744" s="53"/>
      <c r="G1744" s="51" t="s">
        <v>4812</v>
      </c>
      <c r="H1744" s="54"/>
      <c r="I1744" s="55">
        <v>0</v>
      </c>
      <c r="K1744" s="51" t="s">
        <v>6120</v>
      </c>
    </row>
    <row r="1745" spans="1:11">
      <c r="A1745" s="51" t="s">
        <v>6150</v>
      </c>
      <c r="B1745" s="51"/>
      <c r="C1745" s="51" t="s">
        <v>6120</v>
      </c>
      <c r="D1745" s="52"/>
      <c r="E1745" s="52" t="s">
        <v>6151</v>
      </c>
      <c r="F1745" s="53"/>
      <c r="G1745" s="51" t="s">
        <v>4812</v>
      </c>
      <c r="H1745" s="54"/>
      <c r="I1745" s="55">
        <v>9</v>
      </c>
      <c r="K1745" s="51" t="s">
        <v>6120</v>
      </c>
    </row>
    <row r="1746" spans="1:11">
      <c r="A1746" s="51">
        <v>1712</v>
      </c>
      <c r="B1746" s="51" t="s">
        <v>6152</v>
      </c>
      <c r="C1746" s="51" t="s">
        <v>6153</v>
      </c>
      <c r="D1746" s="52" t="s">
        <v>267</v>
      </c>
      <c r="E1746" s="52" t="s">
        <v>266</v>
      </c>
      <c r="F1746" s="53" t="s">
        <v>6154</v>
      </c>
      <c r="G1746" s="51" t="s">
        <v>4812</v>
      </c>
      <c r="H1746" s="54"/>
      <c r="I1746" s="55">
        <v>192</v>
      </c>
      <c r="K1746" s="51" t="s">
        <v>6153</v>
      </c>
    </row>
    <row r="1747" spans="1:11">
      <c r="A1747" s="51">
        <v>1713</v>
      </c>
      <c r="B1747" s="51" t="s">
        <v>6152</v>
      </c>
      <c r="C1747" s="51" t="s">
        <v>6153</v>
      </c>
      <c r="D1747" s="52" t="s">
        <v>285</v>
      </c>
      <c r="E1747" s="52" t="s">
        <v>284</v>
      </c>
      <c r="F1747" s="53" t="s">
        <v>6155</v>
      </c>
      <c r="G1747" s="51" t="s">
        <v>4812</v>
      </c>
      <c r="H1747" s="54"/>
      <c r="I1747" s="55">
        <v>67</v>
      </c>
      <c r="K1747" s="51" t="s">
        <v>6153</v>
      </c>
    </row>
    <row r="1748" spans="1:11">
      <c r="A1748" s="51">
        <v>1714</v>
      </c>
      <c r="B1748" s="51" t="s">
        <v>6152</v>
      </c>
      <c r="C1748" s="51" t="s">
        <v>6153</v>
      </c>
      <c r="D1748" s="52" t="s">
        <v>6156</v>
      </c>
      <c r="E1748" s="52" t="s">
        <v>6157</v>
      </c>
      <c r="F1748" s="53" t="s">
        <v>6158</v>
      </c>
      <c r="G1748" s="51" t="s">
        <v>4812</v>
      </c>
      <c r="H1748" s="54"/>
      <c r="I1748" s="55">
        <v>0</v>
      </c>
      <c r="K1748" s="51" t="s">
        <v>6153</v>
      </c>
    </row>
    <row r="1749" spans="1:11">
      <c r="A1749" s="51">
        <v>1715</v>
      </c>
      <c r="B1749" s="51" t="s">
        <v>6152</v>
      </c>
      <c r="C1749" s="51" t="s">
        <v>6153</v>
      </c>
      <c r="D1749" s="52" t="s">
        <v>6159</v>
      </c>
      <c r="E1749" s="52" t="s">
        <v>6160</v>
      </c>
      <c r="F1749" s="53" t="s">
        <v>5135</v>
      </c>
      <c r="G1749" s="51" t="s">
        <v>4812</v>
      </c>
      <c r="H1749" s="54"/>
      <c r="I1749" s="55">
        <v>0</v>
      </c>
      <c r="K1749" s="51" t="s">
        <v>6153</v>
      </c>
    </row>
    <row r="1750" spans="1:11">
      <c r="A1750" s="51">
        <v>1716</v>
      </c>
      <c r="B1750" s="51" t="s">
        <v>6152</v>
      </c>
      <c r="C1750" s="51" t="s">
        <v>6153</v>
      </c>
      <c r="D1750" s="52" t="s">
        <v>6161</v>
      </c>
      <c r="E1750" s="52" t="s">
        <v>94</v>
      </c>
      <c r="F1750" s="53" t="s">
        <v>6162</v>
      </c>
      <c r="G1750" s="51" t="s">
        <v>4812</v>
      </c>
      <c r="H1750" s="54"/>
      <c r="I1750" s="55">
        <v>0</v>
      </c>
      <c r="K1750" s="51" t="s">
        <v>6153</v>
      </c>
    </row>
    <row r="1751" spans="1:11">
      <c r="A1751" s="51">
        <v>1717</v>
      </c>
      <c r="B1751" s="51" t="s">
        <v>6152</v>
      </c>
      <c r="C1751" s="51" t="s">
        <v>6153</v>
      </c>
      <c r="D1751" s="52" t="s">
        <v>6163</v>
      </c>
      <c r="E1751" s="52" t="s">
        <v>6164</v>
      </c>
      <c r="F1751" s="53" t="s">
        <v>5138</v>
      </c>
      <c r="G1751" s="51" t="s">
        <v>4812</v>
      </c>
      <c r="H1751" s="54"/>
      <c r="I1751" s="55">
        <v>0</v>
      </c>
      <c r="K1751" s="51" t="s">
        <v>6153</v>
      </c>
    </row>
    <row r="1752" spans="1:11">
      <c r="A1752" s="51">
        <v>1718</v>
      </c>
      <c r="B1752" s="51" t="s">
        <v>6152</v>
      </c>
      <c r="C1752" s="51" t="s">
        <v>6153</v>
      </c>
      <c r="D1752" s="52" t="s">
        <v>6165</v>
      </c>
      <c r="E1752" s="52" t="s">
        <v>6165</v>
      </c>
      <c r="F1752" s="53" t="s">
        <v>6166</v>
      </c>
      <c r="G1752" s="51" t="s">
        <v>4812</v>
      </c>
      <c r="H1752" s="54"/>
      <c r="I1752" s="55">
        <v>0</v>
      </c>
      <c r="K1752" s="51" t="s">
        <v>6153</v>
      </c>
    </row>
    <row r="1753" spans="1:11">
      <c r="A1753" s="51">
        <v>1719</v>
      </c>
      <c r="B1753" s="51" t="s">
        <v>6152</v>
      </c>
      <c r="C1753" s="51" t="s">
        <v>6153</v>
      </c>
      <c r="D1753" s="52" t="s">
        <v>6167</v>
      </c>
      <c r="E1753" s="52" t="s">
        <v>6167</v>
      </c>
      <c r="F1753" s="53" t="s">
        <v>6168</v>
      </c>
      <c r="G1753" s="51" t="s">
        <v>4812</v>
      </c>
      <c r="H1753" s="54"/>
      <c r="I1753" s="55">
        <v>0</v>
      </c>
      <c r="K1753" s="51" t="s">
        <v>6153</v>
      </c>
    </row>
    <row r="1754" spans="1:11">
      <c r="A1754" s="51">
        <v>1720</v>
      </c>
      <c r="B1754" s="51" t="s">
        <v>6152</v>
      </c>
      <c r="C1754" s="51" t="s">
        <v>6153</v>
      </c>
      <c r="D1754" s="52" t="s">
        <v>82</v>
      </c>
      <c r="E1754" s="52" t="s">
        <v>44</v>
      </c>
      <c r="F1754" s="53" t="s">
        <v>6169</v>
      </c>
      <c r="G1754" s="51" t="s">
        <v>4812</v>
      </c>
      <c r="H1754" s="54"/>
      <c r="I1754" s="55">
        <v>215</v>
      </c>
      <c r="K1754" s="51" t="s">
        <v>6153</v>
      </c>
    </row>
    <row r="1755" spans="1:11">
      <c r="A1755" s="51">
        <v>1721</v>
      </c>
      <c r="B1755" s="51" t="s">
        <v>6152</v>
      </c>
      <c r="C1755" s="51" t="s">
        <v>6153</v>
      </c>
      <c r="D1755" s="52" t="s">
        <v>74</v>
      </c>
      <c r="E1755" s="52" t="s">
        <v>36</v>
      </c>
      <c r="F1755" s="53" t="s">
        <v>6170</v>
      </c>
      <c r="G1755" s="51" t="s">
        <v>4812</v>
      </c>
      <c r="H1755" s="54"/>
      <c r="I1755" s="55">
        <v>108</v>
      </c>
      <c r="K1755" s="51" t="s">
        <v>6153</v>
      </c>
    </row>
    <row r="1756" spans="1:11">
      <c r="A1756" s="51">
        <v>1722</v>
      </c>
      <c r="B1756" s="51" t="s">
        <v>6152</v>
      </c>
      <c r="C1756" s="51" t="s">
        <v>6153</v>
      </c>
      <c r="D1756" s="52" t="s">
        <v>84</v>
      </c>
      <c r="E1756" s="52" t="s">
        <v>46</v>
      </c>
      <c r="F1756" s="53" t="s">
        <v>118</v>
      </c>
      <c r="G1756" s="51" t="s">
        <v>4812</v>
      </c>
      <c r="H1756" s="54"/>
      <c r="I1756" s="55">
        <v>399</v>
      </c>
      <c r="K1756" s="51" t="s">
        <v>6153</v>
      </c>
    </row>
    <row r="1757" spans="1:11">
      <c r="A1757" s="51">
        <v>1723</v>
      </c>
      <c r="B1757" s="51" t="s">
        <v>6152</v>
      </c>
      <c r="C1757" s="51" t="s">
        <v>6153</v>
      </c>
      <c r="D1757" s="52" t="s">
        <v>85</v>
      </c>
      <c r="E1757" s="52" t="s">
        <v>47</v>
      </c>
      <c r="F1757" s="53" t="s">
        <v>118</v>
      </c>
      <c r="G1757" s="51" t="s">
        <v>4812</v>
      </c>
      <c r="H1757" s="54"/>
      <c r="I1757" s="55">
        <v>130</v>
      </c>
      <c r="K1757" s="51" t="s">
        <v>6153</v>
      </c>
    </row>
    <row r="1758" spans="1:11">
      <c r="A1758" s="51">
        <v>1724</v>
      </c>
      <c r="B1758" s="51" t="s">
        <v>6152</v>
      </c>
      <c r="C1758" s="51" t="s">
        <v>6153</v>
      </c>
      <c r="D1758" s="52" t="s">
        <v>1577</v>
      </c>
      <c r="E1758" s="52" t="s">
        <v>1576</v>
      </c>
      <c r="F1758" s="53" t="s">
        <v>4855</v>
      </c>
      <c r="G1758" s="51" t="s">
        <v>4812</v>
      </c>
      <c r="H1758" s="54"/>
      <c r="I1758" s="55">
        <v>39</v>
      </c>
      <c r="K1758" s="51" t="s">
        <v>6153</v>
      </c>
    </row>
    <row r="1759" spans="1:11">
      <c r="A1759" s="51">
        <v>1725</v>
      </c>
      <c r="B1759" s="51" t="s">
        <v>6152</v>
      </c>
      <c r="C1759" s="51" t="s">
        <v>6153</v>
      </c>
      <c r="D1759" s="52" t="s">
        <v>1597</v>
      </c>
      <c r="E1759" s="52" t="s">
        <v>1596</v>
      </c>
      <c r="F1759" s="53" t="s">
        <v>4857</v>
      </c>
      <c r="G1759" s="51" t="s">
        <v>4812</v>
      </c>
      <c r="H1759" s="54"/>
      <c r="I1759" s="55">
        <v>35</v>
      </c>
      <c r="K1759" s="51" t="s">
        <v>6153</v>
      </c>
    </row>
    <row r="1760" spans="1:11">
      <c r="A1760" s="51">
        <v>1726</v>
      </c>
      <c r="B1760" s="51" t="s">
        <v>6152</v>
      </c>
      <c r="C1760" s="51" t="s">
        <v>6153</v>
      </c>
      <c r="D1760" s="52" t="s">
        <v>1683</v>
      </c>
      <c r="E1760" s="52" t="s">
        <v>1682</v>
      </c>
      <c r="F1760" s="53" t="s">
        <v>4852</v>
      </c>
      <c r="G1760" s="51" t="s">
        <v>4812</v>
      </c>
      <c r="H1760" s="54"/>
      <c r="I1760" s="55">
        <v>21</v>
      </c>
      <c r="K1760" s="51" t="s">
        <v>6153</v>
      </c>
    </row>
    <row r="1761" spans="1:11">
      <c r="A1761" s="51">
        <v>1727</v>
      </c>
      <c r="B1761" s="51" t="s">
        <v>6152</v>
      </c>
      <c r="C1761" s="51" t="s">
        <v>6153</v>
      </c>
      <c r="D1761" s="52" t="s">
        <v>76</v>
      </c>
      <c r="E1761" s="52" t="s">
        <v>38</v>
      </c>
      <c r="F1761" s="53" t="s">
        <v>107</v>
      </c>
      <c r="G1761" s="51" t="s">
        <v>4812</v>
      </c>
      <c r="H1761" s="54"/>
      <c r="I1761" s="55">
        <v>26</v>
      </c>
      <c r="K1761" s="51" t="s">
        <v>6153</v>
      </c>
    </row>
    <row r="1762" spans="1:11">
      <c r="A1762" s="51">
        <v>1728</v>
      </c>
      <c r="B1762" s="51" t="s">
        <v>6152</v>
      </c>
      <c r="C1762" s="51" t="s">
        <v>6153</v>
      </c>
      <c r="D1762" s="52" t="s">
        <v>75</v>
      </c>
      <c r="E1762" s="52" t="s">
        <v>37</v>
      </c>
      <c r="F1762" s="53" t="s">
        <v>106</v>
      </c>
      <c r="G1762" s="51" t="s">
        <v>4812</v>
      </c>
      <c r="H1762" s="54"/>
      <c r="I1762" s="55">
        <v>35</v>
      </c>
      <c r="K1762" s="51" t="s">
        <v>6153</v>
      </c>
    </row>
    <row r="1763" spans="1:11">
      <c r="A1763" s="51">
        <v>1729</v>
      </c>
      <c r="B1763" s="51" t="s">
        <v>6152</v>
      </c>
      <c r="C1763" s="51" t="s">
        <v>6153</v>
      </c>
      <c r="D1763" s="52" t="s">
        <v>1744</v>
      </c>
      <c r="E1763" s="52" t="s">
        <v>1743</v>
      </c>
      <c r="F1763" s="53" t="s">
        <v>5204</v>
      </c>
      <c r="G1763" s="51" t="s">
        <v>4812</v>
      </c>
      <c r="H1763" s="54"/>
      <c r="I1763" s="55">
        <v>71</v>
      </c>
      <c r="K1763" s="51" t="s">
        <v>6153</v>
      </c>
    </row>
    <row r="1764" spans="1:11">
      <c r="A1764" s="51">
        <v>1730</v>
      </c>
      <c r="B1764" s="51" t="s">
        <v>6152</v>
      </c>
      <c r="C1764" s="51" t="s">
        <v>6153</v>
      </c>
      <c r="D1764" s="52" t="s">
        <v>6171</v>
      </c>
      <c r="E1764" s="52" t="s">
        <v>6172</v>
      </c>
      <c r="F1764" s="53" t="s">
        <v>6158</v>
      </c>
      <c r="G1764" s="51" t="s">
        <v>4812</v>
      </c>
      <c r="H1764" s="54"/>
      <c r="I1764" s="55">
        <v>44</v>
      </c>
      <c r="K1764" s="51" t="s">
        <v>6153</v>
      </c>
    </row>
    <row r="1765" spans="1:11">
      <c r="A1765" s="51">
        <v>1731</v>
      </c>
      <c r="B1765" s="51" t="s">
        <v>6152</v>
      </c>
      <c r="C1765" s="51" t="s">
        <v>6153</v>
      </c>
      <c r="D1765" s="52" t="s">
        <v>6173</v>
      </c>
      <c r="E1765" s="52" t="s">
        <v>6174</v>
      </c>
      <c r="F1765" s="53" t="s">
        <v>5135</v>
      </c>
      <c r="G1765" s="51" t="s">
        <v>4812</v>
      </c>
      <c r="H1765" s="54"/>
      <c r="I1765" s="55">
        <v>56</v>
      </c>
      <c r="K1765" s="51" t="s">
        <v>6153</v>
      </c>
    </row>
    <row r="1766" spans="1:11">
      <c r="A1766" s="51">
        <v>1732</v>
      </c>
      <c r="B1766" s="51" t="s">
        <v>6152</v>
      </c>
      <c r="C1766" s="51" t="s">
        <v>6153</v>
      </c>
      <c r="D1766" s="52" t="s">
        <v>6175</v>
      </c>
      <c r="E1766" s="52" t="s">
        <v>6176</v>
      </c>
      <c r="F1766" s="53" t="s">
        <v>6177</v>
      </c>
      <c r="G1766" s="51" t="s">
        <v>4812</v>
      </c>
      <c r="H1766" s="54"/>
      <c r="I1766" s="55">
        <v>0</v>
      </c>
      <c r="K1766" s="51" t="s">
        <v>6153</v>
      </c>
    </row>
    <row r="1767" spans="1:11">
      <c r="A1767" s="51">
        <v>1733</v>
      </c>
      <c r="B1767" s="51" t="s">
        <v>6152</v>
      </c>
      <c r="C1767" s="51" t="s">
        <v>6153</v>
      </c>
      <c r="D1767" s="52" t="s">
        <v>6178</v>
      </c>
      <c r="E1767" s="52" t="s">
        <v>6179</v>
      </c>
      <c r="F1767" s="53" t="s">
        <v>6162</v>
      </c>
      <c r="G1767" s="51" t="s">
        <v>4812</v>
      </c>
      <c r="H1767" s="54"/>
      <c r="I1767" s="55">
        <v>0</v>
      </c>
      <c r="K1767" s="51" t="s">
        <v>6153</v>
      </c>
    </row>
    <row r="1768" spans="1:11">
      <c r="A1768" s="51">
        <v>1734</v>
      </c>
      <c r="B1768" s="51" t="s">
        <v>6152</v>
      </c>
      <c r="C1768" s="51" t="s">
        <v>6153</v>
      </c>
      <c r="D1768" s="52" t="s">
        <v>6180</v>
      </c>
      <c r="E1768" s="52" t="s">
        <v>6181</v>
      </c>
      <c r="F1768" s="53" t="s">
        <v>6182</v>
      </c>
      <c r="G1768" s="51" t="s">
        <v>4812</v>
      </c>
      <c r="H1768" s="54"/>
      <c r="I1768" s="55">
        <v>0</v>
      </c>
      <c r="K1768" s="51" t="s">
        <v>6153</v>
      </c>
    </row>
    <row r="1769" spans="1:11">
      <c r="A1769" s="51">
        <v>1735</v>
      </c>
      <c r="B1769" s="51" t="s">
        <v>6152</v>
      </c>
      <c r="C1769" s="51" t="s">
        <v>6153</v>
      </c>
      <c r="D1769" s="52" t="s">
        <v>6183</v>
      </c>
      <c r="E1769" s="52" t="s">
        <v>6184</v>
      </c>
      <c r="F1769" s="53" t="s">
        <v>5138</v>
      </c>
      <c r="G1769" s="51" t="s">
        <v>4812</v>
      </c>
      <c r="H1769" s="54"/>
      <c r="I1769" s="55">
        <v>0</v>
      </c>
      <c r="K1769" s="51" t="s">
        <v>6153</v>
      </c>
    </row>
    <row r="1770" spans="1:11">
      <c r="A1770" s="51">
        <v>1736</v>
      </c>
      <c r="B1770" s="51" t="s">
        <v>6152</v>
      </c>
      <c r="C1770" s="51" t="s">
        <v>6153</v>
      </c>
      <c r="D1770" s="52" t="s">
        <v>87</v>
      </c>
      <c r="E1770" s="52" t="s">
        <v>49</v>
      </c>
      <c r="F1770" s="53" t="s">
        <v>4891</v>
      </c>
      <c r="G1770" s="51" t="s">
        <v>4812</v>
      </c>
      <c r="H1770" s="54"/>
      <c r="I1770" s="55">
        <v>227</v>
      </c>
      <c r="K1770" s="51" t="s">
        <v>6153</v>
      </c>
    </row>
    <row r="1771" spans="1:11">
      <c r="A1771" s="51">
        <v>1737</v>
      </c>
      <c r="B1771" s="51" t="s">
        <v>6152</v>
      </c>
      <c r="C1771" s="51" t="s">
        <v>6153</v>
      </c>
      <c r="D1771" s="52" t="s">
        <v>86</v>
      </c>
      <c r="E1771" s="52" t="s">
        <v>48</v>
      </c>
      <c r="F1771" s="53" t="s">
        <v>4891</v>
      </c>
      <c r="G1771" s="51" t="s">
        <v>4812</v>
      </c>
      <c r="H1771" s="54"/>
      <c r="I1771" s="55">
        <v>265</v>
      </c>
      <c r="K1771" s="51" t="s">
        <v>6153</v>
      </c>
    </row>
    <row r="1772" spans="1:11">
      <c r="A1772" s="51">
        <v>1738</v>
      </c>
      <c r="B1772" s="51" t="s">
        <v>6152</v>
      </c>
      <c r="C1772" s="51" t="s">
        <v>6153</v>
      </c>
      <c r="D1772" s="52" t="s">
        <v>1873</v>
      </c>
      <c r="E1772" s="52" t="s">
        <v>6185</v>
      </c>
      <c r="F1772" s="53" t="s">
        <v>6186</v>
      </c>
      <c r="G1772" s="51" t="s">
        <v>4812</v>
      </c>
      <c r="H1772" s="54"/>
      <c r="I1772" s="55">
        <v>25</v>
      </c>
      <c r="K1772" s="51" t="s">
        <v>6153</v>
      </c>
    </row>
    <row r="1773" spans="1:11">
      <c r="A1773" s="51">
        <v>1739</v>
      </c>
      <c r="B1773" s="51" t="s">
        <v>6152</v>
      </c>
      <c r="C1773" s="51" t="s">
        <v>6153</v>
      </c>
      <c r="D1773" s="52" t="s">
        <v>77</v>
      </c>
      <c r="E1773" s="52" t="s">
        <v>6187</v>
      </c>
      <c r="F1773" s="53" t="s">
        <v>6188</v>
      </c>
      <c r="G1773" s="51" t="s">
        <v>4812</v>
      </c>
      <c r="H1773" s="54"/>
      <c r="I1773" s="55">
        <v>4</v>
      </c>
      <c r="K1773" s="51" t="s">
        <v>6153</v>
      </c>
    </row>
    <row r="1774" spans="1:11">
      <c r="A1774" s="51">
        <v>1740</v>
      </c>
      <c r="B1774" s="51" t="s">
        <v>6152</v>
      </c>
      <c r="C1774" s="51" t="s">
        <v>6153</v>
      </c>
      <c r="D1774" s="52" t="s">
        <v>52</v>
      </c>
      <c r="E1774" s="52" t="s">
        <v>14</v>
      </c>
      <c r="F1774" s="53" t="s">
        <v>6189</v>
      </c>
      <c r="G1774" s="51" t="s">
        <v>4812</v>
      </c>
      <c r="H1774" s="54"/>
      <c r="I1774" s="55">
        <v>0</v>
      </c>
      <c r="K1774" s="51" t="s">
        <v>6153</v>
      </c>
    </row>
    <row r="1775" spans="1:11">
      <c r="A1775" s="51">
        <v>1741</v>
      </c>
      <c r="B1775" s="51" t="s">
        <v>6152</v>
      </c>
      <c r="C1775" s="51" t="s">
        <v>6153</v>
      </c>
      <c r="D1775" s="52" t="s">
        <v>981</v>
      </c>
      <c r="E1775" s="52" t="s">
        <v>980</v>
      </c>
      <c r="F1775" s="53" t="s">
        <v>6190</v>
      </c>
      <c r="G1775" s="51" t="s">
        <v>4812</v>
      </c>
      <c r="H1775" s="54"/>
      <c r="I1775" s="55">
        <v>92</v>
      </c>
      <c r="K1775" s="51" t="s">
        <v>6153</v>
      </c>
    </row>
    <row r="1776" spans="1:11">
      <c r="A1776" s="51">
        <v>1742</v>
      </c>
      <c r="B1776" s="51" t="s">
        <v>6152</v>
      </c>
      <c r="C1776" s="51" t="s">
        <v>6153</v>
      </c>
      <c r="D1776" s="52" t="s">
        <v>985</v>
      </c>
      <c r="E1776" s="52" t="s">
        <v>984</v>
      </c>
      <c r="F1776" s="53" t="s">
        <v>6191</v>
      </c>
      <c r="G1776" s="51" t="s">
        <v>4812</v>
      </c>
      <c r="H1776" s="54"/>
      <c r="I1776" s="55">
        <v>1</v>
      </c>
      <c r="K1776" s="51" t="s">
        <v>6153</v>
      </c>
    </row>
    <row r="1777" spans="1:11">
      <c r="A1777" s="51">
        <v>1743</v>
      </c>
      <c r="B1777" s="51" t="s">
        <v>6152</v>
      </c>
      <c r="C1777" s="51" t="s">
        <v>6153</v>
      </c>
      <c r="D1777" s="52" t="s">
        <v>1077</v>
      </c>
      <c r="E1777" s="52" t="s">
        <v>1076</v>
      </c>
      <c r="F1777" s="53" t="s">
        <v>6192</v>
      </c>
      <c r="G1777" s="51" t="s">
        <v>4812</v>
      </c>
      <c r="H1777" s="54"/>
      <c r="I1777" s="55">
        <v>6</v>
      </c>
      <c r="K1777" s="51" t="s">
        <v>6153</v>
      </c>
    </row>
    <row r="1778" spans="1:11">
      <c r="A1778" s="51">
        <v>1744</v>
      </c>
      <c r="B1778" s="51" t="s">
        <v>6152</v>
      </c>
      <c r="C1778" s="51" t="s">
        <v>6153</v>
      </c>
      <c r="D1778" s="52" t="s">
        <v>1877</v>
      </c>
      <c r="E1778" s="52" t="s">
        <v>1876</v>
      </c>
      <c r="F1778" s="53" t="s">
        <v>6193</v>
      </c>
      <c r="G1778" s="51" t="s">
        <v>4812</v>
      </c>
      <c r="H1778" s="54"/>
      <c r="I1778" s="55">
        <v>0</v>
      </c>
      <c r="K1778" s="51" t="s">
        <v>6153</v>
      </c>
    </row>
    <row r="1779" spans="1:11">
      <c r="A1779" s="51">
        <v>1745</v>
      </c>
      <c r="B1779" s="51" t="s">
        <v>6152</v>
      </c>
      <c r="C1779" s="51" t="s">
        <v>6153</v>
      </c>
      <c r="D1779" s="52" t="s">
        <v>1867</v>
      </c>
      <c r="E1779" s="52" t="s">
        <v>1866</v>
      </c>
      <c r="F1779" s="53" t="s">
        <v>6194</v>
      </c>
      <c r="G1779" s="51" t="s">
        <v>4812</v>
      </c>
      <c r="H1779" s="54"/>
      <c r="I1779" s="55">
        <v>0</v>
      </c>
      <c r="K1779" s="51" t="s">
        <v>6153</v>
      </c>
    </row>
    <row r="1780" spans="1:11">
      <c r="A1780" s="51">
        <v>1746</v>
      </c>
      <c r="B1780" s="51" t="s">
        <v>6152</v>
      </c>
      <c r="C1780" s="51" t="s">
        <v>6153</v>
      </c>
      <c r="D1780" s="52" t="s">
        <v>1875</v>
      </c>
      <c r="E1780" s="52" t="s">
        <v>1874</v>
      </c>
      <c r="F1780" s="53" t="s">
        <v>6195</v>
      </c>
      <c r="G1780" s="51" t="s">
        <v>4812</v>
      </c>
      <c r="H1780" s="54"/>
      <c r="I1780" s="55">
        <v>0</v>
      </c>
      <c r="K1780" s="51" t="s">
        <v>6153</v>
      </c>
    </row>
    <row r="1781" spans="1:11">
      <c r="A1781" s="51">
        <v>1747</v>
      </c>
      <c r="B1781" s="51" t="s">
        <v>6152</v>
      </c>
      <c r="C1781" s="51" t="s">
        <v>6153</v>
      </c>
      <c r="D1781" s="52" t="s">
        <v>1865</v>
      </c>
      <c r="E1781" s="52" t="s">
        <v>1864</v>
      </c>
      <c r="F1781" s="53" t="s">
        <v>6196</v>
      </c>
      <c r="G1781" s="51" t="s">
        <v>4812</v>
      </c>
      <c r="H1781" s="54"/>
      <c r="I1781" s="55">
        <v>0</v>
      </c>
      <c r="K1781" s="51" t="s">
        <v>6153</v>
      </c>
    </row>
    <row r="1782" spans="1:11">
      <c r="A1782" s="51">
        <v>1748</v>
      </c>
      <c r="B1782" s="51" t="s">
        <v>6152</v>
      </c>
      <c r="C1782" s="51" t="s">
        <v>6153</v>
      </c>
      <c r="D1782" s="52" t="s">
        <v>6197</v>
      </c>
      <c r="E1782" s="52" t="s">
        <v>6197</v>
      </c>
      <c r="F1782" s="53" t="s">
        <v>6198</v>
      </c>
      <c r="G1782" s="51" t="s">
        <v>4812</v>
      </c>
      <c r="H1782" s="54"/>
      <c r="I1782" s="55">
        <v>0</v>
      </c>
      <c r="K1782" s="51" t="s">
        <v>6153</v>
      </c>
    </row>
    <row r="1783" spans="1:11">
      <c r="A1783" s="51">
        <v>1749</v>
      </c>
      <c r="B1783" s="51" t="s">
        <v>6152</v>
      </c>
      <c r="C1783" s="51" t="s">
        <v>6153</v>
      </c>
      <c r="D1783" s="52" t="s">
        <v>1148</v>
      </c>
      <c r="E1783" s="52" t="s">
        <v>1147</v>
      </c>
      <c r="F1783" s="53" t="s">
        <v>6199</v>
      </c>
      <c r="G1783" s="51" t="s">
        <v>4812</v>
      </c>
      <c r="H1783" s="54"/>
      <c r="I1783" s="55">
        <v>0</v>
      </c>
      <c r="K1783" s="51" t="s">
        <v>6153</v>
      </c>
    </row>
    <row r="1784" spans="1:11">
      <c r="A1784" s="51">
        <v>1750</v>
      </c>
      <c r="B1784" s="51" t="s">
        <v>6152</v>
      </c>
      <c r="C1784" s="51" t="s">
        <v>6153</v>
      </c>
      <c r="D1784" s="52" t="s">
        <v>1879</v>
      </c>
      <c r="E1784" s="52" t="s">
        <v>1878</v>
      </c>
      <c r="F1784" s="53" t="s">
        <v>108</v>
      </c>
      <c r="G1784" s="51" t="s">
        <v>4812</v>
      </c>
      <c r="H1784" s="54"/>
      <c r="I1784" s="55">
        <v>11</v>
      </c>
      <c r="K1784" s="51" t="s">
        <v>6153</v>
      </c>
    </row>
    <row r="1785" spans="1:11">
      <c r="A1785" s="51">
        <v>1751</v>
      </c>
      <c r="B1785" s="51" t="s">
        <v>6152</v>
      </c>
      <c r="C1785" s="51" t="s">
        <v>6153</v>
      </c>
      <c r="D1785" s="52" t="s">
        <v>1881</v>
      </c>
      <c r="E1785" s="52" t="s">
        <v>1880</v>
      </c>
      <c r="F1785" s="53" t="s">
        <v>108</v>
      </c>
      <c r="G1785" s="51" t="s">
        <v>4812</v>
      </c>
      <c r="H1785" s="54"/>
      <c r="I1785" s="55">
        <v>33</v>
      </c>
      <c r="K1785" s="51" t="s">
        <v>6153</v>
      </c>
    </row>
    <row r="1786" spans="1:11">
      <c r="A1786" s="51">
        <v>1752</v>
      </c>
      <c r="B1786" s="51" t="s">
        <v>6152</v>
      </c>
      <c r="C1786" s="51" t="s">
        <v>6153</v>
      </c>
      <c r="D1786" s="52" t="s">
        <v>636</v>
      </c>
      <c r="E1786" s="52" t="s">
        <v>635</v>
      </c>
      <c r="F1786" s="53" t="s">
        <v>114</v>
      </c>
      <c r="G1786" s="51" t="s">
        <v>4812</v>
      </c>
      <c r="H1786" s="54"/>
      <c r="I1786" s="55">
        <v>0</v>
      </c>
      <c r="K1786" s="51" t="s">
        <v>6153</v>
      </c>
    </row>
    <row r="1787" spans="1:11">
      <c r="A1787" s="51">
        <v>1753</v>
      </c>
      <c r="B1787" s="51" t="s">
        <v>6152</v>
      </c>
      <c r="C1787" s="51" t="s">
        <v>6153</v>
      </c>
      <c r="D1787" s="52" t="s">
        <v>646</v>
      </c>
      <c r="E1787" s="52" t="s">
        <v>645</v>
      </c>
      <c r="F1787" s="53" t="s">
        <v>6200</v>
      </c>
      <c r="G1787" s="51" t="s">
        <v>4812</v>
      </c>
      <c r="H1787" s="54"/>
      <c r="I1787" s="55">
        <v>0</v>
      </c>
      <c r="K1787" s="51" t="s">
        <v>6153</v>
      </c>
    </row>
    <row r="1788" spans="1:11">
      <c r="A1788" s="51">
        <v>1754</v>
      </c>
      <c r="B1788" s="51" t="s">
        <v>6152</v>
      </c>
      <c r="C1788" s="51" t="s">
        <v>6153</v>
      </c>
      <c r="D1788" s="52" t="s">
        <v>644</v>
      </c>
      <c r="E1788" s="52" t="s">
        <v>643</v>
      </c>
      <c r="F1788" s="53" t="s">
        <v>6200</v>
      </c>
      <c r="G1788" s="51" t="s">
        <v>4812</v>
      </c>
      <c r="H1788" s="54"/>
      <c r="I1788" s="55">
        <v>0</v>
      </c>
      <c r="K1788" s="51" t="s">
        <v>6153</v>
      </c>
    </row>
    <row r="1789" spans="1:11">
      <c r="A1789" s="51">
        <v>1755</v>
      </c>
      <c r="B1789" s="51" t="s">
        <v>6152</v>
      </c>
      <c r="C1789" s="51" t="s">
        <v>6153</v>
      </c>
      <c r="D1789" s="52" t="s">
        <v>638</v>
      </c>
      <c r="E1789" s="52" t="s">
        <v>637</v>
      </c>
      <c r="F1789" s="53" t="s">
        <v>114</v>
      </c>
      <c r="G1789" s="51" t="s">
        <v>4812</v>
      </c>
      <c r="H1789" s="54"/>
      <c r="I1789" s="55">
        <v>0</v>
      </c>
      <c r="K1789" s="51" t="s">
        <v>6153</v>
      </c>
    </row>
    <row r="1790" spans="1:11" ht="14.5">
      <c r="A1790" s="51">
        <v>1756</v>
      </c>
      <c r="B1790" s="51" t="s">
        <v>6152</v>
      </c>
      <c r="C1790" s="51" t="s">
        <v>6153</v>
      </c>
      <c r="D1790" s="52" t="s">
        <v>564</v>
      </c>
      <c r="E1790" s="61" t="s">
        <v>563</v>
      </c>
      <c r="F1790" s="61" t="s">
        <v>97</v>
      </c>
      <c r="G1790" s="51" t="s">
        <v>4812</v>
      </c>
      <c r="H1790" s="54"/>
      <c r="I1790" s="55">
        <v>0</v>
      </c>
      <c r="K1790" s="51" t="s">
        <v>6153</v>
      </c>
    </row>
    <row r="1791" spans="1:11">
      <c r="A1791" s="51">
        <v>1757</v>
      </c>
      <c r="B1791" s="51" t="s">
        <v>6152</v>
      </c>
      <c r="C1791" s="51" t="s">
        <v>6153</v>
      </c>
      <c r="D1791" s="52" t="s">
        <v>666</v>
      </c>
      <c r="E1791" s="52" t="s">
        <v>665</v>
      </c>
      <c r="F1791" s="53" t="s">
        <v>6201</v>
      </c>
      <c r="G1791" s="51" t="s">
        <v>4812</v>
      </c>
      <c r="H1791" s="54"/>
      <c r="I1791" s="55">
        <v>0</v>
      </c>
      <c r="K1791" s="51" t="s">
        <v>6153</v>
      </c>
    </row>
    <row r="1792" spans="1:11">
      <c r="A1792" s="51">
        <v>1758</v>
      </c>
      <c r="B1792" s="51" t="s">
        <v>6202</v>
      </c>
      <c r="C1792" s="51" t="s">
        <v>6203</v>
      </c>
      <c r="D1792" s="52" t="s">
        <v>3400</v>
      </c>
      <c r="E1792" s="52" t="s">
        <v>3399</v>
      </c>
      <c r="F1792" s="53" t="s">
        <v>4994</v>
      </c>
      <c r="G1792" s="51" t="s">
        <v>4812</v>
      </c>
      <c r="H1792" s="54"/>
      <c r="I1792" s="55">
        <v>53</v>
      </c>
      <c r="K1792" s="51" t="s">
        <v>6203</v>
      </c>
    </row>
    <row r="1793" spans="1:11">
      <c r="A1793" s="51">
        <v>1759</v>
      </c>
      <c r="B1793" s="51" t="s">
        <v>6202</v>
      </c>
      <c r="C1793" s="51" t="s">
        <v>6203</v>
      </c>
      <c r="D1793" s="52" t="s">
        <v>3368</v>
      </c>
      <c r="E1793" s="52" t="s">
        <v>3367</v>
      </c>
      <c r="F1793" s="53" t="s">
        <v>4995</v>
      </c>
      <c r="G1793" s="51" t="s">
        <v>4812</v>
      </c>
      <c r="H1793" s="54"/>
      <c r="I1793" s="55">
        <v>37</v>
      </c>
      <c r="K1793" s="51" t="s">
        <v>6203</v>
      </c>
    </row>
    <row r="1794" spans="1:11">
      <c r="A1794" s="51">
        <v>1760</v>
      </c>
      <c r="B1794" s="51" t="s">
        <v>6202</v>
      </c>
      <c r="C1794" s="51" t="s">
        <v>6203</v>
      </c>
      <c r="D1794" s="52" t="s">
        <v>3398</v>
      </c>
      <c r="E1794" s="52" t="s">
        <v>3397</v>
      </c>
      <c r="F1794" s="53" t="s">
        <v>6204</v>
      </c>
      <c r="G1794" s="51" t="s">
        <v>4812</v>
      </c>
      <c r="H1794" s="54"/>
      <c r="I1794" s="55">
        <v>39</v>
      </c>
      <c r="K1794" s="51" t="s">
        <v>6203</v>
      </c>
    </row>
    <row r="1795" spans="1:11">
      <c r="A1795" s="51">
        <v>1761</v>
      </c>
      <c r="B1795" s="51" t="s">
        <v>6202</v>
      </c>
      <c r="C1795" s="51" t="s">
        <v>6203</v>
      </c>
      <c r="D1795" s="52" t="s">
        <v>3366</v>
      </c>
      <c r="E1795" s="52" t="s">
        <v>3365</v>
      </c>
      <c r="F1795" s="53" t="s">
        <v>4995</v>
      </c>
      <c r="G1795" s="51" t="s">
        <v>4812</v>
      </c>
      <c r="H1795" s="54"/>
      <c r="I1795" s="55">
        <v>13</v>
      </c>
      <c r="K1795" s="51" t="s">
        <v>6203</v>
      </c>
    </row>
    <row r="1796" spans="1:11">
      <c r="A1796" s="51">
        <v>1762</v>
      </c>
      <c r="B1796" s="51" t="s">
        <v>6202</v>
      </c>
      <c r="C1796" s="51" t="s">
        <v>6203</v>
      </c>
      <c r="D1796" s="52" t="s">
        <v>1527</v>
      </c>
      <c r="E1796" s="52" t="s">
        <v>1526</v>
      </c>
      <c r="F1796" s="53" t="s">
        <v>6205</v>
      </c>
      <c r="G1796" s="51" t="s">
        <v>4812</v>
      </c>
      <c r="H1796" s="54"/>
      <c r="I1796" s="55">
        <v>28</v>
      </c>
      <c r="K1796" s="51" t="s">
        <v>6203</v>
      </c>
    </row>
    <row r="1797" spans="1:11">
      <c r="A1797" s="51">
        <v>1763</v>
      </c>
      <c r="B1797" s="51" t="s">
        <v>6202</v>
      </c>
      <c r="C1797" s="51" t="s">
        <v>6203</v>
      </c>
      <c r="D1797" s="52" t="s">
        <v>1505</v>
      </c>
      <c r="E1797" s="52" t="s">
        <v>1504</v>
      </c>
      <c r="F1797" s="53" t="s">
        <v>6206</v>
      </c>
      <c r="G1797" s="51" t="s">
        <v>4812</v>
      </c>
      <c r="H1797" s="54"/>
      <c r="I1797" s="55">
        <v>36</v>
      </c>
      <c r="K1797" s="51" t="s">
        <v>6203</v>
      </c>
    </row>
    <row r="1798" spans="1:11">
      <c r="A1798" s="51">
        <v>1764</v>
      </c>
      <c r="B1798" s="51" t="s">
        <v>6202</v>
      </c>
      <c r="C1798" s="51" t="s">
        <v>6203</v>
      </c>
      <c r="D1798" s="52" t="s">
        <v>2282</v>
      </c>
      <c r="E1798" s="52" t="s">
        <v>6207</v>
      </c>
      <c r="F1798" s="53" t="s">
        <v>6208</v>
      </c>
      <c r="G1798" s="51" t="s">
        <v>4812</v>
      </c>
      <c r="H1798" s="54"/>
      <c r="I1798" s="55">
        <v>22</v>
      </c>
      <c r="K1798" s="51" t="s">
        <v>6203</v>
      </c>
    </row>
    <row r="1799" spans="1:11">
      <c r="A1799" s="51">
        <v>1765</v>
      </c>
      <c r="B1799" s="51" t="s">
        <v>6202</v>
      </c>
      <c r="C1799" s="51" t="s">
        <v>6203</v>
      </c>
      <c r="D1799" s="52" t="s">
        <v>2270</v>
      </c>
      <c r="E1799" s="52" t="s">
        <v>2269</v>
      </c>
      <c r="F1799" s="53" t="s">
        <v>6209</v>
      </c>
      <c r="G1799" s="51" t="s">
        <v>4812</v>
      </c>
      <c r="H1799" s="54"/>
      <c r="I1799" s="55">
        <v>19</v>
      </c>
      <c r="K1799" s="51" t="s">
        <v>6203</v>
      </c>
    </row>
    <row r="1800" spans="1:11">
      <c r="A1800" s="51">
        <v>1766</v>
      </c>
      <c r="B1800" s="51" t="s">
        <v>6202</v>
      </c>
      <c r="C1800" s="51" t="s">
        <v>6203</v>
      </c>
      <c r="D1800" s="52" t="s">
        <v>6210</v>
      </c>
      <c r="E1800" s="52" t="s">
        <v>6211</v>
      </c>
      <c r="F1800" s="53" t="s">
        <v>6212</v>
      </c>
      <c r="G1800" s="51" t="s">
        <v>4812</v>
      </c>
      <c r="H1800" s="54"/>
      <c r="I1800" s="55">
        <v>26</v>
      </c>
      <c r="K1800" s="51" t="s">
        <v>6203</v>
      </c>
    </row>
    <row r="1801" spans="1:11">
      <c r="A1801" s="51">
        <v>1767</v>
      </c>
      <c r="B1801" s="51" t="s">
        <v>6202</v>
      </c>
      <c r="C1801" s="51" t="s">
        <v>6203</v>
      </c>
      <c r="D1801" s="52" t="s">
        <v>6213</v>
      </c>
      <c r="E1801" s="52"/>
      <c r="F1801" s="53"/>
      <c r="G1801" s="51" t="s">
        <v>4812</v>
      </c>
      <c r="H1801" s="54"/>
      <c r="I1801" s="55">
        <v>23</v>
      </c>
      <c r="K1801" s="51" t="s">
        <v>6203</v>
      </c>
    </row>
    <row r="1802" spans="1:11">
      <c r="A1802" s="51">
        <v>1768</v>
      </c>
      <c r="B1802" s="51" t="s">
        <v>6202</v>
      </c>
      <c r="C1802" s="51" t="s">
        <v>6203</v>
      </c>
      <c r="D1802" s="52" t="s">
        <v>2532</v>
      </c>
      <c r="E1802" s="52" t="s">
        <v>2531</v>
      </c>
      <c r="F1802" s="53" t="s">
        <v>6214</v>
      </c>
      <c r="G1802" s="51" t="s">
        <v>4812</v>
      </c>
      <c r="H1802" s="54"/>
      <c r="I1802" s="55">
        <v>0</v>
      </c>
      <c r="K1802" s="51" t="s">
        <v>6203</v>
      </c>
    </row>
    <row r="1803" spans="1:11">
      <c r="A1803" s="51">
        <v>1769</v>
      </c>
      <c r="B1803" s="51" t="s">
        <v>6202</v>
      </c>
      <c r="C1803" s="51" t="s">
        <v>6203</v>
      </c>
      <c r="D1803" s="52" t="s">
        <v>2534</v>
      </c>
      <c r="E1803" s="52" t="s">
        <v>6215</v>
      </c>
      <c r="F1803" s="53" t="s">
        <v>6214</v>
      </c>
      <c r="G1803" s="51" t="s">
        <v>4812</v>
      </c>
      <c r="H1803" s="54"/>
      <c r="I1803" s="55">
        <v>102</v>
      </c>
      <c r="K1803" s="51" t="s">
        <v>6203</v>
      </c>
    </row>
    <row r="1804" spans="1:11">
      <c r="A1804" s="51">
        <v>1770</v>
      </c>
      <c r="B1804" s="51" t="s">
        <v>6202</v>
      </c>
      <c r="C1804" s="51" t="s">
        <v>6203</v>
      </c>
      <c r="D1804" s="52" t="s">
        <v>4827</v>
      </c>
      <c r="E1804" s="52" t="s">
        <v>4828</v>
      </c>
      <c r="F1804" s="53" t="s">
        <v>100</v>
      </c>
      <c r="G1804" s="51" t="s">
        <v>4812</v>
      </c>
      <c r="H1804" s="54"/>
      <c r="I1804" s="55">
        <v>200</v>
      </c>
      <c r="K1804" s="51" t="s">
        <v>6203</v>
      </c>
    </row>
    <row r="1805" spans="1:11">
      <c r="A1805" s="51">
        <v>1771</v>
      </c>
      <c r="B1805" s="51" t="s">
        <v>6202</v>
      </c>
      <c r="C1805" s="51" t="s">
        <v>6203</v>
      </c>
      <c r="D1805" s="52" t="s">
        <v>2394</v>
      </c>
      <c r="E1805" s="52" t="s">
        <v>2393</v>
      </c>
      <c r="F1805" s="53" t="s">
        <v>118</v>
      </c>
      <c r="G1805" s="51" t="s">
        <v>4812</v>
      </c>
      <c r="H1805" s="54"/>
      <c r="I1805" s="55">
        <v>267</v>
      </c>
      <c r="K1805" s="51" t="s">
        <v>6203</v>
      </c>
    </row>
    <row r="1806" spans="1:11">
      <c r="A1806" s="51">
        <v>1772</v>
      </c>
      <c r="B1806" s="51" t="s">
        <v>6202</v>
      </c>
      <c r="C1806" s="51" t="s">
        <v>6203</v>
      </c>
      <c r="D1806" s="52" t="s">
        <v>2406</v>
      </c>
      <c r="E1806" s="52" t="s">
        <v>2405</v>
      </c>
      <c r="F1806" s="53" t="s">
        <v>5492</v>
      </c>
      <c r="G1806" s="51" t="s">
        <v>4812</v>
      </c>
      <c r="H1806" s="54"/>
      <c r="I1806" s="55">
        <v>823</v>
      </c>
      <c r="K1806" s="51" t="s">
        <v>6203</v>
      </c>
    </row>
    <row r="1807" spans="1:11">
      <c r="A1807" s="51">
        <v>1773</v>
      </c>
      <c r="B1807" s="51" t="s">
        <v>6202</v>
      </c>
      <c r="C1807" s="51" t="s">
        <v>6203</v>
      </c>
      <c r="D1807" s="52" t="s">
        <v>6216</v>
      </c>
      <c r="E1807" s="52" t="s">
        <v>6217</v>
      </c>
      <c r="F1807" s="53" t="s">
        <v>100</v>
      </c>
      <c r="G1807" s="51" t="s">
        <v>4812</v>
      </c>
      <c r="H1807" s="54"/>
      <c r="I1807" s="55">
        <v>376</v>
      </c>
      <c r="K1807" s="51" t="s">
        <v>6203</v>
      </c>
    </row>
    <row r="1808" spans="1:11">
      <c r="A1808" s="51">
        <v>1774</v>
      </c>
      <c r="B1808" s="51" t="s">
        <v>6202</v>
      </c>
      <c r="C1808" s="51" t="s">
        <v>6203</v>
      </c>
      <c r="D1808" s="52" t="s">
        <v>2398</v>
      </c>
      <c r="E1808" s="52" t="s">
        <v>2397</v>
      </c>
      <c r="F1808" s="53" t="s">
        <v>6218</v>
      </c>
      <c r="G1808" s="51" t="s">
        <v>4812</v>
      </c>
      <c r="H1808" s="54"/>
      <c r="I1808" s="55">
        <v>403</v>
      </c>
      <c r="K1808" s="51" t="s">
        <v>6203</v>
      </c>
    </row>
    <row r="1809" spans="1:11">
      <c r="A1809" s="51">
        <v>1775</v>
      </c>
      <c r="B1809" s="51" t="s">
        <v>6202</v>
      </c>
      <c r="C1809" s="51" t="s">
        <v>6203</v>
      </c>
      <c r="D1809" s="52" t="s">
        <v>2298</v>
      </c>
      <c r="E1809" s="52" t="s">
        <v>2297</v>
      </c>
      <c r="F1809" s="53" t="s">
        <v>5398</v>
      </c>
      <c r="G1809" s="51" t="s">
        <v>4812</v>
      </c>
      <c r="H1809" s="54"/>
      <c r="I1809" s="55">
        <v>9</v>
      </c>
      <c r="K1809" s="51" t="s">
        <v>6203</v>
      </c>
    </row>
    <row r="1810" spans="1:11">
      <c r="A1810" s="51">
        <v>1776</v>
      </c>
      <c r="B1810" s="51" t="s">
        <v>6202</v>
      </c>
      <c r="C1810" s="51" t="s">
        <v>6203</v>
      </c>
      <c r="D1810" s="52" t="s">
        <v>2304</v>
      </c>
      <c r="E1810" s="52" t="s">
        <v>2303</v>
      </c>
      <c r="F1810" s="53" t="s">
        <v>5398</v>
      </c>
      <c r="G1810" s="51" t="s">
        <v>4812</v>
      </c>
      <c r="H1810" s="54"/>
      <c r="I1810" s="55">
        <v>112</v>
      </c>
      <c r="K1810" s="51" t="s">
        <v>6203</v>
      </c>
    </row>
    <row r="1811" spans="1:11">
      <c r="A1811" s="51">
        <v>1777</v>
      </c>
      <c r="B1811" s="51" t="s">
        <v>6202</v>
      </c>
      <c r="C1811" s="51" t="s">
        <v>6203</v>
      </c>
      <c r="D1811" s="52" t="s">
        <v>2338</v>
      </c>
      <c r="E1811" s="52" t="s">
        <v>2337</v>
      </c>
      <c r="F1811" s="53" t="s">
        <v>5397</v>
      </c>
      <c r="G1811" s="51" t="s">
        <v>4812</v>
      </c>
      <c r="H1811" s="54"/>
      <c r="I1811" s="55">
        <v>30</v>
      </c>
      <c r="K1811" s="51" t="s">
        <v>6203</v>
      </c>
    </row>
    <row r="1812" spans="1:11">
      <c r="A1812" s="51">
        <v>1778</v>
      </c>
      <c r="B1812" s="51" t="s">
        <v>6202</v>
      </c>
      <c r="C1812" s="51" t="s">
        <v>6203</v>
      </c>
      <c r="D1812" s="52" t="s">
        <v>2342</v>
      </c>
      <c r="E1812" s="52" t="s">
        <v>2341</v>
      </c>
      <c r="F1812" s="53" t="s">
        <v>6219</v>
      </c>
      <c r="G1812" s="51" t="s">
        <v>4812</v>
      </c>
      <c r="H1812" s="54"/>
      <c r="I1812" s="55">
        <v>35</v>
      </c>
      <c r="K1812" s="51" t="s">
        <v>6203</v>
      </c>
    </row>
    <row r="1813" spans="1:11">
      <c r="A1813" s="51">
        <v>1779</v>
      </c>
      <c r="B1813" s="51" t="s">
        <v>6202</v>
      </c>
      <c r="C1813" s="51" t="s">
        <v>6203</v>
      </c>
      <c r="D1813" s="52" t="s">
        <v>2346</v>
      </c>
      <c r="E1813" s="52" t="s">
        <v>2345</v>
      </c>
      <c r="F1813" s="53" t="s">
        <v>5397</v>
      </c>
      <c r="G1813" s="51" t="s">
        <v>4812</v>
      </c>
      <c r="H1813" s="54"/>
      <c r="I1813" s="55">
        <v>15</v>
      </c>
      <c r="K1813" s="51" t="s">
        <v>6203</v>
      </c>
    </row>
    <row r="1814" spans="1:11">
      <c r="A1814" s="51">
        <v>1780</v>
      </c>
      <c r="B1814" s="51" t="s">
        <v>6202</v>
      </c>
      <c r="C1814" s="51" t="s">
        <v>6203</v>
      </c>
      <c r="D1814" s="52" t="s">
        <v>2350</v>
      </c>
      <c r="E1814" s="52" t="s">
        <v>2349</v>
      </c>
      <c r="F1814" s="53" t="s">
        <v>6219</v>
      </c>
      <c r="G1814" s="51" t="s">
        <v>4812</v>
      </c>
      <c r="H1814" s="54"/>
      <c r="I1814" s="55">
        <v>42</v>
      </c>
      <c r="K1814" s="51" t="s">
        <v>6203</v>
      </c>
    </row>
    <row r="1815" spans="1:11">
      <c r="A1815" s="51">
        <v>1781</v>
      </c>
      <c r="B1815" s="51" t="s">
        <v>6202</v>
      </c>
      <c r="C1815" s="51" t="s">
        <v>6203</v>
      </c>
      <c r="D1815" s="52" t="s">
        <v>2272</v>
      </c>
      <c r="E1815" s="52" t="s">
        <v>2271</v>
      </c>
      <c r="F1815" s="53" t="s">
        <v>6209</v>
      </c>
      <c r="G1815" s="51" t="s">
        <v>4812</v>
      </c>
      <c r="H1815" s="54"/>
      <c r="I1815" s="55">
        <v>46</v>
      </c>
      <c r="K1815" s="51" t="s">
        <v>6203</v>
      </c>
    </row>
    <row r="1816" spans="1:11">
      <c r="A1816" s="51">
        <v>1782</v>
      </c>
      <c r="B1816" s="51" t="s">
        <v>6202</v>
      </c>
      <c r="C1816" s="51" t="s">
        <v>6203</v>
      </c>
      <c r="D1816" s="52" t="s">
        <v>2284</v>
      </c>
      <c r="E1816" s="52" t="s">
        <v>6220</v>
      </c>
      <c r="F1816" s="53" t="s">
        <v>6208</v>
      </c>
      <c r="G1816" s="51" t="s">
        <v>4812</v>
      </c>
      <c r="H1816" s="54"/>
      <c r="I1816" s="55">
        <v>24</v>
      </c>
      <c r="K1816" s="51" t="s">
        <v>6203</v>
      </c>
    </row>
    <row r="1817" spans="1:11">
      <c r="A1817" s="51">
        <v>1783</v>
      </c>
      <c r="B1817" s="51" t="s">
        <v>6202</v>
      </c>
      <c r="C1817" s="51" t="s">
        <v>6203</v>
      </c>
      <c r="D1817" s="52" t="s">
        <v>4035</v>
      </c>
      <c r="E1817" s="52" t="s">
        <v>4034</v>
      </c>
      <c r="F1817" s="53" t="s">
        <v>6221</v>
      </c>
      <c r="G1817" s="51" t="s">
        <v>4812</v>
      </c>
      <c r="H1817" s="54"/>
      <c r="I1817" s="55">
        <v>95</v>
      </c>
      <c r="K1817" s="51" t="s">
        <v>6203</v>
      </c>
    </row>
    <row r="1818" spans="1:11">
      <c r="A1818" s="51">
        <v>1784</v>
      </c>
      <c r="B1818" s="51" t="s">
        <v>6202</v>
      </c>
      <c r="C1818" s="51" t="s">
        <v>6203</v>
      </c>
      <c r="D1818" s="52" t="s">
        <v>2511</v>
      </c>
      <c r="E1818" s="52" t="s">
        <v>2510</v>
      </c>
      <c r="F1818" s="53" t="s">
        <v>5432</v>
      </c>
      <c r="G1818" s="51" t="s">
        <v>4812</v>
      </c>
      <c r="H1818" s="54"/>
      <c r="I1818" s="55">
        <v>414</v>
      </c>
      <c r="K1818" s="51" t="s">
        <v>6203</v>
      </c>
    </row>
    <row r="1819" spans="1:11">
      <c r="A1819" s="51">
        <v>1785</v>
      </c>
      <c r="B1819" s="51" t="s">
        <v>6202</v>
      </c>
      <c r="C1819" s="51" t="s">
        <v>6203</v>
      </c>
      <c r="D1819" s="52" t="s">
        <v>2518</v>
      </c>
      <c r="E1819" s="52" t="s">
        <v>2517</v>
      </c>
      <c r="F1819" s="53" t="s">
        <v>5432</v>
      </c>
      <c r="G1819" s="51" t="s">
        <v>4812</v>
      </c>
      <c r="H1819" s="54"/>
      <c r="I1819" s="55">
        <v>134</v>
      </c>
      <c r="K1819" s="51" t="s">
        <v>6203</v>
      </c>
    </row>
    <row r="1820" spans="1:11">
      <c r="A1820" s="51">
        <v>1786</v>
      </c>
      <c r="B1820" s="51" t="s">
        <v>6202</v>
      </c>
      <c r="C1820" s="51" t="s">
        <v>6203</v>
      </c>
      <c r="D1820" s="52" t="s">
        <v>2167</v>
      </c>
      <c r="E1820" s="52" t="s">
        <v>2166</v>
      </c>
      <c r="F1820" s="53" t="s">
        <v>5452</v>
      </c>
      <c r="G1820" s="51" t="s">
        <v>4812</v>
      </c>
      <c r="H1820" s="54"/>
      <c r="I1820" s="55">
        <v>13</v>
      </c>
      <c r="K1820" s="51" t="s">
        <v>6203</v>
      </c>
    </row>
    <row r="1821" spans="1:11">
      <c r="A1821" s="51">
        <v>1787</v>
      </c>
      <c r="B1821" s="51" t="s">
        <v>6202</v>
      </c>
      <c r="C1821" s="51" t="s">
        <v>6203</v>
      </c>
      <c r="D1821" s="52" t="s">
        <v>2187</v>
      </c>
      <c r="E1821" s="52" t="s">
        <v>2186</v>
      </c>
      <c r="F1821" s="53" t="s">
        <v>5453</v>
      </c>
      <c r="G1821" s="51" t="s">
        <v>4812</v>
      </c>
      <c r="H1821" s="54"/>
      <c r="I1821" s="55">
        <v>36</v>
      </c>
      <c r="K1821" s="51" t="s">
        <v>6203</v>
      </c>
    </row>
    <row r="1822" spans="1:11">
      <c r="A1822" s="51">
        <v>1788</v>
      </c>
      <c r="B1822" s="51" t="s">
        <v>6202</v>
      </c>
      <c r="C1822" s="51" t="s">
        <v>6203</v>
      </c>
      <c r="D1822" s="52" t="s">
        <v>2300</v>
      </c>
      <c r="E1822" s="52" t="s">
        <v>2299</v>
      </c>
      <c r="F1822" s="53" t="s">
        <v>5516</v>
      </c>
      <c r="G1822" s="51" t="s">
        <v>4812</v>
      </c>
      <c r="H1822" s="54"/>
      <c r="I1822" s="55">
        <v>187</v>
      </c>
      <c r="K1822" s="51" t="s">
        <v>6203</v>
      </c>
    </row>
    <row r="1823" spans="1:11">
      <c r="A1823" s="51">
        <v>1789</v>
      </c>
      <c r="B1823" s="51" t="s">
        <v>6202</v>
      </c>
      <c r="C1823" s="51" t="s">
        <v>6203</v>
      </c>
      <c r="D1823" s="52" t="s">
        <v>2290</v>
      </c>
      <c r="E1823" s="52" t="s">
        <v>2289</v>
      </c>
      <c r="F1823" s="53" t="s">
        <v>5516</v>
      </c>
      <c r="G1823" s="51" t="s">
        <v>4812</v>
      </c>
      <c r="H1823" s="54"/>
      <c r="I1823" s="55">
        <v>370</v>
      </c>
      <c r="K1823" s="51" t="s">
        <v>6203</v>
      </c>
    </row>
    <row r="1824" spans="1:11">
      <c r="A1824" s="51">
        <v>1790</v>
      </c>
      <c r="B1824" s="51" t="s">
        <v>6202</v>
      </c>
      <c r="C1824" s="51" t="s">
        <v>6203</v>
      </c>
      <c r="D1824" s="52" t="s">
        <v>2314</v>
      </c>
      <c r="E1824" s="52" t="s">
        <v>2313</v>
      </c>
      <c r="F1824" s="53" t="s">
        <v>6222</v>
      </c>
      <c r="G1824" s="51" t="s">
        <v>4812</v>
      </c>
      <c r="H1824" s="54"/>
      <c r="I1824" s="55">
        <v>3</v>
      </c>
      <c r="K1824" s="51" t="s">
        <v>6203</v>
      </c>
    </row>
    <row r="1825" spans="1:11">
      <c r="A1825" s="51">
        <v>1791</v>
      </c>
      <c r="B1825" s="51" t="s">
        <v>6202</v>
      </c>
      <c r="C1825" s="51" t="s">
        <v>6203</v>
      </c>
      <c r="D1825" s="52" t="s">
        <v>2382</v>
      </c>
      <c r="E1825" s="52" t="s">
        <v>2381</v>
      </c>
      <c r="F1825" s="53" t="s">
        <v>5495</v>
      </c>
      <c r="G1825" s="51" t="s">
        <v>4812</v>
      </c>
      <c r="H1825" s="54"/>
      <c r="I1825" s="55">
        <v>11</v>
      </c>
      <c r="K1825" s="51" t="s">
        <v>6203</v>
      </c>
    </row>
    <row r="1826" spans="1:11">
      <c r="A1826" s="51">
        <v>1792</v>
      </c>
      <c r="B1826" s="51" t="s">
        <v>6202</v>
      </c>
      <c r="C1826" s="51" t="s">
        <v>6203</v>
      </c>
      <c r="D1826" s="52" t="s">
        <v>2352</v>
      </c>
      <c r="E1826" s="52" t="s">
        <v>2351</v>
      </c>
      <c r="F1826" s="53" t="s">
        <v>5397</v>
      </c>
      <c r="G1826" s="51" t="s">
        <v>4812</v>
      </c>
      <c r="H1826" s="54"/>
      <c r="I1826" s="55">
        <v>15</v>
      </c>
      <c r="K1826" s="51" t="s">
        <v>6203</v>
      </c>
    </row>
    <row r="1827" spans="1:11">
      <c r="A1827" s="51">
        <v>1793</v>
      </c>
      <c r="B1827" s="51" t="s">
        <v>6202</v>
      </c>
      <c r="C1827" s="51" t="s">
        <v>6203</v>
      </c>
      <c r="D1827" s="52" t="s">
        <v>2318</v>
      </c>
      <c r="E1827" s="52" t="s">
        <v>2317</v>
      </c>
      <c r="F1827" s="53" t="s">
        <v>6222</v>
      </c>
      <c r="G1827" s="51" t="s">
        <v>4812</v>
      </c>
      <c r="H1827" s="54"/>
      <c r="I1827" s="55">
        <v>24</v>
      </c>
      <c r="K1827" s="51" t="s">
        <v>6203</v>
      </c>
    </row>
    <row r="1828" spans="1:11">
      <c r="A1828" s="51">
        <v>1794</v>
      </c>
      <c r="B1828" s="51" t="s">
        <v>6202</v>
      </c>
      <c r="C1828" s="51" t="s">
        <v>6203</v>
      </c>
      <c r="D1828" s="52" t="s">
        <v>2344</v>
      </c>
      <c r="E1828" s="52" t="s">
        <v>2343</v>
      </c>
      <c r="F1828" s="53" t="s">
        <v>5397</v>
      </c>
      <c r="G1828" s="51" t="s">
        <v>4812</v>
      </c>
      <c r="H1828" s="54"/>
      <c r="I1828" s="55">
        <v>44</v>
      </c>
      <c r="K1828" s="51" t="s">
        <v>6203</v>
      </c>
    </row>
    <row r="1829" spans="1:11">
      <c r="A1829" s="51">
        <v>1795</v>
      </c>
      <c r="B1829" s="51" t="s">
        <v>6202</v>
      </c>
      <c r="C1829" s="51" t="s">
        <v>6203</v>
      </c>
      <c r="D1829" s="52" t="s">
        <v>2316</v>
      </c>
      <c r="E1829" s="52" t="s">
        <v>2315</v>
      </c>
      <c r="F1829" s="53" t="s">
        <v>6222</v>
      </c>
      <c r="G1829" s="51" t="s">
        <v>4812</v>
      </c>
      <c r="H1829" s="54"/>
      <c r="I1829" s="55">
        <v>78</v>
      </c>
      <c r="K1829" s="51" t="s">
        <v>6203</v>
      </c>
    </row>
    <row r="1830" spans="1:11">
      <c r="A1830" s="51">
        <v>1796</v>
      </c>
      <c r="B1830" s="51" t="s">
        <v>6202</v>
      </c>
      <c r="C1830" s="51" t="s">
        <v>6203</v>
      </c>
      <c r="D1830" s="52" t="s">
        <v>2380</v>
      </c>
      <c r="E1830" s="52" t="s">
        <v>2379</v>
      </c>
      <c r="F1830" s="53" t="s">
        <v>5495</v>
      </c>
      <c r="G1830" s="51" t="s">
        <v>4812</v>
      </c>
      <c r="H1830" s="54"/>
      <c r="I1830" s="55">
        <v>57</v>
      </c>
      <c r="K1830" s="51" t="s">
        <v>6203</v>
      </c>
    </row>
    <row r="1831" spans="1:11">
      <c r="A1831" s="51">
        <v>1797</v>
      </c>
      <c r="B1831" s="51" t="s">
        <v>6202</v>
      </c>
      <c r="C1831" s="51" t="s">
        <v>6203</v>
      </c>
      <c r="D1831" s="52" t="s">
        <v>1445</v>
      </c>
      <c r="E1831" s="52" t="s">
        <v>1444</v>
      </c>
      <c r="F1831" s="53" t="s">
        <v>4993</v>
      </c>
      <c r="G1831" s="51" t="s">
        <v>4812</v>
      </c>
      <c r="H1831" s="54"/>
      <c r="I1831" s="55">
        <v>48</v>
      </c>
      <c r="K1831" s="51" t="s">
        <v>6203</v>
      </c>
    </row>
    <row r="1832" spans="1:11">
      <c r="A1832" s="51">
        <v>1798</v>
      </c>
      <c r="B1832" s="51" t="s">
        <v>6202</v>
      </c>
      <c r="C1832" s="51" t="s">
        <v>6203</v>
      </c>
      <c r="D1832" s="52" t="s">
        <v>1477</v>
      </c>
      <c r="E1832" s="52" t="s">
        <v>1476</v>
      </c>
      <c r="F1832" s="53" t="s">
        <v>4992</v>
      </c>
      <c r="G1832" s="51" t="s">
        <v>4812</v>
      </c>
      <c r="H1832" s="54"/>
      <c r="I1832" s="55">
        <v>47</v>
      </c>
      <c r="K1832" s="51" t="s">
        <v>6203</v>
      </c>
    </row>
    <row r="1833" spans="1:11">
      <c r="A1833" s="51">
        <v>1799</v>
      </c>
      <c r="B1833" s="51" t="s">
        <v>6202</v>
      </c>
      <c r="C1833" s="51" t="s">
        <v>6203</v>
      </c>
      <c r="D1833" s="52" t="s">
        <v>1443</v>
      </c>
      <c r="E1833" s="52" t="s">
        <v>1442</v>
      </c>
      <c r="F1833" s="53" t="s">
        <v>4993</v>
      </c>
      <c r="G1833" s="51" t="s">
        <v>4812</v>
      </c>
      <c r="H1833" s="54"/>
      <c r="I1833" s="55">
        <v>39</v>
      </c>
      <c r="K1833" s="51" t="s">
        <v>6203</v>
      </c>
    </row>
    <row r="1834" spans="1:11">
      <c r="A1834" s="51">
        <v>1800</v>
      </c>
      <c r="B1834" s="51" t="s">
        <v>6202</v>
      </c>
      <c r="C1834" s="51" t="s">
        <v>6203</v>
      </c>
      <c r="D1834" s="52" t="s">
        <v>1479</v>
      </c>
      <c r="E1834" s="52" t="s">
        <v>1478</v>
      </c>
      <c r="F1834" s="53" t="s">
        <v>4992</v>
      </c>
      <c r="G1834" s="51" t="s">
        <v>4812</v>
      </c>
      <c r="H1834" s="54"/>
      <c r="I1834" s="55">
        <v>32</v>
      </c>
      <c r="K1834" s="51" t="s">
        <v>6203</v>
      </c>
    </row>
    <row r="1835" spans="1:11">
      <c r="A1835" s="51">
        <v>1801</v>
      </c>
      <c r="B1835" s="51" t="s">
        <v>6202</v>
      </c>
      <c r="C1835" s="51" t="s">
        <v>6203</v>
      </c>
      <c r="D1835" s="52" t="s">
        <v>6223</v>
      </c>
      <c r="E1835" s="52"/>
      <c r="F1835" s="53"/>
      <c r="G1835" s="51" t="s">
        <v>4812</v>
      </c>
      <c r="H1835" s="54"/>
      <c r="I1835" s="55">
        <v>73</v>
      </c>
      <c r="K1835" s="51" t="s">
        <v>6203</v>
      </c>
    </row>
    <row r="1836" spans="1:11">
      <c r="A1836" s="51">
        <v>1802</v>
      </c>
      <c r="B1836" s="51" t="s">
        <v>6202</v>
      </c>
      <c r="C1836" s="51" t="s">
        <v>6203</v>
      </c>
      <c r="D1836" s="52" t="s">
        <v>6224</v>
      </c>
      <c r="E1836" s="52"/>
      <c r="F1836" s="53"/>
      <c r="G1836" s="51" t="s">
        <v>4812</v>
      </c>
      <c r="H1836" s="54"/>
      <c r="I1836" s="55">
        <v>84</v>
      </c>
      <c r="K1836" s="51" t="s">
        <v>6203</v>
      </c>
    </row>
    <row r="1837" spans="1:11">
      <c r="A1837" s="51">
        <v>1803</v>
      </c>
      <c r="B1837" s="51" t="s">
        <v>6202</v>
      </c>
      <c r="C1837" s="51" t="s">
        <v>6203</v>
      </c>
      <c r="D1837" s="52" t="s">
        <v>6225</v>
      </c>
      <c r="E1837" s="52"/>
      <c r="F1837" s="53"/>
      <c r="G1837" s="51" t="s">
        <v>4812</v>
      </c>
      <c r="H1837" s="54"/>
      <c r="I1837" s="55">
        <v>22</v>
      </c>
      <c r="K1837" s="51" t="s">
        <v>6203</v>
      </c>
    </row>
    <row r="1838" spans="1:11">
      <c r="A1838" s="51">
        <v>1804</v>
      </c>
      <c r="B1838" s="51" t="s">
        <v>6202</v>
      </c>
      <c r="C1838" s="51" t="s">
        <v>6203</v>
      </c>
      <c r="D1838" s="52" t="s">
        <v>6226</v>
      </c>
      <c r="E1838" s="52"/>
      <c r="F1838" s="53"/>
      <c r="G1838" s="51" t="s">
        <v>4812</v>
      </c>
      <c r="H1838" s="54"/>
      <c r="I1838" s="55">
        <v>0</v>
      </c>
      <c r="K1838" s="51" t="s">
        <v>6203</v>
      </c>
    </row>
    <row r="1839" spans="1:11">
      <c r="A1839" s="51">
        <v>1805</v>
      </c>
      <c r="B1839" s="51" t="s">
        <v>6202</v>
      </c>
      <c r="C1839" s="51" t="s">
        <v>6203</v>
      </c>
      <c r="D1839" s="52" t="s">
        <v>2086</v>
      </c>
      <c r="E1839" s="52" t="s">
        <v>2085</v>
      </c>
      <c r="F1839" s="53" t="s">
        <v>6227</v>
      </c>
      <c r="G1839" s="51" t="s">
        <v>4812</v>
      </c>
      <c r="H1839" s="54"/>
      <c r="I1839" s="55">
        <v>93</v>
      </c>
      <c r="K1839" s="51" t="s">
        <v>6203</v>
      </c>
    </row>
    <row r="1840" spans="1:11">
      <c r="A1840" s="51">
        <v>1806</v>
      </c>
      <c r="B1840" s="51" t="s">
        <v>6202</v>
      </c>
      <c r="C1840" s="51" t="s">
        <v>6203</v>
      </c>
      <c r="D1840" s="52" t="s">
        <v>2082</v>
      </c>
      <c r="E1840" s="52" t="s">
        <v>2081</v>
      </c>
      <c r="F1840" s="53" t="s">
        <v>6227</v>
      </c>
      <c r="G1840" s="51" t="s">
        <v>4812</v>
      </c>
      <c r="H1840" s="54"/>
      <c r="I1840" s="55">
        <v>60</v>
      </c>
      <c r="K1840" s="51" t="s">
        <v>6203</v>
      </c>
    </row>
    <row r="1841" spans="1:11">
      <c r="A1841" s="51">
        <v>1807</v>
      </c>
      <c r="B1841" s="51" t="s">
        <v>6202</v>
      </c>
      <c r="C1841" s="51" t="s">
        <v>6203</v>
      </c>
      <c r="D1841" s="52" t="s">
        <v>2072</v>
      </c>
      <c r="E1841" s="52" t="s">
        <v>2071</v>
      </c>
      <c r="F1841" s="53" t="s">
        <v>6228</v>
      </c>
      <c r="G1841" s="51" t="s">
        <v>4812</v>
      </c>
      <c r="H1841" s="54"/>
      <c r="I1841" s="55">
        <v>120</v>
      </c>
      <c r="K1841" s="51" t="s">
        <v>6203</v>
      </c>
    </row>
    <row r="1842" spans="1:11">
      <c r="A1842" s="51">
        <v>1808</v>
      </c>
      <c r="B1842" s="51" t="s">
        <v>6202</v>
      </c>
      <c r="C1842" s="51" t="s">
        <v>6203</v>
      </c>
      <c r="D1842" s="52" t="s">
        <v>2064</v>
      </c>
      <c r="E1842" s="52" t="s">
        <v>2063</v>
      </c>
      <c r="F1842" s="53" t="s">
        <v>6229</v>
      </c>
      <c r="G1842" s="51" t="s">
        <v>4812</v>
      </c>
      <c r="H1842" s="54"/>
      <c r="I1842" s="55">
        <v>118</v>
      </c>
      <c r="K1842" s="51" t="s">
        <v>6203</v>
      </c>
    </row>
    <row r="1843" spans="1:11">
      <c r="A1843" s="51">
        <v>1809</v>
      </c>
      <c r="B1843" s="51" t="s">
        <v>6202</v>
      </c>
      <c r="C1843" s="51" t="s">
        <v>6203</v>
      </c>
      <c r="D1843" s="52" t="s">
        <v>6230</v>
      </c>
      <c r="E1843" s="52" t="s">
        <v>6230</v>
      </c>
      <c r="F1843" s="53" t="s">
        <v>6231</v>
      </c>
      <c r="G1843" s="51" t="s">
        <v>4812</v>
      </c>
      <c r="H1843" s="54"/>
      <c r="I1843" s="55">
        <v>66</v>
      </c>
      <c r="K1843" s="51" t="s">
        <v>6203</v>
      </c>
    </row>
    <row r="1844" spans="1:11">
      <c r="A1844" s="51">
        <v>1810</v>
      </c>
      <c r="B1844" s="51" t="s">
        <v>6202</v>
      </c>
      <c r="C1844" s="51" t="s">
        <v>6203</v>
      </c>
      <c r="D1844" s="52" t="s">
        <v>6232</v>
      </c>
      <c r="E1844" s="52" t="s">
        <v>6232</v>
      </c>
      <c r="F1844" s="53" t="s">
        <v>6233</v>
      </c>
      <c r="G1844" s="51" t="s">
        <v>4812</v>
      </c>
      <c r="H1844" s="54"/>
      <c r="I1844" s="55">
        <v>63</v>
      </c>
      <c r="K1844" s="51" t="s">
        <v>6203</v>
      </c>
    </row>
    <row r="1845" spans="1:11">
      <c r="A1845" s="51">
        <v>1811</v>
      </c>
      <c r="B1845" s="51" t="s">
        <v>6202</v>
      </c>
      <c r="C1845" s="51" t="s">
        <v>6203</v>
      </c>
      <c r="D1845" s="52" t="s">
        <v>474</v>
      </c>
      <c r="E1845" s="52" t="s">
        <v>473</v>
      </c>
      <c r="F1845" s="53" t="s">
        <v>6234</v>
      </c>
      <c r="G1845" s="51" t="s">
        <v>4812</v>
      </c>
      <c r="H1845" s="54"/>
      <c r="I1845" s="55">
        <v>59</v>
      </c>
      <c r="K1845" s="51" t="s">
        <v>6203</v>
      </c>
    </row>
    <row r="1846" spans="1:11">
      <c r="A1846" s="51">
        <v>1812</v>
      </c>
      <c r="B1846" s="51" t="s">
        <v>6202</v>
      </c>
      <c r="C1846" s="51" t="s">
        <v>6203</v>
      </c>
      <c r="D1846" s="52" t="s">
        <v>476</v>
      </c>
      <c r="E1846" s="52" t="s">
        <v>475</v>
      </c>
      <c r="F1846" s="53" t="s">
        <v>6235</v>
      </c>
      <c r="G1846" s="51" t="s">
        <v>4812</v>
      </c>
      <c r="H1846" s="54"/>
      <c r="I1846" s="55">
        <v>62</v>
      </c>
      <c r="K1846" s="51" t="s">
        <v>6203</v>
      </c>
    </row>
    <row r="1847" spans="1:11">
      <c r="A1847" s="51">
        <v>1813</v>
      </c>
      <c r="B1847" s="51" t="s">
        <v>6202</v>
      </c>
      <c r="C1847" s="51" t="s">
        <v>6203</v>
      </c>
      <c r="D1847" s="52" t="s">
        <v>472</v>
      </c>
      <c r="E1847" s="52" t="s">
        <v>471</v>
      </c>
      <c r="F1847" s="53" t="s">
        <v>6234</v>
      </c>
      <c r="G1847" s="51" t="s">
        <v>4812</v>
      </c>
      <c r="H1847" s="54"/>
      <c r="I1847" s="55">
        <v>66</v>
      </c>
      <c r="K1847" s="51" t="s">
        <v>6203</v>
      </c>
    </row>
    <row r="1848" spans="1:11">
      <c r="A1848" s="51">
        <v>1814</v>
      </c>
      <c r="B1848" s="51" t="s">
        <v>6202</v>
      </c>
      <c r="C1848" s="51" t="s">
        <v>6203</v>
      </c>
      <c r="D1848" s="52" t="s">
        <v>478</v>
      </c>
      <c r="E1848" s="52" t="s">
        <v>477</v>
      </c>
      <c r="F1848" s="53" t="s">
        <v>6235</v>
      </c>
      <c r="G1848" s="51" t="s">
        <v>4812</v>
      </c>
      <c r="H1848" s="54"/>
      <c r="I1848" s="55">
        <v>59</v>
      </c>
      <c r="K1848" s="51" t="s">
        <v>6203</v>
      </c>
    </row>
    <row r="1849" spans="1:11">
      <c r="A1849" s="51">
        <v>1815</v>
      </c>
      <c r="B1849" s="51" t="s">
        <v>6202</v>
      </c>
      <c r="C1849" s="51" t="s">
        <v>6203</v>
      </c>
      <c r="D1849" s="52" t="s">
        <v>2348</v>
      </c>
      <c r="E1849" s="52" t="s">
        <v>2347</v>
      </c>
      <c r="F1849" s="53" t="s">
        <v>6236</v>
      </c>
      <c r="G1849" s="51" t="s">
        <v>4812</v>
      </c>
      <c r="H1849" s="54"/>
      <c r="I1849" s="55">
        <v>0</v>
      </c>
      <c r="K1849" s="51" t="s">
        <v>6203</v>
      </c>
    </row>
    <row r="1850" spans="1:11">
      <c r="A1850" s="51">
        <v>1816</v>
      </c>
      <c r="B1850" s="51" t="s">
        <v>6202</v>
      </c>
      <c r="C1850" s="51" t="s">
        <v>6203</v>
      </c>
      <c r="D1850" s="52" t="s">
        <v>2096</v>
      </c>
      <c r="E1850" s="52" t="s">
        <v>2095</v>
      </c>
      <c r="F1850" s="53" t="s">
        <v>6237</v>
      </c>
      <c r="G1850" s="51" t="s">
        <v>4812</v>
      </c>
      <c r="H1850" s="54"/>
      <c r="I1850" s="55">
        <v>1</v>
      </c>
      <c r="K1850" s="51" t="s">
        <v>6203</v>
      </c>
    </row>
    <row r="1851" spans="1:11">
      <c r="A1851" s="51">
        <v>1817</v>
      </c>
      <c r="B1851" s="51" t="s">
        <v>6202</v>
      </c>
      <c r="C1851" s="51" t="s">
        <v>6203</v>
      </c>
      <c r="D1851" s="52" t="s">
        <v>2354</v>
      </c>
      <c r="E1851" s="52" t="s">
        <v>2353</v>
      </c>
      <c r="F1851" s="53" t="s">
        <v>6238</v>
      </c>
      <c r="G1851" s="51" t="s">
        <v>4812</v>
      </c>
      <c r="H1851" s="54"/>
      <c r="I1851" s="55">
        <v>87</v>
      </c>
      <c r="K1851" s="51" t="s">
        <v>6203</v>
      </c>
    </row>
    <row r="1852" spans="1:11">
      <c r="A1852" s="51">
        <v>1818</v>
      </c>
      <c r="B1852" s="51" t="s">
        <v>6202</v>
      </c>
      <c r="C1852" s="51" t="s">
        <v>6203</v>
      </c>
      <c r="D1852" s="52" t="s">
        <v>3342</v>
      </c>
      <c r="E1852" s="52" t="s">
        <v>3341</v>
      </c>
      <c r="F1852" s="53" t="s">
        <v>6239</v>
      </c>
      <c r="G1852" s="51" t="s">
        <v>4812</v>
      </c>
      <c r="H1852" s="54"/>
      <c r="I1852" s="55">
        <v>35</v>
      </c>
      <c r="K1852" s="51" t="s">
        <v>6203</v>
      </c>
    </row>
    <row r="1853" spans="1:11">
      <c r="A1853" s="51">
        <v>1819</v>
      </c>
      <c r="B1853" s="51" t="s">
        <v>6202</v>
      </c>
      <c r="C1853" s="51" t="s">
        <v>6203</v>
      </c>
      <c r="D1853" s="52" t="s">
        <v>3324</v>
      </c>
      <c r="E1853" s="52" t="s">
        <v>3323</v>
      </c>
      <c r="F1853" s="53" t="s">
        <v>6240</v>
      </c>
      <c r="G1853" s="51" t="s">
        <v>4812</v>
      </c>
      <c r="H1853" s="54"/>
      <c r="I1853" s="55">
        <v>80</v>
      </c>
      <c r="K1853" s="51" t="s">
        <v>6203</v>
      </c>
    </row>
    <row r="1854" spans="1:11">
      <c r="A1854" s="51">
        <v>1820</v>
      </c>
      <c r="B1854" s="51" t="s">
        <v>6202</v>
      </c>
      <c r="C1854" s="51" t="s">
        <v>6203</v>
      </c>
      <c r="D1854" s="52" t="s">
        <v>3340</v>
      </c>
      <c r="E1854" s="52" t="s">
        <v>3339</v>
      </c>
      <c r="F1854" s="53" t="s">
        <v>6239</v>
      </c>
      <c r="G1854" s="51" t="s">
        <v>4812</v>
      </c>
      <c r="H1854" s="54"/>
      <c r="I1854" s="55">
        <v>61</v>
      </c>
      <c r="K1854" s="51" t="s">
        <v>6203</v>
      </c>
    </row>
    <row r="1855" spans="1:11">
      <c r="A1855" s="51">
        <v>1821</v>
      </c>
      <c r="B1855" s="51" t="s">
        <v>6202</v>
      </c>
      <c r="C1855" s="51" t="s">
        <v>6203</v>
      </c>
      <c r="D1855" s="52" t="s">
        <v>3322</v>
      </c>
      <c r="E1855" s="52" t="s">
        <v>3321</v>
      </c>
      <c r="F1855" s="53" t="s">
        <v>6240</v>
      </c>
      <c r="G1855" s="51" t="s">
        <v>4812</v>
      </c>
      <c r="H1855" s="54"/>
      <c r="I1855" s="55">
        <v>60</v>
      </c>
      <c r="K1855" s="51" t="s">
        <v>6203</v>
      </c>
    </row>
    <row r="1856" spans="1:11">
      <c r="A1856" s="51">
        <v>1822</v>
      </c>
      <c r="B1856" s="51" t="s">
        <v>6202</v>
      </c>
      <c r="C1856" s="51" t="s">
        <v>6203</v>
      </c>
      <c r="D1856" s="52" t="s">
        <v>2084</v>
      </c>
      <c r="E1856" s="52" t="s">
        <v>2083</v>
      </c>
      <c r="F1856" s="53" t="s">
        <v>6227</v>
      </c>
      <c r="G1856" s="51" t="s">
        <v>4812</v>
      </c>
      <c r="H1856" s="54"/>
      <c r="I1856" s="55">
        <v>9</v>
      </c>
      <c r="K1856" s="51" t="s">
        <v>6203</v>
      </c>
    </row>
    <row r="1857" spans="1:11">
      <c r="A1857" s="51">
        <v>1823</v>
      </c>
      <c r="B1857" s="51" t="s">
        <v>6202</v>
      </c>
      <c r="C1857" s="51" t="s">
        <v>6203</v>
      </c>
      <c r="D1857" s="52" t="s">
        <v>2094</v>
      </c>
      <c r="E1857" s="52" t="s">
        <v>2093</v>
      </c>
      <c r="F1857" s="53" t="s">
        <v>6237</v>
      </c>
      <c r="G1857" s="51" t="s">
        <v>4812</v>
      </c>
      <c r="H1857" s="54"/>
      <c r="I1857" s="55">
        <v>0</v>
      </c>
      <c r="K1857" s="51" t="s">
        <v>6203</v>
      </c>
    </row>
    <row r="1858" spans="1:11">
      <c r="A1858" s="51">
        <v>1824</v>
      </c>
      <c r="B1858" s="51" t="s">
        <v>6202</v>
      </c>
      <c r="C1858" s="51" t="s">
        <v>6203</v>
      </c>
      <c r="D1858" s="52" t="s">
        <v>2080</v>
      </c>
      <c r="E1858" s="52" t="s">
        <v>6241</v>
      </c>
      <c r="F1858" s="53" t="s">
        <v>6227</v>
      </c>
      <c r="G1858" s="51" t="s">
        <v>4812</v>
      </c>
      <c r="H1858" s="54"/>
      <c r="I1858" s="55">
        <v>91</v>
      </c>
      <c r="K1858" s="51" t="s">
        <v>6203</v>
      </c>
    </row>
    <row r="1859" spans="1:11">
      <c r="A1859" s="51">
        <v>1825</v>
      </c>
      <c r="B1859" s="51" t="s">
        <v>6202</v>
      </c>
      <c r="C1859" s="51" t="s">
        <v>6203</v>
      </c>
      <c r="D1859" s="52" t="s">
        <v>2090</v>
      </c>
      <c r="E1859" s="52" t="s">
        <v>6242</v>
      </c>
      <c r="F1859" s="53" t="s">
        <v>6237</v>
      </c>
      <c r="G1859" s="51" t="s">
        <v>4812</v>
      </c>
      <c r="H1859" s="54"/>
      <c r="I1859" s="55">
        <v>90</v>
      </c>
      <c r="K1859" s="51" t="s">
        <v>6203</v>
      </c>
    </row>
    <row r="1860" spans="1:11">
      <c r="A1860" s="51">
        <v>1826</v>
      </c>
      <c r="B1860" s="51" t="s">
        <v>6202</v>
      </c>
      <c r="C1860" s="51" t="s">
        <v>6203</v>
      </c>
      <c r="D1860" s="52" t="s">
        <v>2076</v>
      </c>
      <c r="E1860" s="52" t="s">
        <v>2076</v>
      </c>
      <c r="F1860" s="53" t="s">
        <v>6228</v>
      </c>
      <c r="G1860" s="51" t="s">
        <v>4812</v>
      </c>
      <c r="H1860" s="54"/>
      <c r="I1860" s="55">
        <v>90</v>
      </c>
      <c r="K1860" s="51" t="s">
        <v>6203</v>
      </c>
    </row>
    <row r="1861" spans="1:11">
      <c r="A1861" s="51">
        <v>1827</v>
      </c>
      <c r="B1861" s="51" t="s">
        <v>6202</v>
      </c>
      <c r="C1861" s="51" t="s">
        <v>6203</v>
      </c>
      <c r="D1861" s="52" t="s">
        <v>2068</v>
      </c>
      <c r="E1861" s="52" t="s">
        <v>2068</v>
      </c>
      <c r="F1861" s="53" t="s">
        <v>6229</v>
      </c>
      <c r="G1861" s="51" t="s">
        <v>4812</v>
      </c>
      <c r="H1861" s="54"/>
      <c r="I1861" s="55">
        <v>66</v>
      </c>
      <c r="K1861" s="51" t="s">
        <v>6203</v>
      </c>
    </row>
    <row r="1862" spans="1:11">
      <c r="A1862" s="51">
        <v>1828</v>
      </c>
      <c r="B1862" s="51" t="s">
        <v>6202</v>
      </c>
      <c r="C1862" s="51" t="s">
        <v>6203</v>
      </c>
      <c r="D1862" s="52" t="s">
        <v>2074</v>
      </c>
      <c r="E1862" s="52" t="s">
        <v>6243</v>
      </c>
      <c r="F1862" s="53" t="s">
        <v>6228</v>
      </c>
      <c r="G1862" s="51" t="s">
        <v>4812</v>
      </c>
      <c r="H1862" s="54"/>
      <c r="I1862" s="55">
        <v>93</v>
      </c>
      <c r="K1862" s="51" t="s">
        <v>6203</v>
      </c>
    </row>
    <row r="1863" spans="1:11">
      <c r="A1863" s="51">
        <v>1829</v>
      </c>
      <c r="B1863" s="51" t="s">
        <v>6202</v>
      </c>
      <c r="C1863" s="51" t="s">
        <v>6203</v>
      </c>
      <c r="D1863" s="52" t="s">
        <v>2066</v>
      </c>
      <c r="E1863" s="52" t="s">
        <v>6244</v>
      </c>
      <c r="F1863" s="53" t="s">
        <v>6229</v>
      </c>
      <c r="G1863" s="51" t="s">
        <v>4812</v>
      </c>
      <c r="H1863" s="54"/>
      <c r="I1863" s="55">
        <v>90</v>
      </c>
      <c r="K1863" s="51" t="s">
        <v>6203</v>
      </c>
    </row>
    <row r="1864" spans="1:11">
      <c r="A1864" s="51">
        <v>1830</v>
      </c>
      <c r="B1864" s="51" t="s">
        <v>6202</v>
      </c>
      <c r="C1864" s="51" t="s">
        <v>6203</v>
      </c>
      <c r="D1864" s="52" t="s">
        <v>2092</v>
      </c>
      <c r="E1864" s="52" t="s">
        <v>2091</v>
      </c>
      <c r="F1864" s="53" t="s">
        <v>6237</v>
      </c>
      <c r="G1864" s="51" t="s">
        <v>4812</v>
      </c>
      <c r="H1864" s="54"/>
      <c r="I1864" s="55">
        <v>63</v>
      </c>
      <c r="K1864" s="51" t="s">
        <v>6203</v>
      </c>
    </row>
    <row r="1865" spans="1:11">
      <c r="A1865" s="51">
        <v>1831</v>
      </c>
      <c r="B1865" s="51" t="s">
        <v>6202</v>
      </c>
      <c r="C1865" s="51" t="s">
        <v>6203</v>
      </c>
      <c r="D1865" s="52" t="s">
        <v>2484</v>
      </c>
      <c r="E1865" s="52" t="s">
        <v>2483</v>
      </c>
      <c r="F1865" s="53" t="s">
        <v>6245</v>
      </c>
      <c r="G1865" s="51" t="s">
        <v>4812</v>
      </c>
      <c r="H1865" s="54"/>
      <c r="I1865" s="55">
        <v>35</v>
      </c>
      <c r="K1865" s="51" t="s">
        <v>6203</v>
      </c>
    </row>
    <row r="1866" spans="1:11">
      <c r="A1866" s="51">
        <v>1832</v>
      </c>
      <c r="B1866" s="51" t="s">
        <v>6202</v>
      </c>
      <c r="C1866" s="51" t="s">
        <v>6203</v>
      </c>
      <c r="D1866" s="52" t="s">
        <v>3440</v>
      </c>
      <c r="E1866" s="52" t="s">
        <v>6246</v>
      </c>
      <c r="F1866" s="53" t="s">
        <v>6247</v>
      </c>
      <c r="G1866" s="51" t="s">
        <v>4812</v>
      </c>
      <c r="H1866" s="54"/>
      <c r="I1866" s="55">
        <v>28</v>
      </c>
      <c r="K1866" s="51" t="s">
        <v>6203</v>
      </c>
    </row>
    <row r="1867" spans="1:11">
      <c r="A1867" s="51">
        <v>1833</v>
      </c>
      <c r="B1867" s="51" t="s">
        <v>6202</v>
      </c>
      <c r="C1867" s="51" t="s">
        <v>6203</v>
      </c>
      <c r="D1867" s="52" t="s">
        <v>2595</v>
      </c>
      <c r="E1867" s="52" t="s">
        <v>2594</v>
      </c>
      <c r="F1867" s="53" t="s">
        <v>6248</v>
      </c>
      <c r="G1867" s="51" t="s">
        <v>4812</v>
      </c>
      <c r="H1867" s="54"/>
      <c r="I1867" s="55">
        <v>0</v>
      </c>
      <c r="K1867" s="51" t="s">
        <v>6203</v>
      </c>
    </row>
    <row r="1868" spans="1:11">
      <c r="A1868" s="51">
        <v>1834</v>
      </c>
      <c r="B1868" s="51" t="s">
        <v>6202</v>
      </c>
      <c r="C1868" s="51" t="s">
        <v>6203</v>
      </c>
      <c r="D1868" s="52" t="s">
        <v>2589</v>
      </c>
      <c r="E1868" s="52" t="s">
        <v>2588</v>
      </c>
      <c r="F1868" s="53" t="s">
        <v>6249</v>
      </c>
      <c r="G1868" s="51" t="s">
        <v>4812</v>
      </c>
      <c r="H1868" s="54"/>
      <c r="I1868" s="55">
        <v>44</v>
      </c>
      <c r="K1868" s="51" t="s">
        <v>6203</v>
      </c>
    </row>
    <row r="1869" spans="1:11">
      <c r="A1869" s="51">
        <v>1835</v>
      </c>
      <c r="B1869" s="51" t="s">
        <v>6202</v>
      </c>
      <c r="C1869" s="51" t="s">
        <v>6203</v>
      </c>
      <c r="D1869" s="52" t="s">
        <v>2593</v>
      </c>
      <c r="E1869" s="52" t="s">
        <v>2592</v>
      </c>
      <c r="F1869" s="53" t="s">
        <v>6250</v>
      </c>
      <c r="G1869" s="51" t="s">
        <v>4812</v>
      </c>
      <c r="H1869" s="54"/>
      <c r="I1869" s="55">
        <v>30</v>
      </c>
      <c r="K1869" s="51" t="s">
        <v>6203</v>
      </c>
    </row>
    <row r="1870" spans="1:11">
      <c r="A1870" s="51">
        <v>1836</v>
      </c>
      <c r="B1870" s="51" t="s">
        <v>6251</v>
      </c>
      <c r="C1870" s="51" t="s">
        <v>6252</v>
      </c>
      <c r="D1870" s="52" t="s">
        <v>6253</v>
      </c>
      <c r="E1870" s="52"/>
      <c r="F1870" s="53"/>
      <c r="G1870" s="51" t="s">
        <v>4812</v>
      </c>
      <c r="H1870" s="54"/>
      <c r="I1870" s="55">
        <v>0</v>
      </c>
      <c r="K1870" s="51" t="s">
        <v>6252</v>
      </c>
    </row>
    <row r="1871" spans="1:11">
      <c r="A1871" s="51">
        <v>1837</v>
      </c>
      <c r="B1871" s="51" t="s">
        <v>6251</v>
      </c>
      <c r="C1871" s="51" t="s">
        <v>6252</v>
      </c>
      <c r="D1871" s="52" t="s">
        <v>6254</v>
      </c>
      <c r="E1871" s="52"/>
      <c r="F1871" s="53"/>
      <c r="G1871" s="51" t="s">
        <v>4812</v>
      </c>
      <c r="H1871" s="54"/>
      <c r="I1871" s="55">
        <v>18</v>
      </c>
      <c r="K1871" s="51" t="s">
        <v>6252</v>
      </c>
    </row>
    <row r="1872" spans="1:11">
      <c r="A1872" s="51">
        <v>1838</v>
      </c>
      <c r="B1872" s="51" t="s">
        <v>6251</v>
      </c>
      <c r="C1872" s="51" t="s">
        <v>6252</v>
      </c>
      <c r="D1872" s="52" t="s">
        <v>6255</v>
      </c>
      <c r="E1872" s="52"/>
      <c r="F1872" s="53"/>
      <c r="G1872" s="51" t="s">
        <v>4812</v>
      </c>
      <c r="H1872" s="54"/>
      <c r="I1872" s="55">
        <v>60</v>
      </c>
      <c r="K1872" s="51" t="s">
        <v>6252</v>
      </c>
    </row>
    <row r="1873" spans="1:11">
      <c r="A1873" s="51">
        <v>1839</v>
      </c>
      <c r="B1873" s="51" t="s">
        <v>6251</v>
      </c>
      <c r="C1873" s="51" t="s">
        <v>6252</v>
      </c>
      <c r="D1873" s="52" t="s">
        <v>6256</v>
      </c>
      <c r="E1873" s="52" t="s">
        <v>6257</v>
      </c>
      <c r="F1873" s="53" t="s">
        <v>6258</v>
      </c>
      <c r="G1873" s="51" t="s">
        <v>4812</v>
      </c>
      <c r="H1873" s="54"/>
      <c r="I1873" s="55">
        <v>20</v>
      </c>
      <c r="K1873" s="51" t="s">
        <v>6252</v>
      </c>
    </row>
    <row r="1874" spans="1:11">
      <c r="A1874" s="51">
        <v>1840</v>
      </c>
      <c r="B1874" s="51" t="s">
        <v>6251</v>
      </c>
      <c r="C1874" s="51" t="s">
        <v>6252</v>
      </c>
      <c r="D1874" s="52" t="s">
        <v>6259</v>
      </c>
      <c r="E1874" s="52"/>
      <c r="F1874" s="53"/>
      <c r="G1874" s="51" t="s">
        <v>4812</v>
      </c>
      <c r="H1874" s="54"/>
      <c r="I1874" s="55">
        <v>0</v>
      </c>
      <c r="K1874" s="51" t="s">
        <v>6252</v>
      </c>
    </row>
    <row r="1875" spans="1:11">
      <c r="A1875" s="51">
        <v>1841</v>
      </c>
      <c r="B1875" s="51" t="s">
        <v>6251</v>
      </c>
      <c r="C1875" s="51" t="s">
        <v>6252</v>
      </c>
      <c r="D1875" s="52" t="s">
        <v>6260</v>
      </c>
      <c r="E1875" s="52"/>
      <c r="F1875" s="53"/>
      <c r="G1875" s="51" t="s">
        <v>4812</v>
      </c>
      <c r="H1875" s="54"/>
      <c r="I1875" s="55">
        <v>5</v>
      </c>
      <c r="K1875" s="51" t="s">
        <v>6252</v>
      </c>
    </row>
    <row r="1876" spans="1:11">
      <c r="A1876" s="51">
        <v>1842</v>
      </c>
      <c r="B1876" s="51" t="s">
        <v>6251</v>
      </c>
      <c r="C1876" s="51" t="s">
        <v>6252</v>
      </c>
      <c r="D1876" s="52" t="s">
        <v>6261</v>
      </c>
      <c r="E1876" s="52"/>
      <c r="F1876" s="53"/>
      <c r="G1876" s="51" t="s">
        <v>4812</v>
      </c>
      <c r="H1876" s="54"/>
      <c r="I1876" s="55">
        <v>40</v>
      </c>
      <c r="K1876" s="51" t="s">
        <v>6252</v>
      </c>
    </row>
    <row r="1877" spans="1:11">
      <c r="A1877" s="51">
        <v>1843</v>
      </c>
      <c r="B1877" s="51" t="s">
        <v>6251</v>
      </c>
      <c r="C1877" s="51" t="s">
        <v>6252</v>
      </c>
      <c r="D1877" s="52" t="s">
        <v>6262</v>
      </c>
      <c r="E1877" s="52" t="s">
        <v>6262</v>
      </c>
      <c r="F1877" s="53" t="s">
        <v>6263</v>
      </c>
      <c r="G1877" s="51" t="s">
        <v>4812</v>
      </c>
      <c r="H1877" s="54"/>
      <c r="I1877" s="55">
        <v>25</v>
      </c>
      <c r="K1877" s="51" t="s">
        <v>6252</v>
      </c>
    </row>
    <row r="1878" spans="1:11">
      <c r="A1878" s="51">
        <v>1844</v>
      </c>
      <c r="B1878" s="51" t="s">
        <v>6251</v>
      </c>
      <c r="C1878" s="51" t="s">
        <v>6252</v>
      </c>
      <c r="D1878" s="52" t="s">
        <v>2406</v>
      </c>
      <c r="E1878" s="52" t="s">
        <v>2405</v>
      </c>
      <c r="F1878" s="53" t="s">
        <v>5492</v>
      </c>
      <c r="G1878" s="51" t="s">
        <v>4812</v>
      </c>
      <c r="H1878" s="54"/>
      <c r="I1878" s="55">
        <v>186</v>
      </c>
      <c r="K1878" s="51" t="s">
        <v>6252</v>
      </c>
    </row>
    <row r="1879" spans="1:11">
      <c r="A1879" s="51">
        <v>1845</v>
      </c>
      <c r="B1879" s="51" t="s">
        <v>6251</v>
      </c>
      <c r="C1879" s="51" t="s">
        <v>6252</v>
      </c>
      <c r="D1879" s="52" t="s">
        <v>3442</v>
      </c>
      <c r="E1879" s="52" t="s">
        <v>3435</v>
      </c>
      <c r="F1879" s="53" t="s">
        <v>6264</v>
      </c>
      <c r="G1879" s="51" t="s">
        <v>4812</v>
      </c>
      <c r="H1879" s="54"/>
      <c r="I1879" s="55">
        <v>35</v>
      </c>
      <c r="K1879" s="51" t="s">
        <v>6252</v>
      </c>
    </row>
    <row r="1880" spans="1:11">
      <c r="A1880" s="51">
        <v>1846</v>
      </c>
      <c r="B1880" s="51" t="s">
        <v>6251</v>
      </c>
      <c r="C1880" s="51" t="s">
        <v>6252</v>
      </c>
      <c r="D1880" s="52" t="s">
        <v>2488</v>
      </c>
      <c r="E1880" s="52" t="s">
        <v>2487</v>
      </c>
      <c r="F1880" s="53" t="s">
        <v>6245</v>
      </c>
      <c r="G1880" s="51" t="s">
        <v>4812</v>
      </c>
      <c r="H1880" s="54"/>
      <c r="I1880" s="55">
        <v>87</v>
      </c>
      <c r="K1880" s="51" t="s">
        <v>6252</v>
      </c>
    </row>
    <row r="1881" spans="1:11">
      <c r="A1881" s="51">
        <v>1847</v>
      </c>
      <c r="B1881" s="51" t="s">
        <v>6251</v>
      </c>
      <c r="C1881" s="51" t="s">
        <v>6252</v>
      </c>
      <c r="D1881" s="52" t="s">
        <v>2520</v>
      </c>
      <c r="E1881" s="52" t="s">
        <v>2519</v>
      </c>
      <c r="F1881" s="53" t="s">
        <v>5432</v>
      </c>
      <c r="G1881" s="51" t="s">
        <v>4812</v>
      </c>
      <c r="H1881" s="54"/>
      <c r="I1881" s="55">
        <v>135</v>
      </c>
      <c r="K1881" s="51" t="s">
        <v>6252</v>
      </c>
    </row>
    <row r="1882" spans="1:11">
      <c r="A1882" s="51">
        <v>1848</v>
      </c>
      <c r="B1882" s="51" t="s">
        <v>6251</v>
      </c>
      <c r="C1882" s="51" t="s">
        <v>6252</v>
      </c>
      <c r="D1882" s="52" t="s">
        <v>6265</v>
      </c>
      <c r="E1882" s="52" t="s">
        <v>475</v>
      </c>
      <c r="F1882" s="53" t="s">
        <v>6266</v>
      </c>
      <c r="G1882" s="51" t="s">
        <v>4812</v>
      </c>
      <c r="H1882" s="54"/>
      <c r="I1882" s="55">
        <v>0</v>
      </c>
      <c r="K1882" s="51" t="s">
        <v>6252</v>
      </c>
    </row>
    <row r="1883" spans="1:11">
      <c r="A1883" s="51">
        <v>1849</v>
      </c>
      <c r="B1883" s="51" t="s">
        <v>6251</v>
      </c>
      <c r="C1883" s="51" t="s">
        <v>6252</v>
      </c>
      <c r="D1883" s="52" t="s">
        <v>6267</v>
      </c>
      <c r="E1883" s="52" t="s">
        <v>6268</v>
      </c>
      <c r="F1883" s="53" t="s">
        <v>6269</v>
      </c>
      <c r="G1883" s="51" t="s">
        <v>4812</v>
      </c>
      <c r="H1883" s="54"/>
      <c r="I1883" s="55">
        <v>0</v>
      </c>
      <c r="K1883" s="51" t="s">
        <v>6252</v>
      </c>
    </row>
    <row r="1884" spans="1:11">
      <c r="A1884" s="51">
        <v>1850</v>
      </c>
      <c r="B1884" s="51" t="s">
        <v>6251</v>
      </c>
      <c r="C1884" s="51" t="s">
        <v>6252</v>
      </c>
      <c r="D1884" s="52" t="s">
        <v>6270</v>
      </c>
      <c r="E1884" s="52" t="s">
        <v>6271</v>
      </c>
      <c r="F1884" s="53" t="s">
        <v>6272</v>
      </c>
      <c r="G1884" s="51" t="s">
        <v>4812</v>
      </c>
      <c r="H1884" s="54"/>
      <c r="I1884" s="55">
        <v>0</v>
      </c>
      <c r="K1884" s="51" t="s">
        <v>6252</v>
      </c>
    </row>
    <row r="1885" spans="1:11">
      <c r="A1885" s="51">
        <v>1851</v>
      </c>
      <c r="B1885" s="51" t="s">
        <v>6251</v>
      </c>
      <c r="C1885" s="51" t="s">
        <v>6252</v>
      </c>
      <c r="D1885" s="52" t="s">
        <v>6273</v>
      </c>
      <c r="E1885" s="52" t="s">
        <v>6274</v>
      </c>
      <c r="F1885" s="53" t="s">
        <v>6269</v>
      </c>
      <c r="G1885" s="51" t="s">
        <v>4812</v>
      </c>
      <c r="H1885" s="54"/>
      <c r="I1885" s="55">
        <v>0</v>
      </c>
      <c r="K1885" s="51" t="s">
        <v>6252</v>
      </c>
    </row>
    <row r="1886" spans="1:11">
      <c r="A1886" s="51">
        <v>1852</v>
      </c>
      <c r="B1886" s="51" t="s">
        <v>6251</v>
      </c>
      <c r="C1886" s="51" t="s">
        <v>6252</v>
      </c>
      <c r="D1886" s="52" t="s">
        <v>6275</v>
      </c>
      <c r="E1886" s="52" t="s">
        <v>6276</v>
      </c>
      <c r="F1886" s="53" t="s">
        <v>6272</v>
      </c>
      <c r="G1886" s="51" t="s">
        <v>4812</v>
      </c>
      <c r="H1886" s="54"/>
      <c r="I1886" s="55">
        <v>0</v>
      </c>
      <c r="K1886" s="51" t="s">
        <v>6252</v>
      </c>
    </row>
    <row r="1887" spans="1:11">
      <c r="A1887" s="51">
        <v>1853</v>
      </c>
      <c r="B1887" s="51" t="s">
        <v>6251</v>
      </c>
      <c r="C1887" s="51" t="s">
        <v>6252</v>
      </c>
      <c r="D1887" s="52" t="s">
        <v>2082</v>
      </c>
      <c r="E1887" s="52" t="s">
        <v>6277</v>
      </c>
      <c r="F1887" s="53" t="s">
        <v>6278</v>
      </c>
      <c r="G1887" s="51" t="s">
        <v>4812</v>
      </c>
      <c r="H1887" s="54"/>
      <c r="I1887" s="55">
        <v>0</v>
      </c>
      <c r="K1887" s="51" t="s">
        <v>6252</v>
      </c>
    </row>
    <row r="1888" spans="1:11">
      <c r="A1888" s="51">
        <v>1854</v>
      </c>
      <c r="B1888" s="51" t="s">
        <v>6251</v>
      </c>
      <c r="C1888" s="51" t="s">
        <v>6252</v>
      </c>
      <c r="D1888" s="52" t="s">
        <v>2072</v>
      </c>
      <c r="E1888" s="52" t="s">
        <v>6279</v>
      </c>
      <c r="F1888" s="53" t="s">
        <v>6280</v>
      </c>
      <c r="G1888" s="51" t="s">
        <v>4812</v>
      </c>
      <c r="H1888" s="54"/>
      <c r="I1888" s="55">
        <v>0</v>
      </c>
      <c r="K1888" s="51" t="s">
        <v>6252</v>
      </c>
    </row>
    <row r="1889" spans="1:11">
      <c r="A1889" s="51">
        <v>1855</v>
      </c>
      <c r="B1889" s="51" t="s">
        <v>6251</v>
      </c>
      <c r="C1889" s="51" t="s">
        <v>6252</v>
      </c>
      <c r="D1889" s="52" t="s">
        <v>474</v>
      </c>
      <c r="E1889" s="52" t="s">
        <v>6281</v>
      </c>
      <c r="F1889" s="53" t="s">
        <v>6282</v>
      </c>
      <c r="G1889" s="51" t="s">
        <v>4812</v>
      </c>
      <c r="H1889" s="54"/>
      <c r="I1889" s="55">
        <v>0</v>
      </c>
      <c r="K1889" s="51" t="s">
        <v>6252</v>
      </c>
    </row>
    <row r="1890" spans="1:11">
      <c r="A1890" s="51">
        <v>1856</v>
      </c>
      <c r="B1890" s="51" t="s">
        <v>6251</v>
      </c>
      <c r="C1890" s="51" t="s">
        <v>6252</v>
      </c>
      <c r="D1890" s="52" t="s">
        <v>2080</v>
      </c>
      <c r="E1890" s="52" t="s">
        <v>6241</v>
      </c>
      <c r="F1890" s="53" t="s">
        <v>6283</v>
      </c>
      <c r="G1890" s="51" t="s">
        <v>4812</v>
      </c>
      <c r="H1890" s="54"/>
      <c r="I1890" s="55">
        <v>0</v>
      </c>
      <c r="K1890" s="51" t="s">
        <v>6252</v>
      </c>
    </row>
    <row r="1891" spans="1:11">
      <c r="A1891" s="51">
        <v>1857</v>
      </c>
      <c r="B1891" s="51" t="s">
        <v>6251</v>
      </c>
      <c r="C1891" s="51" t="s">
        <v>6252</v>
      </c>
      <c r="D1891" s="52" t="s">
        <v>2090</v>
      </c>
      <c r="E1891" s="52" t="s">
        <v>6242</v>
      </c>
      <c r="F1891" s="53" t="s">
        <v>6284</v>
      </c>
      <c r="G1891" s="51" t="s">
        <v>4812</v>
      </c>
      <c r="H1891" s="54"/>
      <c r="I1891" s="55">
        <v>0</v>
      </c>
      <c r="K1891" s="51" t="s">
        <v>6252</v>
      </c>
    </row>
    <row r="1892" spans="1:11">
      <c r="A1892" s="51">
        <v>1858</v>
      </c>
      <c r="B1892" s="51" t="s">
        <v>6251</v>
      </c>
      <c r="C1892" s="51" t="s">
        <v>6252</v>
      </c>
      <c r="D1892" s="52" t="s">
        <v>2092</v>
      </c>
      <c r="E1892" s="52" t="s">
        <v>6285</v>
      </c>
      <c r="F1892" s="53" t="s">
        <v>6286</v>
      </c>
      <c r="G1892" s="51" t="s">
        <v>4812</v>
      </c>
      <c r="H1892" s="54"/>
      <c r="I1892" s="55">
        <v>0</v>
      </c>
      <c r="K1892" s="51" t="s">
        <v>6252</v>
      </c>
    </row>
    <row r="1893" spans="1:11">
      <c r="A1893" s="51">
        <v>1859</v>
      </c>
      <c r="B1893" s="51" t="s">
        <v>6251</v>
      </c>
      <c r="C1893" s="51" t="s">
        <v>6252</v>
      </c>
      <c r="D1893" s="52" t="s">
        <v>2484</v>
      </c>
      <c r="E1893" s="52" t="s">
        <v>2483</v>
      </c>
      <c r="F1893" s="53" t="s">
        <v>6245</v>
      </c>
      <c r="G1893" s="51" t="s">
        <v>4812</v>
      </c>
      <c r="H1893" s="54"/>
      <c r="I1893" s="55">
        <v>194</v>
      </c>
      <c r="K1893" s="51" t="s">
        <v>6252</v>
      </c>
    </row>
    <row r="1894" spans="1:11">
      <c r="A1894" s="51">
        <v>1860</v>
      </c>
      <c r="B1894" s="51" t="s">
        <v>6287</v>
      </c>
      <c r="C1894" s="51" t="s">
        <v>6288</v>
      </c>
      <c r="D1894" s="52" t="s">
        <v>6289</v>
      </c>
      <c r="E1894" s="52"/>
      <c r="F1894" s="53"/>
      <c r="G1894" s="51" t="s">
        <v>4812</v>
      </c>
      <c r="H1894" s="54"/>
      <c r="I1894" s="55">
        <v>20</v>
      </c>
      <c r="K1894" s="51" t="s">
        <v>6288</v>
      </c>
    </row>
    <row r="1895" spans="1:11">
      <c r="A1895" s="51">
        <v>1861</v>
      </c>
      <c r="B1895" s="51" t="s">
        <v>6287</v>
      </c>
      <c r="C1895" s="51" t="s">
        <v>6288</v>
      </c>
      <c r="D1895" s="52" t="s">
        <v>6290</v>
      </c>
      <c r="E1895" s="52"/>
      <c r="F1895" s="53"/>
      <c r="G1895" s="51" t="s">
        <v>4812</v>
      </c>
      <c r="H1895" s="54"/>
      <c r="I1895" s="55">
        <v>18</v>
      </c>
      <c r="K1895" s="51" t="s">
        <v>6288</v>
      </c>
    </row>
    <row r="1896" spans="1:11">
      <c r="A1896" s="51">
        <v>1862</v>
      </c>
      <c r="B1896" s="51" t="s">
        <v>6287</v>
      </c>
      <c r="C1896" s="51" t="s">
        <v>6288</v>
      </c>
      <c r="D1896" s="52" t="s">
        <v>6291</v>
      </c>
      <c r="E1896" s="52" t="s">
        <v>6291</v>
      </c>
      <c r="F1896" s="53" t="s">
        <v>6292</v>
      </c>
      <c r="G1896" s="51" t="s">
        <v>4812</v>
      </c>
      <c r="H1896" s="54"/>
      <c r="I1896" s="55">
        <v>0</v>
      </c>
      <c r="K1896" s="51" t="s">
        <v>6288</v>
      </c>
    </row>
    <row r="1897" spans="1:11">
      <c r="A1897" s="51">
        <v>1863</v>
      </c>
      <c r="B1897" s="51" t="s">
        <v>6287</v>
      </c>
      <c r="C1897" s="51" t="s">
        <v>6288</v>
      </c>
      <c r="D1897" s="52" t="s">
        <v>6293</v>
      </c>
      <c r="E1897" s="52" t="s">
        <v>6293</v>
      </c>
      <c r="F1897" s="53" t="s">
        <v>6294</v>
      </c>
      <c r="G1897" s="51" t="s">
        <v>4812</v>
      </c>
      <c r="H1897" s="54"/>
      <c r="I1897" s="55">
        <v>15</v>
      </c>
      <c r="K1897" s="51" t="s">
        <v>6288</v>
      </c>
    </row>
    <row r="1898" spans="1:11">
      <c r="A1898" s="51">
        <v>1864</v>
      </c>
      <c r="B1898" s="51" t="s">
        <v>6287</v>
      </c>
      <c r="C1898" s="51" t="s">
        <v>6288</v>
      </c>
      <c r="D1898" s="52" t="s">
        <v>6295</v>
      </c>
      <c r="E1898" s="52"/>
      <c r="F1898" s="53"/>
      <c r="G1898" s="51" t="s">
        <v>4812</v>
      </c>
      <c r="H1898" s="54"/>
      <c r="I1898" s="55">
        <v>14</v>
      </c>
      <c r="K1898" s="51" t="s">
        <v>6288</v>
      </c>
    </row>
    <row r="1899" spans="1:11">
      <c r="A1899" s="51">
        <v>1865</v>
      </c>
      <c r="B1899" s="51" t="s">
        <v>6287</v>
      </c>
      <c r="C1899" s="51" t="s">
        <v>6288</v>
      </c>
      <c r="D1899" s="52" t="s">
        <v>6296</v>
      </c>
      <c r="E1899" s="52" t="s">
        <v>6296</v>
      </c>
      <c r="F1899" s="53" t="s">
        <v>6297</v>
      </c>
      <c r="G1899" s="51" t="s">
        <v>4812</v>
      </c>
      <c r="H1899" s="54"/>
      <c r="I1899" s="55">
        <v>19</v>
      </c>
      <c r="K1899" s="51" t="s">
        <v>6288</v>
      </c>
    </row>
    <row r="1900" spans="1:11">
      <c r="A1900" s="51">
        <v>1866</v>
      </c>
      <c r="B1900" s="51" t="s">
        <v>6287</v>
      </c>
      <c r="C1900" s="51" t="s">
        <v>6288</v>
      </c>
      <c r="D1900" s="52" t="s">
        <v>2340</v>
      </c>
      <c r="E1900" s="52" t="s">
        <v>2339</v>
      </c>
      <c r="F1900" s="53" t="s">
        <v>6219</v>
      </c>
      <c r="G1900" s="51" t="s">
        <v>4812</v>
      </c>
      <c r="H1900" s="54"/>
      <c r="I1900" s="55">
        <v>24</v>
      </c>
      <c r="K1900" s="51" t="s">
        <v>6288</v>
      </c>
    </row>
    <row r="1901" spans="1:11">
      <c r="A1901" s="51">
        <v>1867</v>
      </c>
      <c r="B1901" s="51" t="s">
        <v>6287</v>
      </c>
      <c r="C1901" s="51" t="s">
        <v>6288</v>
      </c>
      <c r="D1901" s="52" t="s">
        <v>2486</v>
      </c>
      <c r="E1901" s="52" t="s">
        <v>2485</v>
      </c>
      <c r="F1901" s="53" t="s">
        <v>6245</v>
      </c>
      <c r="G1901" s="51" t="s">
        <v>4812</v>
      </c>
      <c r="H1901" s="54"/>
      <c r="I1901" s="55">
        <v>167</v>
      </c>
      <c r="K1901" s="51" t="s">
        <v>6288</v>
      </c>
    </row>
    <row r="1902" spans="1:11">
      <c r="A1902" s="51">
        <v>1868</v>
      </c>
      <c r="B1902" s="51" t="s">
        <v>6287</v>
      </c>
      <c r="C1902" s="51" t="s">
        <v>6288</v>
      </c>
      <c r="D1902" s="52" t="s">
        <v>2490</v>
      </c>
      <c r="E1902" s="52" t="s">
        <v>2489</v>
      </c>
      <c r="F1902" s="53" t="s">
        <v>6245</v>
      </c>
      <c r="G1902" s="51" t="s">
        <v>4812</v>
      </c>
      <c r="H1902" s="54"/>
      <c r="I1902" s="55">
        <v>164</v>
      </c>
      <c r="K1902" s="51" t="s">
        <v>6288</v>
      </c>
    </row>
    <row r="1903" spans="1:11">
      <c r="A1903" s="51">
        <v>1869</v>
      </c>
      <c r="B1903" s="51" t="s">
        <v>6287</v>
      </c>
      <c r="C1903" s="51" t="s">
        <v>6288</v>
      </c>
      <c r="D1903" s="52" t="s">
        <v>2514</v>
      </c>
      <c r="E1903" s="52" t="s">
        <v>2513</v>
      </c>
      <c r="F1903" s="53" t="s">
        <v>5432</v>
      </c>
      <c r="G1903" s="51" t="s">
        <v>4812</v>
      </c>
      <c r="H1903" s="54"/>
      <c r="I1903" s="55">
        <v>152</v>
      </c>
      <c r="K1903" s="51" t="s">
        <v>6288</v>
      </c>
    </row>
    <row r="1904" spans="1:11">
      <c r="A1904" s="51">
        <v>1870</v>
      </c>
      <c r="B1904" s="51" t="s">
        <v>6287</v>
      </c>
      <c r="C1904" s="51" t="s">
        <v>6288</v>
      </c>
      <c r="D1904" s="52" t="s">
        <v>2516</v>
      </c>
      <c r="E1904" s="52" t="s">
        <v>2515</v>
      </c>
      <c r="F1904" s="53" t="s">
        <v>5432</v>
      </c>
      <c r="G1904" s="51" t="s">
        <v>4812</v>
      </c>
      <c r="H1904" s="54"/>
      <c r="I1904" s="55">
        <v>106</v>
      </c>
      <c r="K1904" s="51" t="s">
        <v>6288</v>
      </c>
    </row>
    <row r="1905" spans="1:11">
      <c r="A1905" s="51">
        <v>1871</v>
      </c>
      <c r="B1905" s="51" t="s">
        <v>6287</v>
      </c>
      <c r="C1905" s="51" t="s">
        <v>6288</v>
      </c>
      <c r="D1905" s="52" t="s">
        <v>6298</v>
      </c>
      <c r="E1905" s="52" t="s">
        <v>6299</v>
      </c>
      <c r="F1905" s="53" t="s">
        <v>6300</v>
      </c>
      <c r="G1905" s="51" t="s">
        <v>4812</v>
      </c>
      <c r="H1905" s="54"/>
      <c r="I1905" s="55">
        <v>0</v>
      </c>
      <c r="K1905" s="51" t="s">
        <v>6288</v>
      </c>
    </row>
    <row r="1906" spans="1:11">
      <c r="A1906" s="51">
        <v>1872</v>
      </c>
      <c r="B1906" s="51" t="s">
        <v>6287</v>
      </c>
      <c r="C1906" s="51" t="s">
        <v>6288</v>
      </c>
      <c r="D1906" s="52" t="s">
        <v>6301</v>
      </c>
      <c r="E1906" s="52" t="s">
        <v>6302</v>
      </c>
      <c r="F1906" s="53" t="s">
        <v>6303</v>
      </c>
      <c r="G1906" s="51" t="s">
        <v>4812</v>
      </c>
      <c r="H1906" s="54"/>
      <c r="I1906" s="55">
        <v>0</v>
      </c>
      <c r="K1906" s="51" t="s">
        <v>6288</v>
      </c>
    </row>
    <row r="1907" spans="1:11">
      <c r="A1907" s="51">
        <v>1873</v>
      </c>
      <c r="B1907" s="51" t="s">
        <v>6287</v>
      </c>
      <c r="C1907" s="51" t="s">
        <v>6288</v>
      </c>
      <c r="D1907" s="52" t="s">
        <v>6304</v>
      </c>
      <c r="E1907" s="52" t="s">
        <v>6305</v>
      </c>
      <c r="F1907" s="53" t="s">
        <v>6306</v>
      </c>
      <c r="G1907" s="51" t="s">
        <v>4812</v>
      </c>
      <c r="H1907" s="54"/>
      <c r="I1907" s="55">
        <v>0</v>
      </c>
      <c r="K1907" s="51" t="s">
        <v>6288</v>
      </c>
    </row>
    <row r="1908" spans="1:11">
      <c r="A1908" s="51">
        <v>1874</v>
      </c>
      <c r="B1908" s="51" t="s">
        <v>6287</v>
      </c>
      <c r="C1908" s="51" t="s">
        <v>6288</v>
      </c>
      <c r="D1908" s="52" t="s">
        <v>6307</v>
      </c>
      <c r="E1908" s="52" t="s">
        <v>6308</v>
      </c>
      <c r="F1908" s="53" t="s">
        <v>6309</v>
      </c>
      <c r="G1908" s="51" t="s">
        <v>4812</v>
      </c>
      <c r="H1908" s="54"/>
      <c r="I1908" s="55">
        <v>0</v>
      </c>
      <c r="K1908" s="51" t="s">
        <v>6288</v>
      </c>
    </row>
    <row r="1909" spans="1:11">
      <c r="A1909" s="51">
        <v>1875</v>
      </c>
      <c r="B1909" s="51" t="s">
        <v>6287</v>
      </c>
      <c r="C1909" s="51" t="s">
        <v>6288</v>
      </c>
      <c r="D1909" s="52" t="s">
        <v>6226</v>
      </c>
      <c r="E1909" s="52" t="s">
        <v>6226</v>
      </c>
      <c r="F1909" s="53" t="s">
        <v>6310</v>
      </c>
      <c r="G1909" s="51" t="s">
        <v>4812</v>
      </c>
      <c r="H1909" s="54"/>
      <c r="I1909" s="55">
        <v>14</v>
      </c>
      <c r="K1909" s="51" t="s">
        <v>6288</v>
      </c>
    </row>
    <row r="1910" spans="1:11">
      <c r="A1910" s="51">
        <v>1876</v>
      </c>
      <c r="B1910" s="51" t="s">
        <v>6287</v>
      </c>
      <c r="C1910" s="51" t="s">
        <v>6288</v>
      </c>
      <c r="D1910" s="52" t="s">
        <v>2064</v>
      </c>
      <c r="E1910" s="52" t="s">
        <v>6311</v>
      </c>
      <c r="F1910" s="53" t="s">
        <v>6312</v>
      </c>
      <c r="G1910" s="51" t="s">
        <v>4812</v>
      </c>
      <c r="H1910" s="54"/>
      <c r="I1910" s="55">
        <v>0</v>
      </c>
      <c r="K1910" s="51" t="s">
        <v>6288</v>
      </c>
    </row>
    <row r="1911" spans="1:11">
      <c r="A1911" s="51">
        <v>1877</v>
      </c>
      <c r="B1911" s="51" t="s">
        <v>6287</v>
      </c>
      <c r="C1911" s="51" t="s">
        <v>6288</v>
      </c>
      <c r="D1911" s="52" t="s">
        <v>6230</v>
      </c>
      <c r="E1911" s="52"/>
      <c r="F1911" s="53"/>
      <c r="G1911" s="51" t="s">
        <v>4812</v>
      </c>
      <c r="H1911" s="54"/>
      <c r="I1911" s="55">
        <v>0</v>
      </c>
      <c r="K1911" s="51" t="s">
        <v>6288</v>
      </c>
    </row>
    <row r="1912" spans="1:11">
      <c r="A1912" s="51">
        <v>1878</v>
      </c>
      <c r="B1912" s="51" t="s">
        <v>6287</v>
      </c>
      <c r="C1912" s="51" t="s">
        <v>6288</v>
      </c>
      <c r="D1912" s="52" t="s">
        <v>472</v>
      </c>
      <c r="E1912" s="52" t="s">
        <v>6313</v>
      </c>
      <c r="F1912" s="53" t="s">
        <v>6314</v>
      </c>
      <c r="G1912" s="51" t="s">
        <v>4812</v>
      </c>
      <c r="H1912" s="54"/>
      <c r="I1912" s="55">
        <v>0</v>
      </c>
      <c r="K1912" s="51" t="s">
        <v>6288</v>
      </c>
    </row>
    <row r="1913" spans="1:11">
      <c r="A1913" s="51">
        <v>1879</v>
      </c>
      <c r="B1913" s="51" t="s">
        <v>6287</v>
      </c>
      <c r="C1913" s="51" t="s">
        <v>6288</v>
      </c>
      <c r="D1913" s="52" t="s">
        <v>2348</v>
      </c>
      <c r="E1913" s="52" t="s">
        <v>6315</v>
      </c>
      <c r="F1913" s="53" t="s">
        <v>6316</v>
      </c>
      <c r="G1913" s="51" t="s">
        <v>4812</v>
      </c>
      <c r="H1913" s="54"/>
      <c r="I1913" s="55">
        <v>5</v>
      </c>
      <c r="K1913" s="51" t="s">
        <v>6288</v>
      </c>
    </row>
    <row r="1914" spans="1:11">
      <c r="A1914" s="51">
        <v>1880</v>
      </c>
      <c r="B1914" s="51" t="s">
        <v>6287</v>
      </c>
      <c r="C1914" s="51" t="s">
        <v>6288</v>
      </c>
      <c r="D1914" s="52" t="s">
        <v>2354</v>
      </c>
      <c r="E1914" s="52" t="s">
        <v>6317</v>
      </c>
      <c r="F1914" s="53" t="s">
        <v>6318</v>
      </c>
      <c r="G1914" s="51" t="s">
        <v>4812</v>
      </c>
      <c r="H1914" s="54"/>
      <c r="I1914" s="55">
        <v>13</v>
      </c>
      <c r="K1914" s="51" t="s">
        <v>6288</v>
      </c>
    </row>
    <row r="1915" spans="1:11">
      <c r="A1915" s="51">
        <v>1881</v>
      </c>
      <c r="B1915" s="51" t="s">
        <v>6287</v>
      </c>
      <c r="C1915" s="51" t="s">
        <v>6288</v>
      </c>
      <c r="D1915" s="52" t="s">
        <v>2076</v>
      </c>
      <c r="E1915" s="52" t="s">
        <v>6319</v>
      </c>
      <c r="F1915" s="53" t="s">
        <v>6320</v>
      </c>
      <c r="G1915" s="51" t="s">
        <v>4812</v>
      </c>
      <c r="H1915" s="54"/>
      <c r="I1915" s="55">
        <v>0</v>
      </c>
      <c r="K1915" s="51" t="s">
        <v>6288</v>
      </c>
    </row>
    <row r="1916" spans="1:11">
      <c r="A1916" s="51">
        <v>1882</v>
      </c>
      <c r="B1916" s="51" t="s">
        <v>6287</v>
      </c>
      <c r="C1916" s="51" t="s">
        <v>6288</v>
      </c>
      <c r="D1916" s="52" t="s">
        <v>2068</v>
      </c>
      <c r="E1916" s="52" t="s">
        <v>6321</v>
      </c>
      <c r="F1916" s="53" t="s">
        <v>6322</v>
      </c>
      <c r="G1916" s="51" t="s">
        <v>4812</v>
      </c>
      <c r="H1916" s="54"/>
      <c r="I1916" s="55">
        <v>0</v>
      </c>
      <c r="K1916" s="51" t="s">
        <v>6288</v>
      </c>
    </row>
    <row r="1917" spans="1:11">
      <c r="A1917" s="51">
        <v>1883</v>
      </c>
      <c r="B1917" s="51" t="s">
        <v>6287</v>
      </c>
      <c r="C1917" s="51" t="s">
        <v>6288</v>
      </c>
      <c r="D1917" s="52" t="s">
        <v>2074</v>
      </c>
      <c r="E1917" s="52" t="s">
        <v>6243</v>
      </c>
      <c r="F1917" s="53" t="s">
        <v>6320</v>
      </c>
      <c r="G1917" s="51" t="s">
        <v>4812</v>
      </c>
      <c r="H1917" s="54"/>
      <c r="I1917" s="55">
        <v>0</v>
      </c>
      <c r="K1917" s="51" t="s">
        <v>6288</v>
      </c>
    </row>
    <row r="1918" spans="1:11">
      <c r="A1918" s="51">
        <v>1884</v>
      </c>
      <c r="B1918" s="51" t="s">
        <v>6287</v>
      </c>
      <c r="C1918" s="51" t="s">
        <v>6288</v>
      </c>
      <c r="D1918" s="52" t="s">
        <v>2066</v>
      </c>
      <c r="E1918" s="52" t="s">
        <v>6244</v>
      </c>
      <c r="F1918" s="53" t="s">
        <v>6322</v>
      </c>
      <c r="G1918" s="51" t="s">
        <v>4812</v>
      </c>
      <c r="H1918" s="54"/>
      <c r="I1918" s="55">
        <v>0</v>
      </c>
      <c r="K1918" s="51" t="s">
        <v>6288</v>
      </c>
    </row>
    <row r="1919" spans="1:11">
      <c r="A1919" s="51">
        <v>1885</v>
      </c>
      <c r="B1919" s="51" t="s">
        <v>6287</v>
      </c>
      <c r="C1919" s="51" t="s">
        <v>6288</v>
      </c>
      <c r="D1919" s="52" t="s">
        <v>2482</v>
      </c>
      <c r="E1919" s="52" t="s">
        <v>2481</v>
      </c>
      <c r="F1919" s="53" t="s">
        <v>6245</v>
      </c>
      <c r="G1919" s="51" t="s">
        <v>4812</v>
      </c>
      <c r="H1919" s="54"/>
      <c r="I1919" s="55">
        <v>189</v>
      </c>
      <c r="K1919" s="51" t="s">
        <v>6288</v>
      </c>
    </row>
    <row r="1920" spans="1:11">
      <c r="A1920" s="51">
        <v>1886</v>
      </c>
      <c r="B1920" s="51" t="s">
        <v>6287</v>
      </c>
      <c r="C1920" s="51" t="s">
        <v>6288</v>
      </c>
      <c r="D1920" s="52" t="s">
        <v>3430</v>
      </c>
      <c r="E1920" s="52" t="s">
        <v>3429</v>
      </c>
      <c r="F1920" s="53" t="s">
        <v>6247</v>
      </c>
      <c r="G1920" s="51" t="s">
        <v>4812</v>
      </c>
      <c r="H1920" s="54"/>
      <c r="I1920" s="55">
        <v>7</v>
      </c>
      <c r="K1920" s="51" t="s">
        <v>6288</v>
      </c>
    </row>
    <row r="1921" spans="1:11">
      <c r="A1921" s="57" t="s">
        <v>6323</v>
      </c>
      <c r="B1921" s="51"/>
      <c r="C1921" s="51" t="s">
        <v>6288</v>
      </c>
      <c r="D1921" s="52" t="s">
        <v>2480</v>
      </c>
      <c r="E1921" s="52" t="s">
        <v>2479</v>
      </c>
      <c r="F1921" s="53" t="s">
        <v>6245</v>
      </c>
      <c r="G1921" s="51" t="s">
        <v>4812</v>
      </c>
      <c r="H1921" s="54"/>
      <c r="I1921" s="55">
        <v>174</v>
      </c>
      <c r="K1921" s="51" t="s">
        <v>6288</v>
      </c>
    </row>
    <row r="1922" spans="1:11">
      <c r="A1922" s="51">
        <v>1887</v>
      </c>
      <c r="B1922" s="51" t="s">
        <v>6324</v>
      </c>
      <c r="C1922" s="51" t="s">
        <v>6325</v>
      </c>
      <c r="D1922" s="52" t="s">
        <v>1449</v>
      </c>
      <c r="E1922" s="52" t="s">
        <v>1448</v>
      </c>
      <c r="F1922" s="53" t="s">
        <v>4993</v>
      </c>
      <c r="G1922" s="51" t="s">
        <v>4812</v>
      </c>
      <c r="H1922" s="54"/>
      <c r="I1922" s="55">
        <v>18</v>
      </c>
      <c r="K1922" s="51" t="s">
        <v>6325</v>
      </c>
    </row>
    <row r="1923" spans="1:11">
      <c r="A1923" s="51">
        <v>1888</v>
      </c>
      <c r="B1923" s="51" t="s">
        <v>6324</v>
      </c>
      <c r="C1923" s="51" t="s">
        <v>6325</v>
      </c>
      <c r="D1923" s="52" t="s">
        <v>1483</v>
      </c>
      <c r="E1923" s="52" t="s">
        <v>1482</v>
      </c>
      <c r="F1923" s="53" t="s">
        <v>4992</v>
      </c>
      <c r="G1923" s="51" t="s">
        <v>4812</v>
      </c>
      <c r="H1923" s="54"/>
      <c r="I1923" s="55">
        <v>6</v>
      </c>
      <c r="K1923" s="51" t="s">
        <v>6325</v>
      </c>
    </row>
    <row r="1924" spans="1:11">
      <c r="A1924" s="51">
        <v>1889</v>
      </c>
      <c r="B1924" s="51" t="s">
        <v>6324</v>
      </c>
      <c r="C1924" s="51" t="s">
        <v>6325</v>
      </c>
      <c r="D1924" s="52" t="s">
        <v>630</v>
      </c>
      <c r="E1924" s="52" t="s">
        <v>629</v>
      </c>
      <c r="F1924" s="53" t="s">
        <v>6326</v>
      </c>
      <c r="G1924" s="51" t="s">
        <v>4812</v>
      </c>
      <c r="H1924" s="54"/>
      <c r="I1924" s="55">
        <v>1</v>
      </c>
      <c r="K1924" s="51" t="s">
        <v>6325</v>
      </c>
    </row>
    <row r="1925" spans="1:11">
      <c r="A1925" s="51">
        <v>1890</v>
      </c>
      <c r="B1925" s="51" t="s">
        <v>6324</v>
      </c>
      <c r="C1925" s="51" t="s">
        <v>6325</v>
      </c>
      <c r="D1925" s="52" t="s">
        <v>632</v>
      </c>
      <c r="E1925" s="52" t="s">
        <v>631</v>
      </c>
      <c r="F1925" s="53" t="s">
        <v>6327</v>
      </c>
      <c r="G1925" s="51" t="s">
        <v>4812</v>
      </c>
      <c r="H1925" s="54"/>
      <c r="I1925" s="55">
        <v>56</v>
      </c>
      <c r="K1925" s="51" t="s">
        <v>6325</v>
      </c>
    </row>
    <row r="1926" spans="1:11">
      <c r="A1926" s="51">
        <v>1891</v>
      </c>
      <c r="B1926" s="51" t="s">
        <v>6324</v>
      </c>
      <c r="C1926" s="51" t="s">
        <v>6325</v>
      </c>
      <c r="D1926" s="52" t="s">
        <v>1531</v>
      </c>
      <c r="E1926" s="52" t="s">
        <v>1530</v>
      </c>
      <c r="F1926" s="53" t="s">
        <v>6205</v>
      </c>
      <c r="G1926" s="51" t="s">
        <v>4812</v>
      </c>
      <c r="H1926" s="54"/>
      <c r="I1926" s="55">
        <v>8</v>
      </c>
      <c r="K1926" s="51" t="s">
        <v>6325</v>
      </c>
    </row>
    <row r="1927" spans="1:11">
      <c r="A1927" s="51">
        <v>1892</v>
      </c>
      <c r="B1927" s="51" t="s">
        <v>6324</v>
      </c>
      <c r="C1927" s="51" t="s">
        <v>6325</v>
      </c>
      <c r="D1927" s="52" t="s">
        <v>1509</v>
      </c>
      <c r="E1927" s="52" t="s">
        <v>1508</v>
      </c>
      <c r="F1927" s="53" t="s">
        <v>6206</v>
      </c>
      <c r="G1927" s="51" t="s">
        <v>4812</v>
      </c>
      <c r="H1927" s="54"/>
      <c r="I1927" s="55">
        <v>29</v>
      </c>
      <c r="K1927" s="51" t="s">
        <v>6325</v>
      </c>
    </row>
    <row r="1928" spans="1:11">
      <c r="A1928" s="51">
        <v>1893</v>
      </c>
      <c r="B1928" s="51" t="s">
        <v>6324</v>
      </c>
      <c r="C1928" s="51" t="s">
        <v>6325</v>
      </c>
      <c r="D1928" s="52" t="s">
        <v>6328</v>
      </c>
      <c r="E1928" s="52" t="s">
        <v>6329</v>
      </c>
      <c r="F1928" s="53" t="s">
        <v>6269</v>
      </c>
      <c r="G1928" s="51" t="s">
        <v>4812</v>
      </c>
      <c r="H1928" s="54"/>
      <c r="I1928" s="55">
        <v>0</v>
      </c>
      <c r="K1928" s="51" t="s">
        <v>6325</v>
      </c>
    </row>
    <row r="1929" spans="1:11">
      <c r="A1929" s="51">
        <v>1894</v>
      </c>
      <c r="B1929" s="51" t="s">
        <v>6324</v>
      </c>
      <c r="C1929" s="51" t="s">
        <v>6325</v>
      </c>
      <c r="D1929" s="52" t="s">
        <v>6330</v>
      </c>
      <c r="E1929" s="52" t="s">
        <v>6331</v>
      </c>
      <c r="F1929" s="53" t="s">
        <v>6269</v>
      </c>
      <c r="G1929" s="51" t="s">
        <v>4812</v>
      </c>
      <c r="H1929" s="54"/>
      <c r="I1929" s="55">
        <v>0</v>
      </c>
      <c r="K1929" s="51" t="s">
        <v>6325</v>
      </c>
    </row>
    <row r="1930" spans="1:11">
      <c r="A1930" s="51">
        <v>1895</v>
      </c>
      <c r="B1930" s="51" t="s">
        <v>6324</v>
      </c>
      <c r="C1930" s="51" t="s">
        <v>6325</v>
      </c>
      <c r="D1930" s="52" t="s">
        <v>6332</v>
      </c>
      <c r="E1930" s="52" t="s">
        <v>6333</v>
      </c>
      <c r="F1930" s="53" t="s">
        <v>6269</v>
      </c>
      <c r="G1930" s="51" t="s">
        <v>4812</v>
      </c>
      <c r="H1930" s="54"/>
      <c r="I1930" s="55">
        <v>0</v>
      </c>
      <c r="K1930" s="51" t="s">
        <v>6325</v>
      </c>
    </row>
    <row r="1931" spans="1:11">
      <c r="A1931" s="51">
        <v>1896</v>
      </c>
      <c r="B1931" s="51" t="s">
        <v>6324</v>
      </c>
      <c r="C1931" s="51" t="s">
        <v>6325</v>
      </c>
      <c r="D1931" s="52" t="s">
        <v>6334</v>
      </c>
      <c r="E1931" s="52" t="s">
        <v>6335</v>
      </c>
      <c r="F1931" s="53" t="s">
        <v>6269</v>
      </c>
      <c r="G1931" s="51" t="s">
        <v>4812</v>
      </c>
      <c r="H1931" s="54"/>
      <c r="I1931" s="55">
        <v>0</v>
      </c>
      <c r="K1931" s="51" t="s">
        <v>6325</v>
      </c>
    </row>
    <row r="1932" spans="1:11">
      <c r="A1932" s="51">
        <v>1897</v>
      </c>
      <c r="B1932" s="51" t="s">
        <v>6324</v>
      </c>
      <c r="C1932" s="51" t="s">
        <v>6325</v>
      </c>
      <c r="D1932" s="52" t="s">
        <v>6336</v>
      </c>
      <c r="E1932" s="52"/>
      <c r="F1932" s="53"/>
      <c r="G1932" s="51" t="s">
        <v>4812</v>
      </c>
      <c r="H1932" s="54"/>
      <c r="I1932" s="55">
        <v>45</v>
      </c>
      <c r="K1932" s="51" t="s">
        <v>6325</v>
      </c>
    </row>
    <row r="1933" spans="1:11">
      <c r="A1933" s="51">
        <v>1898</v>
      </c>
      <c r="B1933" s="51" t="s">
        <v>6324</v>
      </c>
      <c r="C1933" s="51" t="s">
        <v>6325</v>
      </c>
      <c r="D1933" s="52" t="s">
        <v>2560</v>
      </c>
      <c r="E1933" s="52" t="s">
        <v>2559</v>
      </c>
      <c r="F1933" s="53" t="s">
        <v>6337</v>
      </c>
      <c r="G1933" s="51" t="s">
        <v>4812</v>
      </c>
      <c r="H1933" s="54"/>
      <c r="I1933" s="55">
        <v>37</v>
      </c>
      <c r="K1933" s="51" t="s">
        <v>6325</v>
      </c>
    </row>
    <row r="1934" spans="1:11">
      <c r="A1934" s="51">
        <v>1899</v>
      </c>
      <c r="B1934" s="51" t="s">
        <v>6324</v>
      </c>
      <c r="C1934" s="51" t="s">
        <v>6325</v>
      </c>
      <c r="D1934" s="52" t="s">
        <v>3342</v>
      </c>
      <c r="E1934" s="52" t="s">
        <v>6338</v>
      </c>
      <c r="F1934" s="53" t="s">
        <v>4994</v>
      </c>
      <c r="G1934" s="51" t="s">
        <v>4812</v>
      </c>
      <c r="H1934" s="54"/>
      <c r="I1934" s="55">
        <v>39</v>
      </c>
      <c r="K1934" s="51" t="s">
        <v>6325</v>
      </c>
    </row>
    <row r="1935" spans="1:11">
      <c r="A1935" s="51">
        <v>1900</v>
      </c>
      <c r="B1935" s="51" t="s">
        <v>6324</v>
      </c>
      <c r="C1935" s="51" t="s">
        <v>6325</v>
      </c>
      <c r="D1935" s="52" t="s">
        <v>3324</v>
      </c>
      <c r="E1935" s="52" t="s">
        <v>6339</v>
      </c>
      <c r="F1935" s="53" t="s">
        <v>4995</v>
      </c>
      <c r="G1935" s="51" t="s">
        <v>4812</v>
      </c>
      <c r="H1935" s="54"/>
      <c r="I1935" s="55">
        <v>47</v>
      </c>
      <c r="K1935" s="51" t="s">
        <v>6325</v>
      </c>
    </row>
    <row r="1936" spans="1:11">
      <c r="A1936" s="51">
        <v>1901</v>
      </c>
      <c r="B1936" s="51" t="s">
        <v>6324</v>
      </c>
      <c r="C1936" s="51" t="s">
        <v>6325</v>
      </c>
      <c r="D1936" s="52" t="s">
        <v>3432</v>
      </c>
      <c r="E1936" s="52" t="s">
        <v>3431</v>
      </c>
      <c r="F1936" s="53" t="s">
        <v>6247</v>
      </c>
      <c r="G1936" s="51" t="s">
        <v>4812</v>
      </c>
      <c r="H1936" s="54"/>
      <c r="I1936" s="55">
        <v>71</v>
      </c>
      <c r="K1936" s="51" t="s">
        <v>6325</v>
      </c>
    </row>
    <row r="1937" spans="1:11">
      <c r="A1937" s="51">
        <v>1902</v>
      </c>
      <c r="B1937" s="51" t="s">
        <v>6324</v>
      </c>
      <c r="C1937" s="51" t="s">
        <v>6325</v>
      </c>
      <c r="D1937" s="52" t="s">
        <v>3438</v>
      </c>
      <c r="E1937" s="52" t="s">
        <v>3437</v>
      </c>
      <c r="F1937" s="53" t="s">
        <v>6247</v>
      </c>
      <c r="G1937" s="51" t="s">
        <v>4812</v>
      </c>
      <c r="H1937" s="54"/>
      <c r="I1937" s="55">
        <v>55</v>
      </c>
      <c r="K1937" s="51" t="s">
        <v>6325</v>
      </c>
    </row>
    <row r="1938" spans="1:11">
      <c r="A1938" s="51">
        <v>1903</v>
      </c>
      <c r="B1938" s="51" t="s">
        <v>6324</v>
      </c>
      <c r="C1938" s="51" t="s">
        <v>6325</v>
      </c>
      <c r="D1938" s="52" t="s">
        <v>1447</v>
      </c>
      <c r="E1938" s="52" t="s">
        <v>1446</v>
      </c>
      <c r="F1938" s="53" t="s">
        <v>4993</v>
      </c>
      <c r="G1938" s="51" t="s">
        <v>4812</v>
      </c>
      <c r="H1938" s="54"/>
      <c r="I1938" s="55">
        <v>36</v>
      </c>
      <c r="K1938" s="51" t="s">
        <v>6325</v>
      </c>
    </row>
    <row r="1939" spans="1:11">
      <c r="A1939" s="51">
        <v>1904</v>
      </c>
      <c r="B1939" s="51" t="s">
        <v>6324</v>
      </c>
      <c r="C1939" s="51" t="s">
        <v>6325</v>
      </c>
      <c r="D1939" s="52" t="s">
        <v>1481</v>
      </c>
      <c r="E1939" s="52" t="s">
        <v>1480</v>
      </c>
      <c r="F1939" s="53" t="s">
        <v>4992</v>
      </c>
      <c r="G1939" s="51" t="s">
        <v>4812</v>
      </c>
      <c r="H1939" s="54"/>
      <c r="I1939" s="55">
        <v>32</v>
      </c>
      <c r="K1939" s="51" t="s">
        <v>6325</v>
      </c>
    </row>
    <row r="1940" spans="1:11">
      <c r="A1940" s="51">
        <v>1905</v>
      </c>
      <c r="B1940" s="51" t="s">
        <v>6324</v>
      </c>
      <c r="C1940" s="51" t="s">
        <v>6325</v>
      </c>
      <c r="D1940" s="52" t="s">
        <v>1529</v>
      </c>
      <c r="E1940" s="52" t="s">
        <v>1528</v>
      </c>
      <c r="F1940" s="53" t="s">
        <v>6205</v>
      </c>
      <c r="G1940" s="51" t="s">
        <v>4812</v>
      </c>
      <c r="H1940" s="54"/>
      <c r="I1940" s="55">
        <v>55</v>
      </c>
      <c r="K1940" s="51" t="s">
        <v>6325</v>
      </c>
    </row>
    <row r="1941" spans="1:11">
      <c r="A1941" s="51">
        <v>1906</v>
      </c>
      <c r="B1941" s="51" t="s">
        <v>6324</v>
      </c>
      <c r="C1941" s="51" t="s">
        <v>6325</v>
      </c>
      <c r="D1941" s="52" t="s">
        <v>1507</v>
      </c>
      <c r="E1941" s="52" t="s">
        <v>1506</v>
      </c>
      <c r="F1941" s="53" t="s">
        <v>6206</v>
      </c>
      <c r="G1941" s="51" t="s">
        <v>4812</v>
      </c>
      <c r="H1941" s="54"/>
      <c r="I1941" s="55">
        <v>8</v>
      </c>
      <c r="K1941" s="51" t="s">
        <v>6325</v>
      </c>
    </row>
    <row r="1942" spans="1:11">
      <c r="A1942" s="51">
        <v>1907</v>
      </c>
      <c r="B1942" s="51" t="s">
        <v>6340</v>
      </c>
      <c r="C1942" s="51" t="s">
        <v>6341</v>
      </c>
      <c r="D1942" s="52" t="s">
        <v>3703</v>
      </c>
      <c r="E1942" s="52" t="s">
        <v>6342</v>
      </c>
      <c r="F1942" s="53" t="s">
        <v>5399</v>
      </c>
      <c r="G1942" s="51" t="s">
        <v>4812</v>
      </c>
      <c r="H1942" s="54"/>
      <c r="I1942" s="55">
        <v>259</v>
      </c>
      <c r="K1942" s="51" t="s">
        <v>6341</v>
      </c>
    </row>
    <row r="1943" spans="1:11">
      <c r="A1943" s="51">
        <v>1908</v>
      </c>
      <c r="B1943" s="51" t="s">
        <v>6340</v>
      </c>
      <c r="C1943" s="51" t="s">
        <v>6341</v>
      </c>
      <c r="D1943" s="52" t="s">
        <v>3672</v>
      </c>
      <c r="E1943" s="52" t="s">
        <v>3671</v>
      </c>
      <c r="F1943" s="53" t="s">
        <v>6343</v>
      </c>
      <c r="G1943" s="51" t="s">
        <v>4812</v>
      </c>
      <c r="H1943" s="54"/>
      <c r="I1943" s="55">
        <v>838</v>
      </c>
      <c r="K1943" s="51" t="s">
        <v>6341</v>
      </c>
    </row>
    <row r="1944" spans="1:11">
      <c r="A1944" s="51">
        <v>1909</v>
      </c>
      <c r="B1944" s="51" t="s">
        <v>6340</v>
      </c>
      <c r="C1944" s="51" t="s">
        <v>6341</v>
      </c>
      <c r="D1944" s="52" t="s">
        <v>3674</v>
      </c>
      <c r="E1944" s="52" t="s">
        <v>6344</v>
      </c>
      <c r="F1944" s="53" t="s">
        <v>6345</v>
      </c>
      <c r="G1944" s="51" t="s">
        <v>4812</v>
      </c>
      <c r="H1944" s="54"/>
      <c r="I1944" s="55">
        <v>144</v>
      </c>
      <c r="K1944" s="51" t="s">
        <v>6341</v>
      </c>
    </row>
    <row r="1945" spans="1:11">
      <c r="A1945" s="51">
        <v>1910</v>
      </c>
      <c r="B1945" s="51" t="s">
        <v>6340</v>
      </c>
      <c r="C1945" s="51" t="s">
        <v>6341</v>
      </c>
      <c r="D1945" s="52" t="s">
        <v>3718</v>
      </c>
      <c r="E1945" s="52" t="s">
        <v>6346</v>
      </c>
      <c r="F1945" s="53" t="s">
        <v>6347</v>
      </c>
      <c r="G1945" s="51" t="s">
        <v>4812</v>
      </c>
      <c r="H1945" s="54"/>
      <c r="I1945" s="55">
        <v>40</v>
      </c>
      <c r="K1945" s="51" t="s">
        <v>6341</v>
      </c>
    </row>
    <row r="1946" spans="1:11">
      <c r="A1946" s="51">
        <v>1911</v>
      </c>
      <c r="B1946" s="51" t="s">
        <v>6340</v>
      </c>
      <c r="C1946" s="51" t="s">
        <v>6341</v>
      </c>
      <c r="D1946" s="52" t="s">
        <v>3720</v>
      </c>
      <c r="E1946" s="52" t="s">
        <v>6348</v>
      </c>
      <c r="F1946" s="53" t="s">
        <v>6349</v>
      </c>
      <c r="G1946" s="51" t="s">
        <v>4812</v>
      </c>
      <c r="H1946" s="54"/>
      <c r="I1946" s="55">
        <v>16</v>
      </c>
      <c r="K1946" s="51" t="s">
        <v>6341</v>
      </c>
    </row>
    <row r="1947" spans="1:11">
      <c r="A1947" s="51">
        <v>1912</v>
      </c>
      <c r="B1947" s="51" t="s">
        <v>6340</v>
      </c>
      <c r="C1947" s="51" t="s">
        <v>6341</v>
      </c>
      <c r="D1947" s="52" t="s">
        <v>3654</v>
      </c>
      <c r="E1947" s="52" t="s">
        <v>6350</v>
      </c>
      <c r="F1947" s="53" t="s">
        <v>6351</v>
      </c>
      <c r="G1947" s="51" t="s">
        <v>4812</v>
      </c>
      <c r="H1947" s="54"/>
      <c r="I1947" s="55">
        <v>41</v>
      </c>
      <c r="K1947" s="51" t="s">
        <v>6341</v>
      </c>
    </row>
    <row r="1948" spans="1:11">
      <c r="A1948" s="51">
        <v>1913</v>
      </c>
      <c r="B1948" s="51" t="s">
        <v>6340</v>
      </c>
      <c r="C1948" s="51" t="s">
        <v>6341</v>
      </c>
      <c r="D1948" s="52" t="s">
        <v>3652</v>
      </c>
      <c r="E1948" s="52" t="s">
        <v>6352</v>
      </c>
      <c r="F1948" s="53" t="s">
        <v>6353</v>
      </c>
      <c r="G1948" s="51" t="s">
        <v>4812</v>
      </c>
      <c r="H1948" s="54"/>
      <c r="I1948" s="55">
        <v>237</v>
      </c>
      <c r="K1948" s="51" t="s">
        <v>6341</v>
      </c>
    </row>
    <row r="1949" spans="1:11">
      <c r="A1949" s="51">
        <v>1914</v>
      </c>
      <c r="B1949" s="51" t="s">
        <v>6340</v>
      </c>
      <c r="C1949" s="51" t="s">
        <v>6341</v>
      </c>
      <c r="D1949" s="52" t="s">
        <v>3732</v>
      </c>
      <c r="E1949" s="52" t="s">
        <v>3731</v>
      </c>
      <c r="F1949" s="53" t="s">
        <v>5410</v>
      </c>
      <c r="G1949" s="51" t="s">
        <v>4812</v>
      </c>
      <c r="H1949" s="54"/>
      <c r="I1949" s="55">
        <v>3960</v>
      </c>
      <c r="K1949" s="51" t="s">
        <v>6341</v>
      </c>
    </row>
    <row r="1950" spans="1:11">
      <c r="A1950" s="51">
        <v>1915</v>
      </c>
      <c r="B1950" s="51" t="s">
        <v>6340</v>
      </c>
      <c r="C1950" s="51" t="s">
        <v>6341</v>
      </c>
      <c r="D1950" s="52" t="s">
        <v>3734</v>
      </c>
      <c r="E1950" s="52" t="s">
        <v>3733</v>
      </c>
      <c r="F1950" s="53" t="s">
        <v>5410</v>
      </c>
      <c r="G1950" s="51" t="s">
        <v>4812</v>
      </c>
      <c r="H1950" s="54"/>
      <c r="I1950" s="55">
        <v>641</v>
      </c>
      <c r="K1950" s="51" t="s">
        <v>6341</v>
      </c>
    </row>
    <row r="1951" spans="1:11">
      <c r="A1951" s="51">
        <v>1916</v>
      </c>
      <c r="B1951" s="51" t="s">
        <v>6340</v>
      </c>
      <c r="C1951" s="51" t="s">
        <v>6341</v>
      </c>
      <c r="D1951" s="52" t="s">
        <v>3736</v>
      </c>
      <c r="E1951" s="52" t="s">
        <v>3735</v>
      </c>
      <c r="F1951" s="53" t="s">
        <v>5410</v>
      </c>
      <c r="G1951" s="51" t="s">
        <v>4812</v>
      </c>
      <c r="H1951" s="54"/>
      <c r="I1951" s="55">
        <v>685</v>
      </c>
      <c r="K1951" s="51" t="s">
        <v>6341</v>
      </c>
    </row>
    <row r="1952" spans="1:11">
      <c r="A1952" s="51">
        <v>1917</v>
      </c>
      <c r="B1952" s="51" t="s">
        <v>6340</v>
      </c>
      <c r="C1952" s="51" t="s">
        <v>6341</v>
      </c>
      <c r="D1952" s="52" t="s">
        <v>3722</v>
      </c>
      <c r="E1952" s="52" t="s">
        <v>3721</v>
      </c>
      <c r="F1952" s="53" t="s">
        <v>5409</v>
      </c>
      <c r="G1952" s="51" t="s">
        <v>4812</v>
      </c>
      <c r="H1952" s="54"/>
      <c r="I1952" s="55">
        <v>0</v>
      </c>
      <c r="K1952" s="51" t="s">
        <v>6341</v>
      </c>
    </row>
    <row r="1953" spans="1:11">
      <c r="A1953" s="51">
        <v>1918</v>
      </c>
      <c r="B1953" s="51" t="s">
        <v>6340</v>
      </c>
      <c r="C1953" s="51" t="s">
        <v>6341</v>
      </c>
      <c r="D1953" s="52" t="s">
        <v>3656</v>
      </c>
      <c r="E1953" s="52" t="s">
        <v>3655</v>
      </c>
      <c r="F1953" s="53" t="s">
        <v>5413</v>
      </c>
      <c r="G1953" s="51" t="s">
        <v>4812</v>
      </c>
      <c r="H1953" s="54"/>
      <c r="I1953" s="55">
        <v>693</v>
      </c>
      <c r="K1953" s="51" t="s">
        <v>6341</v>
      </c>
    </row>
    <row r="1954" spans="1:11">
      <c r="A1954" s="51">
        <v>1919</v>
      </c>
      <c r="B1954" s="51" t="s">
        <v>6340</v>
      </c>
      <c r="C1954" s="51" t="s">
        <v>6341</v>
      </c>
      <c r="D1954" s="52" t="s">
        <v>3730</v>
      </c>
      <c r="E1954" s="52" t="s">
        <v>3729</v>
      </c>
      <c r="F1954" s="53" t="s">
        <v>6354</v>
      </c>
      <c r="G1954" s="51" t="s">
        <v>4812</v>
      </c>
      <c r="H1954" s="54"/>
      <c r="I1954" s="55">
        <v>77</v>
      </c>
      <c r="K1954" s="51" t="s">
        <v>6341</v>
      </c>
    </row>
    <row r="1955" spans="1:11">
      <c r="A1955" s="51">
        <v>1920</v>
      </c>
      <c r="B1955" s="51" t="s">
        <v>6340</v>
      </c>
      <c r="C1955" s="51" t="s">
        <v>6341</v>
      </c>
      <c r="D1955" s="52" t="s">
        <v>3027</v>
      </c>
      <c r="E1955" s="52" t="s">
        <v>3026</v>
      </c>
      <c r="F1955" s="53" t="s">
        <v>5406</v>
      </c>
      <c r="G1955" s="51" t="s">
        <v>4812</v>
      </c>
      <c r="H1955" s="54"/>
      <c r="I1955" s="55">
        <v>0</v>
      </c>
      <c r="K1955" s="51" t="s">
        <v>6341</v>
      </c>
    </row>
    <row r="1956" spans="1:11">
      <c r="A1956" s="51">
        <v>1921</v>
      </c>
      <c r="B1956" s="51" t="s">
        <v>6340</v>
      </c>
      <c r="C1956" s="51" t="s">
        <v>6341</v>
      </c>
      <c r="D1956" s="52" t="s">
        <v>3043</v>
      </c>
      <c r="E1956" s="52" t="s">
        <v>3042</v>
      </c>
      <c r="F1956" s="53" t="s">
        <v>5403</v>
      </c>
      <c r="G1956" s="51" t="s">
        <v>4812</v>
      </c>
      <c r="H1956" s="54"/>
      <c r="I1956" s="55">
        <v>0</v>
      </c>
      <c r="K1956" s="51" t="s">
        <v>6341</v>
      </c>
    </row>
    <row r="1957" spans="1:11">
      <c r="A1957" s="51">
        <v>1922</v>
      </c>
      <c r="B1957" s="51" t="s">
        <v>6340</v>
      </c>
      <c r="C1957" s="51" t="s">
        <v>6341</v>
      </c>
      <c r="D1957" s="52" t="s">
        <v>3693</v>
      </c>
      <c r="E1957" s="52" t="s">
        <v>3692</v>
      </c>
      <c r="F1957" s="53" t="s">
        <v>5414</v>
      </c>
      <c r="G1957" s="51" t="s">
        <v>4812</v>
      </c>
      <c r="H1957" s="54"/>
      <c r="I1957" s="55">
        <v>115</v>
      </c>
      <c r="K1957" s="51" t="s">
        <v>6341</v>
      </c>
    </row>
    <row r="1958" spans="1:11">
      <c r="A1958" s="51">
        <v>1923</v>
      </c>
      <c r="B1958" s="51" t="s">
        <v>6340</v>
      </c>
      <c r="C1958" s="51" t="s">
        <v>6341</v>
      </c>
      <c r="D1958" s="52" t="s">
        <v>3697</v>
      </c>
      <c r="E1958" s="52" t="s">
        <v>3696</v>
      </c>
      <c r="F1958" s="53" t="s">
        <v>6354</v>
      </c>
      <c r="G1958" s="51" t="s">
        <v>4812</v>
      </c>
      <c r="H1958" s="54"/>
      <c r="I1958" s="55">
        <v>18</v>
      </c>
      <c r="K1958" s="51" t="s">
        <v>6341</v>
      </c>
    </row>
    <row r="1959" spans="1:11">
      <c r="A1959" s="51">
        <v>1924</v>
      </c>
      <c r="B1959" s="51" t="s">
        <v>6355</v>
      </c>
      <c r="C1959" s="51" t="s">
        <v>6356</v>
      </c>
      <c r="D1959" s="52" t="s">
        <v>6357</v>
      </c>
      <c r="E1959" s="52" t="s">
        <v>6357</v>
      </c>
      <c r="F1959" s="53" t="s">
        <v>5057</v>
      </c>
      <c r="G1959" s="51" t="s">
        <v>4812</v>
      </c>
      <c r="H1959" s="54"/>
      <c r="I1959" s="55">
        <v>4</v>
      </c>
      <c r="K1959" s="51" t="s">
        <v>6356</v>
      </c>
    </row>
    <row r="1960" spans="1:11">
      <c r="A1960" s="51">
        <v>1925</v>
      </c>
      <c r="B1960" s="51" t="s">
        <v>6355</v>
      </c>
      <c r="C1960" s="51" t="s">
        <v>6356</v>
      </c>
      <c r="D1960" s="52" t="s">
        <v>6358</v>
      </c>
      <c r="E1960" s="52" t="s">
        <v>6358</v>
      </c>
      <c r="F1960" s="53" t="s">
        <v>5059</v>
      </c>
      <c r="G1960" s="51" t="s">
        <v>4812</v>
      </c>
      <c r="H1960" s="54"/>
      <c r="I1960" s="55">
        <v>1</v>
      </c>
      <c r="K1960" s="51" t="s">
        <v>6356</v>
      </c>
    </row>
    <row r="1961" spans="1:11">
      <c r="A1961" s="51">
        <v>1926</v>
      </c>
      <c r="B1961" s="51" t="s">
        <v>6355</v>
      </c>
      <c r="C1961" s="51" t="s">
        <v>6356</v>
      </c>
      <c r="D1961" s="52" t="s">
        <v>4005</v>
      </c>
      <c r="E1961" s="52" t="s">
        <v>4004</v>
      </c>
      <c r="F1961" s="53" t="s">
        <v>6359</v>
      </c>
      <c r="G1961" s="51" t="s">
        <v>4812</v>
      </c>
      <c r="H1961" s="54"/>
      <c r="I1961" s="55">
        <v>165</v>
      </c>
      <c r="K1961" s="51" t="s">
        <v>6356</v>
      </c>
    </row>
    <row r="1962" spans="1:11">
      <c r="A1962" s="51">
        <v>1927</v>
      </c>
      <c r="B1962" s="51" t="s">
        <v>6355</v>
      </c>
      <c r="C1962" s="51" t="s">
        <v>6356</v>
      </c>
      <c r="D1962" s="52" t="s">
        <v>1392</v>
      </c>
      <c r="E1962" s="52" t="s">
        <v>1391</v>
      </c>
      <c r="F1962" s="53" t="s">
        <v>101</v>
      </c>
      <c r="G1962" s="51" t="s">
        <v>4812</v>
      </c>
      <c r="H1962" s="54"/>
      <c r="I1962" s="55">
        <v>19</v>
      </c>
      <c r="K1962" s="51" t="s">
        <v>6356</v>
      </c>
    </row>
    <row r="1963" spans="1:11">
      <c r="A1963" s="51">
        <v>1928</v>
      </c>
      <c r="B1963" s="51" t="s">
        <v>6355</v>
      </c>
      <c r="C1963" s="51" t="s">
        <v>6356</v>
      </c>
      <c r="D1963" s="52" t="s">
        <v>1394</v>
      </c>
      <c r="E1963" s="52" t="s">
        <v>1393</v>
      </c>
      <c r="F1963" s="53" t="s">
        <v>101</v>
      </c>
      <c r="G1963" s="51" t="s">
        <v>4812</v>
      </c>
      <c r="H1963" s="54"/>
      <c r="I1963" s="55">
        <v>15</v>
      </c>
      <c r="K1963" s="51" t="s">
        <v>6356</v>
      </c>
    </row>
    <row r="1964" spans="1:11">
      <c r="A1964" s="51">
        <v>1929</v>
      </c>
      <c r="B1964" s="51" t="s">
        <v>6355</v>
      </c>
      <c r="C1964" s="51" t="s">
        <v>6356</v>
      </c>
      <c r="D1964" s="52" t="s">
        <v>3799</v>
      </c>
      <c r="E1964" s="52" t="s">
        <v>3798</v>
      </c>
      <c r="F1964" s="53" t="s">
        <v>6360</v>
      </c>
      <c r="G1964" s="51" t="s">
        <v>4812</v>
      </c>
      <c r="H1964" s="54"/>
      <c r="I1964" s="55">
        <v>128</v>
      </c>
      <c r="K1964" s="51" t="s">
        <v>6356</v>
      </c>
    </row>
    <row r="1965" spans="1:11">
      <c r="A1965" s="51">
        <v>1930</v>
      </c>
      <c r="B1965" s="51" t="s">
        <v>6355</v>
      </c>
      <c r="C1965" s="51" t="s">
        <v>6356</v>
      </c>
      <c r="D1965" s="52" t="s">
        <v>3801</v>
      </c>
      <c r="E1965" s="52" t="s">
        <v>3800</v>
      </c>
      <c r="F1965" s="53" t="s">
        <v>6360</v>
      </c>
      <c r="G1965" s="51" t="s">
        <v>4812</v>
      </c>
      <c r="H1965" s="54"/>
      <c r="I1965" s="55">
        <v>207</v>
      </c>
      <c r="K1965" s="51" t="s">
        <v>6356</v>
      </c>
    </row>
    <row r="1966" spans="1:11">
      <c r="A1966" s="51">
        <v>1931</v>
      </c>
      <c r="B1966" s="51" t="s">
        <v>6355</v>
      </c>
      <c r="C1966" s="51" t="s">
        <v>6356</v>
      </c>
      <c r="D1966" s="52" t="s">
        <v>556</v>
      </c>
      <c r="E1966" s="52" t="s">
        <v>555</v>
      </c>
      <c r="F1966" s="53" t="s">
        <v>6361</v>
      </c>
      <c r="G1966" s="51" t="s">
        <v>4812</v>
      </c>
      <c r="H1966" s="54"/>
      <c r="I1966" s="55">
        <v>61</v>
      </c>
      <c r="K1966" s="51" t="s">
        <v>6356</v>
      </c>
    </row>
    <row r="1967" spans="1:11">
      <c r="A1967" s="51">
        <v>1932</v>
      </c>
      <c r="B1967" s="51" t="s">
        <v>6355</v>
      </c>
      <c r="C1967" s="51" t="s">
        <v>6356</v>
      </c>
      <c r="D1967" s="52" t="s">
        <v>1627</v>
      </c>
      <c r="E1967" s="52" t="s">
        <v>1626</v>
      </c>
      <c r="F1967" s="53" t="s">
        <v>6362</v>
      </c>
      <c r="G1967" s="51" t="s">
        <v>4812</v>
      </c>
      <c r="H1967" s="54"/>
      <c r="I1967" s="55">
        <v>27</v>
      </c>
      <c r="K1967" s="51" t="s">
        <v>6356</v>
      </c>
    </row>
    <row r="1968" spans="1:11">
      <c r="A1968" s="51">
        <v>1933</v>
      </c>
      <c r="B1968" s="51" t="s">
        <v>6363</v>
      </c>
      <c r="C1968" s="51" t="s">
        <v>6364</v>
      </c>
      <c r="D1968" s="52" t="s">
        <v>6165</v>
      </c>
      <c r="E1968" s="52" t="s">
        <v>6365</v>
      </c>
      <c r="F1968" s="53" t="s">
        <v>6166</v>
      </c>
      <c r="G1968" s="51" t="s">
        <v>4812</v>
      </c>
      <c r="H1968" s="54"/>
      <c r="I1968" s="55">
        <v>0</v>
      </c>
      <c r="K1968" s="51" t="s">
        <v>6364</v>
      </c>
    </row>
    <row r="1969" spans="1:11">
      <c r="A1969" s="51">
        <v>1934</v>
      </c>
      <c r="B1969" s="51" t="s">
        <v>6363</v>
      </c>
      <c r="C1969" s="51" t="s">
        <v>6364</v>
      </c>
      <c r="D1969" s="52" t="s">
        <v>6167</v>
      </c>
      <c r="E1969" s="52" t="s">
        <v>6365</v>
      </c>
      <c r="F1969" s="53" t="s">
        <v>6168</v>
      </c>
      <c r="G1969" s="51" t="s">
        <v>4812</v>
      </c>
      <c r="H1969" s="54"/>
      <c r="I1969" s="55">
        <v>0</v>
      </c>
      <c r="K1969" s="51" t="s">
        <v>6364</v>
      </c>
    </row>
    <row r="1970" spans="1:11">
      <c r="A1970" s="51">
        <v>1935</v>
      </c>
      <c r="B1970" s="51" t="s">
        <v>6363</v>
      </c>
      <c r="C1970" s="51" t="s">
        <v>6364</v>
      </c>
      <c r="D1970" s="52" t="s">
        <v>6366</v>
      </c>
      <c r="E1970" s="52"/>
      <c r="F1970" s="53"/>
      <c r="G1970" s="51" t="s">
        <v>4812</v>
      </c>
      <c r="H1970" s="54"/>
      <c r="I1970" s="55">
        <v>0</v>
      </c>
      <c r="K1970" s="51" t="s">
        <v>6364</v>
      </c>
    </row>
    <row r="1971" spans="1:11">
      <c r="A1971" s="51">
        <v>1936</v>
      </c>
      <c r="B1971" s="51" t="s">
        <v>6363</v>
      </c>
      <c r="C1971" s="51" t="s">
        <v>6364</v>
      </c>
      <c r="D1971" s="52" t="s">
        <v>6367</v>
      </c>
      <c r="E1971" s="52" t="s">
        <v>6365</v>
      </c>
      <c r="F1971" s="53" t="s">
        <v>5057</v>
      </c>
      <c r="G1971" s="51" t="s">
        <v>4812</v>
      </c>
      <c r="H1971" s="54"/>
      <c r="I1971" s="55">
        <v>4</v>
      </c>
      <c r="K1971" s="51" t="s">
        <v>6364</v>
      </c>
    </row>
    <row r="1972" spans="1:11">
      <c r="A1972" s="51">
        <v>1937</v>
      </c>
      <c r="B1972" s="51" t="s">
        <v>6363</v>
      </c>
      <c r="C1972" s="51" t="s">
        <v>6364</v>
      </c>
      <c r="D1972" s="52" t="s">
        <v>6368</v>
      </c>
      <c r="E1972" s="52" t="s">
        <v>6365</v>
      </c>
      <c r="F1972" s="53" t="s">
        <v>5059</v>
      </c>
      <c r="G1972" s="51" t="s">
        <v>4812</v>
      </c>
      <c r="H1972" s="54"/>
      <c r="I1972" s="55">
        <v>1</v>
      </c>
      <c r="K1972" s="51" t="s">
        <v>6364</v>
      </c>
    </row>
    <row r="1973" spans="1:11">
      <c r="A1973" s="51">
        <v>1938</v>
      </c>
      <c r="B1973" s="51" t="s">
        <v>6363</v>
      </c>
      <c r="C1973" s="51" t="s">
        <v>6364</v>
      </c>
      <c r="D1973" s="52" t="s">
        <v>6369</v>
      </c>
      <c r="E1973" s="52"/>
      <c r="F1973" s="53"/>
      <c r="G1973" s="51" t="s">
        <v>4812</v>
      </c>
      <c r="H1973" s="54"/>
      <c r="I1973" s="55">
        <v>0</v>
      </c>
      <c r="K1973" s="51" t="s">
        <v>6364</v>
      </c>
    </row>
    <row r="1974" spans="1:11">
      <c r="A1974" s="51">
        <v>1939</v>
      </c>
      <c r="B1974" s="51" t="s">
        <v>6363</v>
      </c>
      <c r="C1974" s="51" t="s">
        <v>6364</v>
      </c>
      <c r="D1974" s="52" t="s">
        <v>1150</v>
      </c>
      <c r="E1974" s="52" t="s">
        <v>6365</v>
      </c>
      <c r="F1974" s="53" t="s">
        <v>98</v>
      </c>
      <c r="G1974" s="51" t="s">
        <v>4812</v>
      </c>
      <c r="H1974" s="54"/>
      <c r="I1974" s="55">
        <v>0</v>
      </c>
      <c r="K1974" s="51" t="s">
        <v>6364</v>
      </c>
    </row>
    <row r="1975" spans="1:11">
      <c r="A1975" s="51">
        <v>1940</v>
      </c>
      <c r="B1975" s="51" t="s">
        <v>6363</v>
      </c>
      <c r="C1975" s="51" t="s">
        <v>6364</v>
      </c>
      <c r="D1975" s="52" t="s">
        <v>1964</v>
      </c>
      <c r="E1975" s="52" t="s">
        <v>1963</v>
      </c>
      <c r="F1975" s="53" t="s">
        <v>6370</v>
      </c>
      <c r="G1975" s="51" t="s">
        <v>4812</v>
      </c>
      <c r="H1975" s="54"/>
      <c r="I1975" s="55">
        <v>75</v>
      </c>
      <c r="K1975" s="51" t="s">
        <v>6364</v>
      </c>
    </row>
    <row r="1976" spans="1:11">
      <c r="A1976" s="51">
        <v>1941</v>
      </c>
      <c r="B1976" s="51" t="s">
        <v>6363</v>
      </c>
      <c r="C1976" s="51" t="s">
        <v>6364</v>
      </c>
      <c r="D1976" s="52" t="s">
        <v>1418</v>
      </c>
      <c r="E1976" s="52" t="s">
        <v>1417</v>
      </c>
      <c r="F1976" s="53" t="s">
        <v>6371</v>
      </c>
      <c r="G1976" s="51" t="s">
        <v>4812</v>
      </c>
      <c r="H1976" s="54"/>
      <c r="I1976" s="55">
        <v>18</v>
      </c>
      <c r="K1976" s="51" t="s">
        <v>6364</v>
      </c>
    </row>
    <row r="1977" spans="1:11">
      <c r="A1977" s="51">
        <v>1942</v>
      </c>
      <c r="B1977" s="51" t="s">
        <v>6363</v>
      </c>
      <c r="C1977" s="51" t="s">
        <v>6364</v>
      </c>
      <c r="D1977" s="52" t="s">
        <v>1416</v>
      </c>
      <c r="E1977" s="52" t="s">
        <v>1415</v>
      </c>
      <c r="F1977" s="53" t="s">
        <v>6372</v>
      </c>
      <c r="G1977" s="51" t="s">
        <v>4812</v>
      </c>
      <c r="H1977" s="54"/>
      <c r="I1977" s="55">
        <v>40</v>
      </c>
      <c r="K1977" s="51" t="s">
        <v>6364</v>
      </c>
    </row>
    <row r="1978" spans="1:11">
      <c r="A1978" s="51">
        <v>1943</v>
      </c>
      <c r="B1978" s="51" t="s">
        <v>6363</v>
      </c>
      <c r="C1978" s="51" t="s">
        <v>6364</v>
      </c>
      <c r="D1978" s="52" t="s">
        <v>1541</v>
      </c>
      <c r="E1978" s="52" t="s">
        <v>1540</v>
      </c>
      <c r="F1978" s="53" t="s">
        <v>6373</v>
      </c>
      <c r="G1978" s="51" t="s">
        <v>4812</v>
      </c>
      <c r="H1978" s="54"/>
      <c r="I1978" s="55">
        <v>25</v>
      </c>
      <c r="K1978" s="51" t="s">
        <v>6364</v>
      </c>
    </row>
    <row r="1979" spans="1:11">
      <c r="A1979" s="51">
        <v>1944</v>
      </c>
      <c r="B1979" s="51" t="s">
        <v>6363</v>
      </c>
      <c r="C1979" s="51" t="s">
        <v>6364</v>
      </c>
      <c r="D1979" s="52" t="s">
        <v>6374</v>
      </c>
      <c r="E1979" s="52" t="s">
        <v>6375</v>
      </c>
      <c r="F1979" s="53" t="s">
        <v>6376</v>
      </c>
      <c r="G1979" s="51" t="s">
        <v>4812</v>
      </c>
      <c r="H1979" s="54"/>
      <c r="I1979" s="55">
        <v>0</v>
      </c>
      <c r="K1979" s="51" t="s">
        <v>6364</v>
      </c>
    </row>
    <row r="1980" spans="1:11">
      <c r="A1980" s="51">
        <v>1945</v>
      </c>
      <c r="B1980" s="51" t="s">
        <v>6363</v>
      </c>
      <c r="C1980" s="51" t="s">
        <v>6364</v>
      </c>
      <c r="D1980" s="52" t="s">
        <v>6377</v>
      </c>
      <c r="E1980" s="52" t="s">
        <v>6378</v>
      </c>
      <c r="F1980" s="53" t="s">
        <v>5226</v>
      </c>
      <c r="G1980" s="51" t="s">
        <v>4812</v>
      </c>
      <c r="H1980" s="54"/>
      <c r="I1980" s="55">
        <v>0</v>
      </c>
      <c r="K1980" s="51" t="s">
        <v>6364</v>
      </c>
    </row>
    <row r="1981" spans="1:11">
      <c r="A1981" s="51">
        <v>1946</v>
      </c>
      <c r="B1981" s="51" t="s">
        <v>6363</v>
      </c>
      <c r="C1981" s="51" t="s">
        <v>6364</v>
      </c>
      <c r="D1981" s="52" t="s">
        <v>6379</v>
      </c>
      <c r="E1981" s="52" t="s">
        <v>6380</v>
      </c>
      <c r="F1981" s="53" t="s">
        <v>119</v>
      </c>
      <c r="G1981" s="51" t="s">
        <v>4812</v>
      </c>
      <c r="H1981" s="54"/>
      <c r="I1981" s="55">
        <v>0</v>
      </c>
      <c r="K1981" s="51" t="s">
        <v>6364</v>
      </c>
    </row>
    <row r="1982" spans="1:11">
      <c r="A1982" s="51">
        <v>1947</v>
      </c>
      <c r="B1982" s="51" t="s">
        <v>6363</v>
      </c>
      <c r="C1982" s="51" t="s">
        <v>6364</v>
      </c>
      <c r="D1982" s="52" t="s">
        <v>6381</v>
      </c>
      <c r="E1982" s="52" t="s">
        <v>6382</v>
      </c>
      <c r="F1982" s="53" t="s">
        <v>5125</v>
      </c>
      <c r="G1982" s="51" t="s">
        <v>4812</v>
      </c>
      <c r="H1982" s="54"/>
      <c r="I1982" s="55">
        <v>0</v>
      </c>
      <c r="K1982" s="51" t="s">
        <v>6364</v>
      </c>
    </row>
    <row r="1983" spans="1:11">
      <c r="A1983" s="51">
        <v>1948</v>
      </c>
      <c r="B1983" s="51" t="s">
        <v>6363</v>
      </c>
      <c r="C1983" s="51" t="s">
        <v>6364</v>
      </c>
      <c r="D1983" s="52" t="s">
        <v>6383</v>
      </c>
      <c r="E1983" s="52" t="s">
        <v>6384</v>
      </c>
      <c r="F1983" s="53" t="s">
        <v>5226</v>
      </c>
      <c r="G1983" s="51" t="s">
        <v>4812</v>
      </c>
      <c r="H1983" s="54"/>
      <c r="I1983" s="55">
        <v>0</v>
      </c>
      <c r="K1983" s="51" t="s">
        <v>6364</v>
      </c>
    </row>
    <row r="1984" spans="1:11">
      <c r="A1984" s="51">
        <v>1949</v>
      </c>
      <c r="B1984" s="51" t="s">
        <v>6363</v>
      </c>
      <c r="C1984" s="51" t="s">
        <v>6364</v>
      </c>
      <c r="D1984" s="52" t="s">
        <v>6385</v>
      </c>
      <c r="E1984" s="52" t="s">
        <v>6386</v>
      </c>
      <c r="F1984" s="53" t="s">
        <v>119</v>
      </c>
      <c r="G1984" s="51" t="s">
        <v>4812</v>
      </c>
      <c r="H1984" s="54"/>
      <c r="I1984" s="55">
        <v>0</v>
      </c>
      <c r="K1984" s="51" t="s">
        <v>6364</v>
      </c>
    </row>
    <row r="1985" spans="1:11">
      <c r="A1985" s="51">
        <v>1950</v>
      </c>
      <c r="B1985" s="51" t="s">
        <v>6363</v>
      </c>
      <c r="C1985" s="51" t="s">
        <v>6364</v>
      </c>
      <c r="D1985" s="52" t="s">
        <v>973</v>
      </c>
      <c r="E1985" s="52"/>
      <c r="F1985" s="53"/>
      <c r="G1985" s="51" t="s">
        <v>4812</v>
      </c>
      <c r="H1985" s="54"/>
      <c r="I1985" s="55">
        <v>47</v>
      </c>
      <c r="K1985" s="51" t="s">
        <v>6364</v>
      </c>
    </row>
    <row r="1986" spans="1:11">
      <c r="A1986" s="51">
        <v>1951</v>
      </c>
      <c r="B1986" s="51" t="s">
        <v>6363</v>
      </c>
      <c r="C1986" s="51" t="s">
        <v>6364</v>
      </c>
      <c r="D1986" s="52" t="s">
        <v>977</v>
      </c>
      <c r="E1986" s="52"/>
      <c r="F1986" s="53"/>
      <c r="G1986" s="51" t="s">
        <v>4812</v>
      </c>
      <c r="H1986" s="54"/>
      <c r="I1986" s="55">
        <v>37</v>
      </c>
      <c r="K1986" s="51" t="s">
        <v>6364</v>
      </c>
    </row>
    <row r="1987" spans="1:11">
      <c r="A1987" s="51">
        <v>1952</v>
      </c>
      <c r="B1987" s="51" t="s">
        <v>6363</v>
      </c>
      <c r="C1987" s="51" t="s">
        <v>6364</v>
      </c>
      <c r="D1987" s="52" t="s">
        <v>1073</v>
      </c>
      <c r="E1987" s="52"/>
      <c r="F1987" s="53"/>
      <c r="G1987" s="51" t="s">
        <v>4812</v>
      </c>
      <c r="H1987" s="54"/>
      <c r="I1987" s="55">
        <v>2</v>
      </c>
      <c r="K1987" s="51" t="s">
        <v>6364</v>
      </c>
    </row>
    <row r="1988" spans="1:11">
      <c r="A1988" s="51">
        <v>1953</v>
      </c>
      <c r="B1988" s="51" t="s">
        <v>6363</v>
      </c>
      <c r="C1988" s="51" t="s">
        <v>6364</v>
      </c>
      <c r="D1988" s="52" t="s">
        <v>1330</v>
      </c>
      <c r="E1988" s="52"/>
      <c r="F1988" s="53"/>
      <c r="G1988" s="51" t="s">
        <v>4812</v>
      </c>
      <c r="H1988" s="54"/>
      <c r="I1988" s="55">
        <v>0</v>
      </c>
      <c r="K1988" s="51" t="s">
        <v>6364</v>
      </c>
    </row>
    <row r="1989" spans="1:11">
      <c r="A1989" s="51">
        <v>1954</v>
      </c>
      <c r="B1989" s="51" t="s">
        <v>6363</v>
      </c>
      <c r="C1989" s="51" t="s">
        <v>6364</v>
      </c>
      <c r="D1989" s="52" t="s">
        <v>1146</v>
      </c>
      <c r="E1989" s="52" t="s">
        <v>6365</v>
      </c>
      <c r="F1989" s="53" t="s">
        <v>98</v>
      </c>
      <c r="G1989" s="51" t="s">
        <v>4812</v>
      </c>
      <c r="H1989" s="54"/>
      <c r="I1989" s="55">
        <v>0</v>
      </c>
      <c r="K1989" s="51" t="s">
        <v>6364</v>
      </c>
    </row>
    <row r="1990" spans="1:11">
      <c r="A1990" s="51">
        <v>1955</v>
      </c>
      <c r="B1990" s="51" t="s">
        <v>6363</v>
      </c>
      <c r="C1990" s="51" t="s">
        <v>6364</v>
      </c>
      <c r="D1990" s="52" t="s">
        <v>1144</v>
      </c>
      <c r="E1990" s="52" t="s">
        <v>6365</v>
      </c>
      <c r="F1990" s="53" t="s">
        <v>98</v>
      </c>
      <c r="G1990" s="51" t="s">
        <v>4812</v>
      </c>
      <c r="H1990" s="54"/>
      <c r="I1990" s="55">
        <v>0</v>
      </c>
      <c r="K1990" s="51" t="s">
        <v>6364</v>
      </c>
    </row>
    <row r="1991" spans="1:11">
      <c r="A1991" s="51">
        <v>1956</v>
      </c>
      <c r="B1991" s="51" t="s">
        <v>6387</v>
      </c>
      <c r="C1991" s="51" t="s">
        <v>6388</v>
      </c>
      <c r="D1991" s="52" t="s">
        <v>2110</v>
      </c>
      <c r="E1991" s="52" t="s">
        <v>2109</v>
      </c>
      <c r="F1991" s="53" t="s">
        <v>6389</v>
      </c>
      <c r="G1991" s="51" t="s">
        <v>4812</v>
      </c>
      <c r="H1991" s="54"/>
      <c r="I1991" s="55">
        <v>15</v>
      </c>
      <c r="K1991" s="51" t="s">
        <v>6388</v>
      </c>
    </row>
    <row r="1992" spans="1:11">
      <c r="A1992" s="51">
        <v>1957</v>
      </c>
      <c r="B1992" s="51" t="s">
        <v>6387</v>
      </c>
      <c r="C1992" s="51" t="s">
        <v>6388</v>
      </c>
      <c r="D1992" s="52" t="s">
        <v>2114</v>
      </c>
      <c r="E1992" s="52" t="s">
        <v>2113</v>
      </c>
      <c r="F1992" s="53" t="s">
        <v>6390</v>
      </c>
      <c r="G1992" s="51" t="s">
        <v>4812</v>
      </c>
      <c r="H1992" s="54"/>
      <c r="I1992" s="55">
        <v>10</v>
      </c>
      <c r="K1992" s="51" t="s">
        <v>6388</v>
      </c>
    </row>
    <row r="1993" spans="1:11">
      <c r="A1993" s="51">
        <v>1958</v>
      </c>
      <c r="B1993" s="51" t="s">
        <v>6387</v>
      </c>
      <c r="C1993" s="51" t="s">
        <v>6388</v>
      </c>
      <c r="D1993" s="52" t="s">
        <v>3266</v>
      </c>
      <c r="E1993" s="52" t="s">
        <v>3265</v>
      </c>
      <c r="F1993" s="53" t="s">
        <v>6391</v>
      </c>
      <c r="G1993" s="51" t="s">
        <v>4812</v>
      </c>
      <c r="H1993" s="54"/>
      <c r="I1993" s="55">
        <v>43</v>
      </c>
      <c r="K1993" s="51" t="s">
        <v>6388</v>
      </c>
    </row>
    <row r="1994" spans="1:11">
      <c r="A1994" s="51">
        <v>1959</v>
      </c>
      <c r="B1994" s="51" t="s">
        <v>6387</v>
      </c>
      <c r="C1994" s="51" t="s">
        <v>6388</v>
      </c>
      <c r="D1994" s="52" t="s">
        <v>2917</v>
      </c>
      <c r="E1994" s="52" t="s">
        <v>2916</v>
      </c>
      <c r="F1994" s="53" t="s">
        <v>6392</v>
      </c>
      <c r="G1994" s="51" t="s">
        <v>4812</v>
      </c>
      <c r="H1994" s="54"/>
      <c r="I1994" s="55">
        <v>52</v>
      </c>
      <c r="K1994" s="51" t="s">
        <v>6388</v>
      </c>
    </row>
    <row r="1995" spans="1:11">
      <c r="A1995" s="51">
        <v>1960</v>
      </c>
      <c r="B1995" s="51" t="s">
        <v>6387</v>
      </c>
      <c r="C1995" s="51" t="s">
        <v>6388</v>
      </c>
      <c r="D1995" s="52" t="s">
        <v>418</v>
      </c>
      <c r="E1995" s="52" t="s">
        <v>417</v>
      </c>
      <c r="F1995" s="53" t="s">
        <v>6393</v>
      </c>
      <c r="G1995" s="51" t="s">
        <v>4812</v>
      </c>
      <c r="H1995" s="54"/>
      <c r="I1995" s="55">
        <v>53</v>
      </c>
      <c r="K1995" s="51" t="s">
        <v>6388</v>
      </c>
    </row>
    <row r="1996" spans="1:11">
      <c r="A1996" s="51">
        <v>1961</v>
      </c>
      <c r="B1996" s="51" t="s">
        <v>6387</v>
      </c>
      <c r="C1996" s="51" t="s">
        <v>6388</v>
      </c>
      <c r="D1996" s="52" t="s">
        <v>420</v>
      </c>
      <c r="E1996" s="52" t="s">
        <v>419</v>
      </c>
      <c r="F1996" s="53" t="s">
        <v>6393</v>
      </c>
      <c r="G1996" s="51" t="s">
        <v>4812</v>
      </c>
      <c r="H1996" s="54"/>
      <c r="I1996" s="55">
        <v>50</v>
      </c>
      <c r="K1996" s="51" t="s">
        <v>6388</v>
      </c>
    </row>
    <row r="1997" spans="1:11">
      <c r="A1997" s="51">
        <v>1962</v>
      </c>
      <c r="B1997" s="51" t="s">
        <v>6387</v>
      </c>
      <c r="C1997" s="51" t="s">
        <v>6388</v>
      </c>
      <c r="D1997" s="52" t="s">
        <v>434</v>
      </c>
      <c r="E1997" s="52" t="s">
        <v>433</v>
      </c>
      <c r="F1997" s="53" t="s">
        <v>5845</v>
      </c>
      <c r="G1997" s="51" t="s">
        <v>4812</v>
      </c>
      <c r="H1997" s="54"/>
      <c r="I1997" s="55">
        <v>54</v>
      </c>
      <c r="K1997" s="51" t="s">
        <v>6388</v>
      </c>
    </row>
    <row r="1998" spans="1:11">
      <c r="A1998" s="51">
        <v>1963</v>
      </c>
      <c r="B1998" s="51" t="s">
        <v>6387</v>
      </c>
      <c r="C1998" s="51" t="s">
        <v>6388</v>
      </c>
      <c r="D1998" s="52" t="s">
        <v>432</v>
      </c>
      <c r="E1998" s="52" t="s">
        <v>431</v>
      </c>
      <c r="F1998" s="53" t="s">
        <v>5845</v>
      </c>
      <c r="G1998" s="51" t="s">
        <v>4812</v>
      </c>
      <c r="H1998" s="54"/>
      <c r="I1998" s="55">
        <v>34</v>
      </c>
      <c r="K1998" s="51" t="s">
        <v>6388</v>
      </c>
    </row>
    <row r="1999" spans="1:11">
      <c r="A1999" s="51">
        <v>1964</v>
      </c>
      <c r="B1999" s="51" t="s">
        <v>6387</v>
      </c>
      <c r="C1999" s="51" t="s">
        <v>6388</v>
      </c>
      <c r="D1999" s="52" t="s">
        <v>6394</v>
      </c>
      <c r="E1999" s="52" t="s">
        <v>6395</v>
      </c>
      <c r="F1999" s="53" t="s">
        <v>6396</v>
      </c>
      <c r="G1999" s="51" t="s">
        <v>4812</v>
      </c>
      <c r="H1999" s="54"/>
      <c r="I1999" s="55">
        <v>0</v>
      </c>
      <c r="K1999" s="51" t="s">
        <v>6388</v>
      </c>
    </row>
    <row r="2000" spans="1:11">
      <c r="A2000" s="51">
        <v>1965</v>
      </c>
      <c r="B2000" s="51" t="s">
        <v>6387</v>
      </c>
      <c r="C2000" s="51" t="s">
        <v>6388</v>
      </c>
      <c r="D2000" s="52" t="s">
        <v>6397</v>
      </c>
      <c r="E2000" s="52" t="s">
        <v>6398</v>
      </c>
      <c r="F2000" s="53" t="s">
        <v>6399</v>
      </c>
      <c r="G2000" s="51" t="s">
        <v>4812</v>
      </c>
      <c r="H2000" s="54"/>
      <c r="I2000" s="55">
        <v>0</v>
      </c>
      <c r="K2000" s="51" t="s">
        <v>6388</v>
      </c>
    </row>
    <row r="2001" spans="1:11">
      <c r="A2001" s="51">
        <v>1966</v>
      </c>
      <c r="B2001" s="51" t="s">
        <v>6387</v>
      </c>
      <c r="C2001" s="51" t="s">
        <v>6388</v>
      </c>
      <c r="D2001" s="52" t="s">
        <v>6400</v>
      </c>
      <c r="E2001" s="52" t="s">
        <v>6401</v>
      </c>
      <c r="F2001" s="53" t="s">
        <v>6402</v>
      </c>
      <c r="G2001" s="51" t="s">
        <v>4812</v>
      </c>
      <c r="H2001" s="54"/>
      <c r="I2001" s="55">
        <v>1</v>
      </c>
      <c r="K2001" s="51" t="s">
        <v>6388</v>
      </c>
    </row>
    <row r="2002" spans="1:11">
      <c r="A2002" s="51">
        <v>1967</v>
      </c>
      <c r="B2002" s="51" t="s">
        <v>6387</v>
      </c>
      <c r="C2002" s="51" t="s">
        <v>6388</v>
      </c>
      <c r="D2002" s="52" t="s">
        <v>6403</v>
      </c>
      <c r="E2002" s="52" t="s">
        <v>6404</v>
      </c>
      <c r="F2002" s="53" t="s">
        <v>6405</v>
      </c>
      <c r="G2002" s="51" t="s">
        <v>4812</v>
      </c>
      <c r="H2002" s="54"/>
      <c r="I2002" s="55">
        <v>0</v>
      </c>
      <c r="K2002" s="51" t="s">
        <v>6388</v>
      </c>
    </row>
    <row r="2003" spans="1:11">
      <c r="A2003" s="51">
        <v>1968</v>
      </c>
      <c r="B2003" s="51" t="s">
        <v>6387</v>
      </c>
      <c r="C2003" s="51" t="s">
        <v>6388</v>
      </c>
      <c r="D2003" s="52" t="s">
        <v>6406</v>
      </c>
      <c r="E2003" s="52" t="s">
        <v>6407</v>
      </c>
      <c r="F2003" s="53" t="s">
        <v>6396</v>
      </c>
      <c r="G2003" s="51" t="s">
        <v>4812</v>
      </c>
      <c r="H2003" s="54"/>
      <c r="I2003" s="55">
        <v>0</v>
      </c>
      <c r="K2003" s="51" t="s">
        <v>6388</v>
      </c>
    </row>
    <row r="2004" spans="1:11">
      <c r="A2004" s="51">
        <v>1969</v>
      </c>
      <c r="B2004" s="51" t="s">
        <v>6387</v>
      </c>
      <c r="C2004" s="51" t="s">
        <v>6388</v>
      </c>
      <c r="D2004" s="52" t="s">
        <v>3845</v>
      </c>
      <c r="E2004" s="52" t="s">
        <v>3844</v>
      </c>
      <c r="F2004" s="53" t="s">
        <v>5548</v>
      </c>
      <c r="G2004" s="51" t="s">
        <v>4812</v>
      </c>
      <c r="H2004" s="54"/>
      <c r="I2004" s="55">
        <v>31</v>
      </c>
      <c r="K2004" s="51" t="s">
        <v>6388</v>
      </c>
    </row>
    <row r="2005" spans="1:11">
      <c r="A2005" s="51">
        <v>1970</v>
      </c>
      <c r="B2005" s="51" t="s">
        <v>6387</v>
      </c>
      <c r="C2005" s="51" t="s">
        <v>6388</v>
      </c>
      <c r="D2005" s="52" t="s">
        <v>3240</v>
      </c>
      <c r="E2005" s="52" t="s">
        <v>3239</v>
      </c>
      <c r="F2005" s="53" t="s">
        <v>5813</v>
      </c>
      <c r="G2005" s="51" t="s">
        <v>4812</v>
      </c>
      <c r="H2005" s="54"/>
      <c r="I2005" s="55">
        <v>232</v>
      </c>
      <c r="K2005" s="51" t="s">
        <v>6388</v>
      </c>
    </row>
    <row r="2006" spans="1:11">
      <c r="A2006" s="51">
        <v>1971</v>
      </c>
      <c r="B2006" s="51" t="s">
        <v>6387</v>
      </c>
      <c r="C2006" s="51" t="s">
        <v>6388</v>
      </c>
      <c r="D2006" s="52" t="s">
        <v>3242</v>
      </c>
      <c r="E2006" s="52" t="s">
        <v>3241</v>
      </c>
      <c r="F2006" s="53" t="s">
        <v>5813</v>
      </c>
      <c r="G2006" s="51" t="s">
        <v>4812</v>
      </c>
      <c r="H2006" s="54"/>
      <c r="I2006" s="55">
        <v>223</v>
      </c>
      <c r="K2006" s="51" t="s">
        <v>6388</v>
      </c>
    </row>
    <row r="2007" spans="1:11">
      <c r="A2007" s="51">
        <v>1972</v>
      </c>
      <c r="B2007" s="51" t="s">
        <v>6387</v>
      </c>
      <c r="C2007" s="51" t="s">
        <v>6388</v>
      </c>
      <c r="D2007" s="52" t="s">
        <v>3754</v>
      </c>
      <c r="E2007" s="52" t="s">
        <v>3753</v>
      </c>
      <c r="F2007" s="53" t="s">
        <v>5734</v>
      </c>
      <c r="G2007" s="51" t="s">
        <v>4812</v>
      </c>
      <c r="H2007" s="54"/>
      <c r="I2007" s="55">
        <v>220</v>
      </c>
      <c r="K2007" s="51" t="s">
        <v>6388</v>
      </c>
    </row>
    <row r="2008" spans="1:11">
      <c r="A2008" s="51">
        <v>1973</v>
      </c>
      <c r="B2008" s="51" t="s">
        <v>6387</v>
      </c>
      <c r="C2008" s="51" t="s">
        <v>6388</v>
      </c>
      <c r="D2008" s="52" t="s">
        <v>3756</v>
      </c>
      <c r="E2008" s="52" t="s">
        <v>3755</v>
      </c>
      <c r="F2008" s="53" t="s">
        <v>5734</v>
      </c>
      <c r="G2008" s="51" t="s">
        <v>4812</v>
      </c>
      <c r="H2008" s="54"/>
      <c r="I2008" s="55">
        <v>52</v>
      </c>
      <c r="K2008" s="51" t="s">
        <v>6388</v>
      </c>
    </row>
    <row r="2009" spans="1:11">
      <c r="A2009" s="51">
        <v>1974</v>
      </c>
      <c r="B2009" s="51" t="s">
        <v>6387</v>
      </c>
      <c r="C2009" s="51" t="s">
        <v>6388</v>
      </c>
      <c r="D2009" s="52" t="s">
        <v>399</v>
      </c>
      <c r="E2009" s="52" t="s">
        <v>398</v>
      </c>
      <c r="F2009" s="53" t="s">
        <v>6408</v>
      </c>
      <c r="G2009" s="51" t="s">
        <v>4812</v>
      </c>
      <c r="H2009" s="54"/>
      <c r="I2009" s="55">
        <v>64</v>
      </c>
      <c r="K2009" s="51" t="s">
        <v>6388</v>
      </c>
    </row>
    <row r="2010" spans="1:11">
      <c r="A2010" s="51">
        <v>1975</v>
      </c>
      <c r="B2010" s="51" t="s">
        <v>6387</v>
      </c>
      <c r="C2010" s="51" t="s">
        <v>6388</v>
      </c>
      <c r="D2010" s="52" t="s">
        <v>3746</v>
      </c>
      <c r="E2010" s="52" t="s">
        <v>3745</v>
      </c>
      <c r="F2010" s="53" t="s">
        <v>5421</v>
      </c>
      <c r="G2010" s="51" t="s">
        <v>4812</v>
      </c>
      <c r="H2010" s="54"/>
      <c r="I2010" s="55">
        <v>257</v>
      </c>
      <c r="K2010" s="51" t="s">
        <v>6388</v>
      </c>
    </row>
    <row r="2011" spans="1:11">
      <c r="A2011" s="51">
        <v>1976</v>
      </c>
      <c r="B2011" s="51" t="s">
        <v>6387</v>
      </c>
      <c r="C2011" s="51" t="s">
        <v>6388</v>
      </c>
      <c r="D2011" s="52" t="s">
        <v>2112</v>
      </c>
      <c r="E2011" s="52" t="s">
        <v>2111</v>
      </c>
      <c r="F2011" s="53" t="s">
        <v>6389</v>
      </c>
      <c r="G2011" s="51" t="s">
        <v>4812</v>
      </c>
      <c r="H2011" s="54"/>
      <c r="I2011" s="55">
        <v>4</v>
      </c>
      <c r="K2011" s="51" t="s">
        <v>6388</v>
      </c>
    </row>
    <row r="2012" spans="1:11">
      <c r="A2012" s="51">
        <v>1977</v>
      </c>
      <c r="B2012" s="51" t="s">
        <v>6387</v>
      </c>
      <c r="C2012" s="51" t="s">
        <v>6388</v>
      </c>
      <c r="D2012" s="52" t="s">
        <v>2116</v>
      </c>
      <c r="E2012" s="52" t="s">
        <v>2115</v>
      </c>
      <c r="F2012" s="53" t="s">
        <v>6390</v>
      </c>
      <c r="G2012" s="51" t="s">
        <v>4812</v>
      </c>
      <c r="H2012" s="54"/>
      <c r="I2012" s="55">
        <v>16</v>
      </c>
      <c r="K2012" s="51" t="s">
        <v>6388</v>
      </c>
    </row>
    <row r="2013" spans="1:11">
      <c r="A2013" s="51">
        <v>1978</v>
      </c>
      <c r="B2013" s="51" t="s">
        <v>6387</v>
      </c>
      <c r="C2013" s="51" t="s">
        <v>6388</v>
      </c>
      <c r="D2013" s="52" t="s">
        <v>622</v>
      </c>
      <c r="E2013" s="52" t="s">
        <v>621</v>
      </c>
      <c r="F2013" s="53" t="s">
        <v>6409</v>
      </c>
      <c r="G2013" s="51" t="s">
        <v>4812</v>
      </c>
      <c r="H2013" s="54"/>
      <c r="I2013" s="55">
        <v>334</v>
      </c>
      <c r="K2013" s="51" t="s">
        <v>6388</v>
      </c>
    </row>
    <row r="2014" spans="1:11">
      <c r="A2014" s="51">
        <v>1979</v>
      </c>
      <c r="B2014" s="51" t="s">
        <v>6387</v>
      </c>
      <c r="C2014" s="51" t="s">
        <v>6388</v>
      </c>
      <c r="D2014" s="52" t="s">
        <v>442</v>
      </c>
      <c r="E2014" s="52" t="s">
        <v>441</v>
      </c>
      <c r="F2014" s="53" t="s">
        <v>6410</v>
      </c>
      <c r="G2014" s="51" t="s">
        <v>4812</v>
      </c>
      <c r="H2014" s="54"/>
      <c r="I2014" s="55">
        <v>99</v>
      </c>
      <c r="K2014" s="51" t="s">
        <v>6388</v>
      </c>
    </row>
    <row r="2015" spans="1:11">
      <c r="A2015" s="51">
        <v>1980</v>
      </c>
      <c r="B2015" s="51" t="s">
        <v>6387</v>
      </c>
      <c r="C2015" s="51" t="s">
        <v>6388</v>
      </c>
      <c r="D2015" s="52" t="s">
        <v>2915</v>
      </c>
      <c r="E2015" s="52" t="s">
        <v>2914</v>
      </c>
      <c r="F2015" s="53" t="s">
        <v>6392</v>
      </c>
      <c r="G2015" s="51" t="s">
        <v>4812</v>
      </c>
      <c r="H2015" s="54"/>
      <c r="I2015" s="55">
        <v>228</v>
      </c>
      <c r="K2015" s="51" t="s">
        <v>6388</v>
      </c>
    </row>
    <row r="2016" spans="1:11">
      <c r="A2016" s="51">
        <v>1981</v>
      </c>
      <c r="B2016" s="51" t="s">
        <v>6387</v>
      </c>
      <c r="C2016" s="51" t="s">
        <v>6388</v>
      </c>
      <c r="D2016" s="52" t="s">
        <v>2921</v>
      </c>
      <c r="E2016" s="52" t="s">
        <v>2920</v>
      </c>
      <c r="F2016" s="53" t="s">
        <v>6411</v>
      </c>
      <c r="G2016" s="51" t="s">
        <v>4812</v>
      </c>
      <c r="H2016" s="54"/>
      <c r="I2016" s="55">
        <v>5</v>
      </c>
      <c r="K2016" s="51" t="s">
        <v>6388</v>
      </c>
    </row>
    <row r="2017" spans="1:11">
      <c r="A2017" s="51">
        <v>1982</v>
      </c>
      <c r="B2017" s="51" t="s">
        <v>6387</v>
      </c>
      <c r="C2017" s="51" t="s">
        <v>6388</v>
      </c>
      <c r="D2017" s="52" t="s">
        <v>4079</v>
      </c>
      <c r="E2017" s="52" t="s">
        <v>4078</v>
      </c>
      <c r="F2017" s="53" t="s">
        <v>6412</v>
      </c>
      <c r="G2017" s="51" t="s">
        <v>4812</v>
      </c>
      <c r="H2017" s="54"/>
      <c r="I2017" s="55">
        <v>0</v>
      </c>
      <c r="K2017" s="51" t="s">
        <v>6388</v>
      </c>
    </row>
    <row r="2018" spans="1:11">
      <c r="A2018" s="51">
        <v>1983</v>
      </c>
      <c r="B2018" s="51" t="s">
        <v>6387</v>
      </c>
      <c r="C2018" s="51" t="s">
        <v>6388</v>
      </c>
      <c r="D2018" s="52" t="s">
        <v>2581</v>
      </c>
      <c r="E2018" s="52" t="s">
        <v>2580</v>
      </c>
      <c r="F2018" s="53" t="s">
        <v>6413</v>
      </c>
      <c r="G2018" s="51" t="s">
        <v>4812</v>
      </c>
      <c r="H2018" s="54"/>
      <c r="I2018" s="55">
        <v>44</v>
      </c>
      <c r="K2018" s="51" t="s">
        <v>6388</v>
      </c>
    </row>
    <row r="2019" spans="1:11">
      <c r="A2019" s="51">
        <v>1984</v>
      </c>
      <c r="B2019" s="51" t="s">
        <v>6387</v>
      </c>
      <c r="C2019" s="51" t="s">
        <v>6388</v>
      </c>
      <c r="D2019" s="52" t="s">
        <v>2685</v>
      </c>
      <c r="E2019" s="52" t="s">
        <v>2684</v>
      </c>
      <c r="F2019" s="53" t="s">
        <v>6414</v>
      </c>
      <c r="G2019" s="51" t="s">
        <v>4812</v>
      </c>
      <c r="H2019" s="54"/>
      <c r="I2019" s="55">
        <v>15</v>
      </c>
      <c r="K2019" s="51" t="s">
        <v>6388</v>
      </c>
    </row>
    <row r="2020" spans="1:11">
      <c r="A2020" s="51">
        <v>1985</v>
      </c>
      <c r="B2020" s="51" t="s">
        <v>6415</v>
      </c>
      <c r="C2020" s="51" t="s">
        <v>6416</v>
      </c>
      <c r="D2020" s="52" t="s">
        <v>2308</v>
      </c>
      <c r="E2020" s="52" t="s">
        <v>2307</v>
      </c>
      <c r="F2020" s="53" t="s">
        <v>5398</v>
      </c>
      <c r="G2020" s="51" t="s">
        <v>4812</v>
      </c>
      <c r="H2020" s="54"/>
      <c r="I2020" s="55">
        <v>106</v>
      </c>
      <c r="K2020" s="51" t="s">
        <v>6416</v>
      </c>
    </row>
    <row r="2021" spans="1:11">
      <c r="A2021" s="51">
        <v>1986</v>
      </c>
      <c r="B2021" s="51" t="s">
        <v>6415</v>
      </c>
      <c r="C2021" s="51" t="s">
        <v>6416</v>
      </c>
      <c r="D2021" s="52" t="s">
        <v>6417</v>
      </c>
      <c r="E2021" s="52"/>
      <c r="F2021" s="53"/>
      <c r="G2021" s="51" t="s">
        <v>4812</v>
      </c>
      <c r="H2021" s="54"/>
      <c r="I2021" s="55">
        <v>131</v>
      </c>
      <c r="K2021" s="51" t="s">
        <v>6416</v>
      </c>
    </row>
    <row r="2022" spans="1:11">
      <c r="A2022" s="51">
        <v>1987</v>
      </c>
      <c r="B2022" s="51" t="s">
        <v>6415</v>
      </c>
      <c r="C2022" s="51" t="s">
        <v>6416</v>
      </c>
      <c r="D2022" s="52" t="s">
        <v>6418</v>
      </c>
      <c r="E2022" s="52"/>
      <c r="F2022" s="53"/>
      <c r="G2022" s="51" t="s">
        <v>4812</v>
      </c>
      <c r="H2022" s="54"/>
      <c r="I2022" s="55">
        <v>103</v>
      </c>
      <c r="K2022" s="51" t="s">
        <v>6416</v>
      </c>
    </row>
    <row r="2023" spans="1:11">
      <c r="A2023" s="51">
        <v>1988</v>
      </c>
      <c r="B2023" s="51" t="s">
        <v>6415</v>
      </c>
      <c r="C2023" s="51" t="s">
        <v>6416</v>
      </c>
      <c r="D2023" s="52" t="s">
        <v>6419</v>
      </c>
      <c r="E2023" s="52"/>
      <c r="F2023" s="53"/>
      <c r="G2023" s="51" t="s">
        <v>4812</v>
      </c>
      <c r="H2023" s="54"/>
      <c r="I2023" s="55">
        <v>78</v>
      </c>
      <c r="K2023" s="51" t="s">
        <v>6416</v>
      </c>
    </row>
    <row r="2024" spans="1:11">
      <c r="A2024" s="51">
        <v>1989</v>
      </c>
      <c r="B2024" s="51" t="s">
        <v>6415</v>
      </c>
      <c r="C2024" s="51" t="s">
        <v>6416</v>
      </c>
      <c r="D2024" s="52" t="s">
        <v>6420</v>
      </c>
      <c r="E2024" s="52"/>
      <c r="F2024" s="53"/>
      <c r="G2024" s="51" t="s">
        <v>4812</v>
      </c>
      <c r="H2024" s="54"/>
      <c r="I2024" s="55">
        <v>96</v>
      </c>
      <c r="K2024" s="51" t="s">
        <v>6416</v>
      </c>
    </row>
    <row r="2025" spans="1:11">
      <c r="A2025" s="51">
        <v>1990</v>
      </c>
      <c r="B2025" s="51" t="s">
        <v>6415</v>
      </c>
      <c r="C2025" s="51" t="s">
        <v>6416</v>
      </c>
      <c r="D2025" s="52" t="s">
        <v>6421</v>
      </c>
      <c r="E2025" s="52"/>
      <c r="F2025" s="53"/>
      <c r="G2025" s="51" t="s">
        <v>4812</v>
      </c>
      <c r="H2025" s="54"/>
      <c r="I2025" s="55">
        <v>60</v>
      </c>
      <c r="K2025" s="51" t="s">
        <v>6416</v>
      </c>
    </row>
    <row r="2026" spans="1:11">
      <c r="A2026" s="51">
        <v>1991</v>
      </c>
      <c r="B2026" s="51" t="s">
        <v>6415</v>
      </c>
      <c r="C2026" s="51" t="s">
        <v>6416</v>
      </c>
      <c r="D2026" s="52" t="s">
        <v>6422</v>
      </c>
      <c r="E2026" s="52"/>
      <c r="F2026" s="53"/>
      <c r="G2026" s="51" t="s">
        <v>4812</v>
      </c>
      <c r="H2026" s="54"/>
      <c r="I2026" s="55">
        <v>60</v>
      </c>
      <c r="K2026" s="51" t="s">
        <v>6416</v>
      </c>
    </row>
    <row r="2027" spans="1:11">
      <c r="A2027" s="51">
        <v>1992</v>
      </c>
      <c r="B2027" s="51" t="s">
        <v>6415</v>
      </c>
      <c r="C2027" s="51" t="s">
        <v>6416</v>
      </c>
      <c r="D2027" s="52" t="s">
        <v>6423</v>
      </c>
      <c r="E2027" s="52"/>
      <c r="F2027" s="53"/>
      <c r="G2027" s="51" t="s">
        <v>4812</v>
      </c>
      <c r="H2027" s="54"/>
      <c r="I2027" s="55">
        <v>0</v>
      </c>
      <c r="K2027" s="51" t="s">
        <v>6416</v>
      </c>
    </row>
    <row r="2028" spans="1:11">
      <c r="A2028" s="51">
        <v>1993</v>
      </c>
      <c r="B2028" s="51" t="s">
        <v>6415</v>
      </c>
      <c r="C2028" s="51" t="s">
        <v>6416</v>
      </c>
      <c r="D2028" s="52" t="s">
        <v>2544</v>
      </c>
      <c r="E2028" s="52" t="s">
        <v>6424</v>
      </c>
      <c r="F2028" s="53" t="s">
        <v>6067</v>
      </c>
      <c r="G2028" s="51" t="s">
        <v>4812</v>
      </c>
      <c r="H2028" s="54"/>
      <c r="I2028" s="55">
        <v>0</v>
      </c>
      <c r="K2028" s="51" t="s">
        <v>6416</v>
      </c>
    </row>
    <row r="2029" spans="1:11">
      <c r="A2029" s="51">
        <v>1994</v>
      </c>
      <c r="B2029" s="51" t="s">
        <v>6415</v>
      </c>
      <c r="C2029" s="51" t="s">
        <v>6416</v>
      </c>
      <c r="D2029" s="52" t="s">
        <v>2542</v>
      </c>
      <c r="E2029" s="52" t="s">
        <v>6425</v>
      </c>
      <c r="F2029" s="53" t="s">
        <v>6067</v>
      </c>
      <c r="G2029" s="51" t="s">
        <v>4812</v>
      </c>
      <c r="H2029" s="54"/>
      <c r="I2029" s="55">
        <v>0</v>
      </c>
      <c r="K2029" s="51" t="s">
        <v>6416</v>
      </c>
    </row>
    <row r="2030" spans="1:11">
      <c r="A2030" s="51">
        <v>1995</v>
      </c>
      <c r="B2030" s="51" t="s">
        <v>6415</v>
      </c>
      <c r="C2030" s="51" t="s">
        <v>6416</v>
      </c>
      <c r="D2030" s="52" t="s">
        <v>6426</v>
      </c>
      <c r="E2030" s="52" t="s">
        <v>6427</v>
      </c>
      <c r="F2030" s="53" t="s">
        <v>6428</v>
      </c>
      <c r="G2030" s="51" t="s">
        <v>4812</v>
      </c>
      <c r="H2030" s="54"/>
      <c r="I2030" s="55">
        <v>0</v>
      </c>
      <c r="K2030" s="51" t="s">
        <v>6416</v>
      </c>
    </row>
    <row r="2031" spans="1:11">
      <c r="A2031" s="51">
        <v>1996</v>
      </c>
      <c r="B2031" s="51" t="s">
        <v>6415</v>
      </c>
      <c r="C2031" s="51" t="s">
        <v>6416</v>
      </c>
      <c r="D2031" s="52" t="s">
        <v>3326</v>
      </c>
      <c r="E2031" s="52" t="s">
        <v>6429</v>
      </c>
      <c r="F2031" s="53" t="s">
        <v>6240</v>
      </c>
      <c r="G2031" s="51" t="s">
        <v>4812</v>
      </c>
      <c r="H2031" s="54"/>
      <c r="I2031" s="55">
        <v>0</v>
      </c>
      <c r="K2031" s="51" t="s">
        <v>6416</v>
      </c>
    </row>
    <row r="2032" spans="1:11">
      <c r="A2032" s="51">
        <v>1997</v>
      </c>
      <c r="B2032" s="51" t="s">
        <v>6415</v>
      </c>
      <c r="C2032" s="51" t="s">
        <v>6416</v>
      </c>
      <c r="D2032" s="52" t="s">
        <v>2078</v>
      </c>
      <c r="E2032" s="52" t="s">
        <v>6430</v>
      </c>
      <c r="F2032" s="53" t="s">
        <v>6228</v>
      </c>
      <c r="G2032" s="51" t="s">
        <v>4812</v>
      </c>
      <c r="H2032" s="54"/>
      <c r="I2032" s="55">
        <v>0</v>
      </c>
      <c r="K2032" s="51" t="s">
        <v>6416</v>
      </c>
    </row>
    <row r="2033" spans="1:11">
      <c r="A2033" s="51">
        <v>1998</v>
      </c>
      <c r="B2033" s="51" t="s">
        <v>6415</v>
      </c>
      <c r="C2033" s="51" t="s">
        <v>6416</v>
      </c>
      <c r="D2033" s="52" t="s">
        <v>2070</v>
      </c>
      <c r="E2033" s="52" t="s">
        <v>6431</v>
      </c>
      <c r="F2033" s="53" t="s">
        <v>6229</v>
      </c>
      <c r="G2033" s="51" t="s">
        <v>4812</v>
      </c>
      <c r="H2033" s="54"/>
      <c r="I2033" s="55">
        <v>0</v>
      </c>
      <c r="K2033" s="51" t="s">
        <v>6416</v>
      </c>
    </row>
    <row r="2034" spans="1:11">
      <c r="A2034" s="51">
        <v>1999</v>
      </c>
      <c r="B2034" s="51" t="s">
        <v>6415</v>
      </c>
      <c r="C2034" s="51" t="s">
        <v>6416</v>
      </c>
      <c r="D2034" s="52" t="s">
        <v>3344</v>
      </c>
      <c r="E2034" s="52" t="s">
        <v>6432</v>
      </c>
      <c r="F2034" s="53" t="s">
        <v>6239</v>
      </c>
      <c r="G2034" s="51" t="s">
        <v>4812</v>
      </c>
      <c r="H2034" s="54"/>
      <c r="I2034" s="55">
        <v>0</v>
      </c>
      <c r="K2034" s="51" t="s">
        <v>6416</v>
      </c>
    </row>
    <row r="2035" spans="1:11">
      <c r="A2035" s="51">
        <v>2000</v>
      </c>
      <c r="B2035" s="51" t="s">
        <v>6415</v>
      </c>
      <c r="C2035" s="51" t="s">
        <v>6416</v>
      </c>
      <c r="D2035" s="52" t="s">
        <v>3346</v>
      </c>
      <c r="E2035" s="52" t="s">
        <v>6433</v>
      </c>
      <c r="F2035" s="53" t="s">
        <v>6239</v>
      </c>
      <c r="G2035" s="51" t="s">
        <v>4812</v>
      </c>
      <c r="H2035" s="54"/>
      <c r="I2035" s="55">
        <v>0</v>
      </c>
      <c r="K2035" s="51" t="s">
        <v>6416</v>
      </c>
    </row>
    <row r="2036" spans="1:11">
      <c r="A2036" s="51">
        <v>2001</v>
      </c>
      <c r="B2036" s="51" t="s">
        <v>6415</v>
      </c>
      <c r="C2036" s="51" t="s">
        <v>6416</v>
      </c>
      <c r="D2036" s="52" t="s">
        <v>6434</v>
      </c>
      <c r="E2036" s="52"/>
      <c r="F2036" s="53"/>
      <c r="G2036" s="51" t="s">
        <v>4812</v>
      </c>
      <c r="H2036" s="54"/>
      <c r="I2036" s="55">
        <v>0</v>
      </c>
      <c r="K2036" s="51" t="s">
        <v>6416</v>
      </c>
    </row>
    <row r="2037" spans="1:11">
      <c r="A2037" s="51">
        <v>2002</v>
      </c>
      <c r="B2037" s="51" t="s">
        <v>6415</v>
      </c>
      <c r="C2037" s="51" t="s">
        <v>6416</v>
      </c>
      <c r="D2037" s="52" t="s">
        <v>6435</v>
      </c>
      <c r="E2037" s="52"/>
      <c r="F2037" s="53"/>
      <c r="G2037" s="51" t="s">
        <v>4812</v>
      </c>
      <c r="H2037" s="54"/>
      <c r="I2037" s="55">
        <v>0</v>
      </c>
      <c r="K2037" s="51" t="s">
        <v>6416</v>
      </c>
    </row>
    <row r="2038" spans="1:11">
      <c r="A2038" s="51">
        <v>2003</v>
      </c>
      <c r="B2038" s="51" t="s">
        <v>6415</v>
      </c>
      <c r="C2038" s="51" t="s">
        <v>6416</v>
      </c>
      <c r="D2038" s="52" t="s">
        <v>2360</v>
      </c>
      <c r="E2038" s="52" t="s">
        <v>6436</v>
      </c>
      <c r="F2038" s="53" t="s">
        <v>6236</v>
      </c>
      <c r="G2038" s="51" t="s">
        <v>4812</v>
      </c>
      <c r="H2038" s="54"/>
      <c r="I2038" s="55">
        <v>12</v>
      </c>
      <c r="K2038" s="51" t="s">
        <v>6416</v>
      </c>
    </row>
    <row r="2039" spans="1:11">
      <c r="A2039" s="51">
        <v>2004</v>
      </c>
      <c r="B2039" s="51" t="s">
        <v>6415</v>
      </c>
      <c r="C2039" s="51" t="s">
        <v>6416</v>
      </c>
      <c r="D2039" s="52" t="s">
        <v>6437</v>
      </c>
      <c r="E2039" s="52" t="s">
        <v>6438</v>
      </c>
      <c r="F2039" s="53" t="s">
        <v>6238</v>
      </c>
      <c r="G2039" s="51" t="s">
        <v>4812</v>
      </c>
      <c r="H2039" s="54"/>
      <c r="I2039" s="55">
        <v>0</v>
      </c>
      <c r="K2039" s="51" t="s">
        <v>6416</v>
      </c>
    </row>
    <row r="2040" spans="1:11">
      <c r="A2040" s="51">
        <v>2005</v>
      </c>
      <c r="B2040" s="51" t="s">
        <v>6415</v>
      </c>
      <c r="C2040" s="51" t="s">
        <v>6416</v>
      </c>
      <c r="D2040" s="52" t="s">
        <v>2088</v>
      </c>
      <c r="E2040" s="52" t="s">
        <v>6439</v>
      </c>
      <c r="F2040" s="53" t="s">
        <v>6227</v>
      </c>
      <c r="G2040" s="51" t="s">
        <v>4812</v>
      </c>
      <c r="H2040" s="54"/>
      <c r="I2040" s="55">
        <v>0</v>
      </c>
      <c r="K2040" s="51" t="s">
        <v>6416</v>
      </c>
    </row>
    <row r="2041" spans="1:11">
      <c r="A2041" s="51">
        <v>2006</v>
      </c>
      <c r="B2041" s="51" t="s">
        <v>6415</v>
      </c>
      <c r="C2041" s="51" t="s">
        <v>6416</v>
      </c>
      <c r="D2041" s="52" t="s">
        <v>2098</v>
      </c>
      <c r="E2041" s="52" t="s">
        <v>6440</v>
      </c>
      <c r="F2041" s="53" t="s">
        <v>6237</v>
      </c>
      <c r="G2041" s="51" t="s">
        <v>4812</v>
      </c>
      <c r="H2041" s="54"/>
      <c r="I2041" s="55">
        <v>0</v>
      </c>
      <c r="K2041" s="51" t="s">
        <v>6416</v>
      </c>
    </row>
    <row r="2042" spans="1:11">
      <c r="A2042" s="51">
        <v>2007</v>
      </c>
      <c r="B2042" s="51" t="s">
        <v>6415</v>
      </c>
      <c r="C2042" s="51" t="s">
        <v>6416</v>
      </c>
      <c r="D2042" s="52" t="s">
        <v>6260</v>
      </c>
      <c r="E2042" s="52"/>
      <c r="F2042" s="53"/>
      <c r="G2042" s="51" t="s">
        <v>4812</v>
      </c>
      <c r="H2042" s="54"/>
      <c r="I2042" s="55">
        <v>0</v>
      </c>
      <c r="K2042" s="51" t="s">
        <v>6416</v>
      </c>
    </row>
    <row r="2043" spans="1:11">
      <c r="A2043" s="51">
        <v>2008</v>
      </c>
      <c r="B2043" s="51" t="s">
        <v>6415</v>
      </c>
      <c r="C2043" s="51" t="s">
        <v>6416</v>
      </c>
      <c r="D2043" s="52" t="s">
        <v>6291</v>
      </c>
      <c r="E2043" s="52"/>
      <c r="F2043" s="53"/>
      <c r="G2043" s="51" t="s">
        <v>4812</v>
      </c>
      <c r="H2043" s="54"/>
      <c r="I2043" s="55">
        <v>0</v>
      </c>
      <c r="K2043" s="51" t="s">
        <v>6416</v>
      </c>
    </row>
    <row r="2044" spans="1:11">
      <c r="A2044" s="51">
        <v>2009</v>
      </c>
      <c r="B2044" s="51" t="s">
        <v>6415</v>
      </c>
      <c r="C2044" s="51" t="s">
        <v>6416</v>
      </c>
      <c r="D2044" s="52" t="s">
        <v>2400</v>
      </c>
      <c r="E2044" s="52" t="s">
        <v>2399</v>
      </c>
      <c r="F2044" s="53" t="s">
        <v>118</v>
      </c>
      <c r="G2044" s="51" t="s">
        <v>4812</v>
      </c>
      <c r="H2044" s="54"/>
      <c r="I2044" s="55">
        <v>385</v>
      </c>
      <c r="K2044" s="51" t="s">
        <v>6416</v>
      </c>
    </row>
    <row r="2045" spans="1:11">
      <c r="A2045" s="51">
        <v>2010</v>
      </c>
      <c r="B2045" s="51" t="s">
        <v>6415</v>
      </c>
      <c r="C2045" s="51" t="s">
        <v>6416</v>
      </c>
      <c r="D2045" s="52" t="s">
        <v>2402</v>
      </c>
      <c r="E2045" s="52" t="s">
        <v>2401</v>
      </c>
      <c r="F2045" s="53" t="s">
        <v>118</v>
      </c>
      <c r="G2045" s="51" t="s">
        <v>4812</v>
      </c>
      <c r="H2045" s="54"/>
      <c r="I2045" s="55">
        <v>261</v>
      </c>
      <c r="K2045" s="51" t="s">
        <v>6416</v>
      </c>
    </row>
    <row r="2046" spans="1:11">
      <c r="A2046" s="51">
        <v>2011</v>
      </c>
      <c r="B2046" s="51" t="s">
        <v>6415</v>
      </c>
      <c r="C2046" s="51" t="s">
        <v>6416</v>
      </c>
      <c r="D2046" s="52" t="s">
        <v>3805</v>
      </c>
      <c r="E2046" s="52" t="s">
        <v>6217</v>
      </c>
      <c r="F2046" s="53" t="s">
        <v>100</v>
      </c>
      <c r="G2046" s="51" t="s">
        <v>4812</v>
      </c>
      <c r="H2046" s="54"/>
      <c r="I2046" s="55">
        <v>121</v>
      </c>
      <c r="K2046" s="51" t="s">
        <v>6416</v>
      </c>
    </row>
    <row r="2047" spans="1:11">
      <c r="A2047" s="51">
        <v>2012</v>
      </c>
      <c r="B2047" s="51" t="s">
        <v>6415</v>
      </c>
      <c r="C2047" s="51" t="s">
        <v>6416</v>
      </c>
      <c r="D2047" s="52" t="s">
        <v>2340</v>
      </c>
      <c r="E2047" s="52" t="s">
        <v>6441</v>
      </c>
      <c r="F2047" s="53" t="s">
        <v>6442</v>
      </c>
      <c r="G2047" s="51" t="s">
        <v>4812</v>
      </c>
      <c r="H2047" s="54"/>
      <c r="I2047" s="55">
        <v>27</v>
      </c>
      <c r="K2047" s="51" t="s">
        <v>6416</v>
      </c>
    </row>
    <row r="2048" spans="1:11">
      <c r="A2048" s="51">
        <v>2013</v>
      </c>
      <c r="B2048" s="51" t="s">
        <v>6415</v>
      </c>
      <c r="C2048" s="51" t="s">
        <v>6416</v>
      </c>
      <c r="D2048" s="52" t="s">
        <v>2350</v>
      </c>
      <c r="E2048" s="52" t="s">
        <v>2349</v>
      </c>
      <c r="F2048" s="53" t="s">
        <v>6219</v>
      </c>
      <c r="G2048" s="51" t="s">
        <v>4812</v>
      </c>
      <c r="H2048" s="54"/>
      <c r="I2048" s="55">
        <v>89</v>
      </c>
      <c r="K2048" s="51" t="s">
        <v>6416</v>
      </c>
    </row>
    <row r="2049" spans="1:11">
      <c r="A2049" s="51">
        <v>2014</v>
      </c>
      <c r="B2049" s="51" t="s">
        <v>6415</v>
      </c>
      <c r="C2049" s="51" t="s">
        <v>6416</v>
      </c>
      <c r="D2049" s="52" t="s">
        <v>2511</v>
      </c>
      <c r="E2049" s="52" t="s">
        <v>2510</v>
      </c>
      <c r="F2049" s="53" t="s">
        <v>5432</v>
      </c>
      <c r="G2049" s="51" t="s">
        <v>4812</v>
      </c>
      <c r="H2049" s="54"/>
      <c r="I2049" s="55">
        <v>66</v>
      </c>
      <c r="K2049" s="51" t="s">
        <v>6416</v>
      </c>
    </row>
    <row r="2050" spans="1:11">
      <c r="A2050" s="51">
        <v>2015</v>
      </c>
      <c r="B2050" s="51" t="s">
        <v>6415</v>
      </c>
      <c r="C2050" s="51" t="s">
        <v>6416</v>
      </c>
      <c r="D2050" s="52" t="s">
        <v>2518</v>
      </c>
      <c r="E2050" s="52" t="s">
        <v>6443</v>
      </c>
      <c r="F2050" s="53" t="s">
        <v>5515</v>
      </c>
      <c r="G2050" s="51" t="s">
        <v>4812</v>
      </c>
      <c r="H2050" s="54"/>
      <c r="I2050" s="55">
        <v>37</v>
      </c>
      <c r="K2050" s="51" t="s">
        <v>6416</v>
      </c>
    </row>
    <row r="2051" spans="1:11">
      <c r="A2051" s="51">
        <v>2016</v>
      </c>
      <c r="B2051" s="51" t="s">
        <v>6415</v>
      </c>
      <c r="C2051" s="51" t="s">
        <v>6416</v>
      </c>
      <c r="D2051" s="52" t="s">
        <v>3370</v>
      </c>
      <c r="E2051" s="52" t="s">
        <v>3369</v>
      </c>
      <c r="F2051" s="53" t="s">
        <v>4995</v>
      </c>
      <c r="G2051" s="51" t="s">
        <v>4812</v>
      </c>
      <c r="H2051" s="54"/>
      <c r="I2051" s="55">
        <v>10</v>
      </c>
      <c r="K2051" s="51" t="s">
        <v>6416</v>
      </c>
    </row>
    <row r="2052" spans="1:11">
      <c r="A2052" s="51">
        <v>2017</v>
      </c>
      <c r="B2052" s="51" t="s">
        <v>6415</v>
      </c>
      <c r="C2052" s="51" t="s">
        <v>6416</v>
      </c>
      <c r="D2052" s="52" t="s">
        <v>3404</v>
      </c>
      <c r="E2052" s="52" t="s">
        <v>3403</v>
      </c>
      <c r="F2052" s="53" t="s">
        <v>6204</v>
      </c>
      <c r="G2052" s="51" t="s">
        <v>4812</v>
      </c>
      <c r="H2052" s="54"/>
      <c r="I2052" s="55">
        <v>9</v>
      </c>
      <c r="K2052" s="51" t="s">
        <v>6416</v>
      </c>
    </row>
    <row r="2053" spans="1:11">
      <c r="A2053" s="51">
        <v>2018</v>
      </c>
      <c r="B2053" s="51" t="s">
        <v>6415</v>
      </c>
      <c r="C2053" s="51" t="s">
        <v>6416</v>
      </c>
      <c r="D2053" s="52" t="s">
        <v>2322</v>
      </c>
      <c r="E2053" s="52" t="s">
        <v>2321</v>
      </c>
      <c r="F2053" s="53" t="s">
        <v>6222</v>
      </c>
      <c r="G2053" s="51" t="s">
        <v>4812</v>
      </c>
      <c r="H2053" s="54"/>
      <c r="I2053" s="55">
        <v>81</v>
      </c>
      <c r="K2053" s="51" t="s">
        <v>6416</v>
      </c>
    </row>
    <row r="2054" spans="1:11">
      <c r="A2054" s="51">
        <v>2019</v>
      </c>
      <c r="B2054" s="51" t="s">
        <v>6415</v>
      </c>
      <c r="C2054" s="51" t="s">
        <v>6416</v>
      </c>
      <c r="D2054" s="52" t="s">
        <v>2324</v>
      </c>
      <c r="E2054" s="52" t="s">
        <v>2323</v>
      </c>
      <c r="F2054" s="53" t="s">
        <v>6222</v>
      </c>
      <c r="G2054" s="51" t="s">
        <v>4812</v>
      </c>
      <c r="H2054" s="54"/>
      <c r="I2054" s="55">
        <v>113</v>
      </c>
      <c r="K2054" s="51" t="s">
        <v>6416</v>
      </c>
    </row>
    <row r="2055" spans="1:11">
      <c r="A2055" s="51">
        <v>2020</v>
      </c>
      <c r="B2055" s="51" t="s">
        <v>6415</v>
      </c>
      <c r="C2055" s="51" t="s">
        <v>6416</v>
      </c>
      <c r="D2055" s="52" t="s">
        <v>2384</v>
      </c>
      <c r="E2055" s="52" t="s">
        <v>2383</v>
      </c>
      <c r="F2055" s="53" t="s">
        <v>5495</v>
      </c>
      <c r="G2055" s="51" t="s">
        <v>4812</v>
      </c>
      <c r="H2055" s="54"/>
      <c r="I2055" s="55">
        <v>62</v>
      </c>
      <c r="K2055" s="51" t="s">
        <v>6416</v>
      </c>
    </row>
    <row r="2056" spans="1:11">
      <c r="A2056" s="51">
        <v>2021</v>
      </c>
      <c r="B2056" s="51" t="s">
        <v>6415</v>
      </c>
      <c r="C2056" s="51" t="s">
        <v>6416</v>
      </c>
      <c r="D2056" s="52" t="s">
        <v>2388</v>
      </c>
      <c r="E2056" s="52" t="s">
        <v>2387</v>
      </c>
      <c r="F2056" s="53" t="s">
        <v>5495</v>
      </c>
      <c r="G2056" s="51" t="s">
        <v>4812</v>
      </c>
      <c r="H2056" s="54"/>
      <c r="I2056" s="55">
        <v>29</v>
      </c>
      <c r="K2056" s="51" t="s">
        <v>6416</v>
      </c>
    </row>
    <row r="2057" spans="1:11">
      <c r="A2057" s="51">
        <v>2022</v>
      </c>
      <c r="B2057" s="51" t="s">
        <v>6415</v>
      </c>
      <c r="C2057" s="51" t="s">
        <v>6416</v>
      </c>
      <c r="D2057" s="52" t="s">
        <v>1453</v>
      </c>
      <c r="E2057" s="52" t="s">
        <v>1452</v>
      </c>
      <c r="F2057" s="53" t="s">
        <v>4993</v>
      </c>
      <c r="G2057" s="51" t="s">
        <v>4812</v>
      </c>
      <c r="H2057" s="54"/>
      <c r="I2057" s="55">
        <v>9</v>
      </c>
      <c r="K2057" s="51" t="s">
        <v>6416</v>
      </c>
    </row>
    <row r="2058" spans="1:11">
      <c r="A2058" s="51">
        <v>2023</v>
      </c>
      <c r="B2058" s="51" t="s">
        <v>6415</v>
      </c>
      <c r="C2058" s="51" t="s">
        <v>6416</v>
      </c>
      <c r="D2058" s="52" t="s">
        <v>1489</v>
      </c>
      <c r="E2058" s="52" t="s">
        <v>1488</v>
      </c>
      <c r="F2058" s="53" t="s">
        <v>4992</v>
      </c>
      <c r="G2058" s="51" t="s">
        <v>4812</v>
      </c>
      <c r="H2058" s="54"/>
      <c r="I2058" s="55">
        <v>0</v>
      </c>
      <c r="K2058" s="51" t="s">
        <v>6416</v>
      </c>
    </row>
    <row r="2059" spans="1:11">
      <c r="A2059" s="51">
        <v>2024</v>
      </c>
      <c r="B2059" s="51" t="s">
        <v>6415</v>
      </c>
      <c r="C2059" s="51" t="s">
        <v>6416</v>
      </c>
      <c r="D2059" s="52" t="s">
        <v>2302</v>
      </c>
      <c r="E2059" s="52" t="s">
        <v>2301</v>
      </c>
      <c r="F2059" s="53" t="s">
        <v>5398</v>
      </c>
      <c r="G2059" s="51" t="s">
        <v>4812</v>
      </c>
      <c r="H2059" s="54"/>
      <c r="I2059" s="55">
        <v>31</v>
      </c>
      <c r="K2059" s="51" t="s">
        <v>6416</v>
      </c>
    </row>
    <row r="2060" spans="1:11">
      <c r="A2060" s="51">
        <v>2025</v>
      </c>
      <c r="B2060" s="51" t="s">
        <v>6415</v>
      </c>
      <c r="C2060" s="51" t="s">
        <v>6416</v>
      </c>
      <c r="D2060" s="52" t="s">
        <v>2358</v>
      </c>
      <c r="E2060" s="52" t="s">
        <v>2357</v>
      </c>
      <c r="F2060" s="53" t="s">
        <v>6222</v>
      </c>
      <c r="G2060" s="51" t="s">
        <v>4812</v>
      </c>
      <c r="H2060" s="54"/>
      <c r="I2060" s="55">
        <v>245</v>
      </c>
      <c r="K2060" s="51" t="s">
        <v>6416</v>
      </c>
    </row>
    <row r="2061" spans="1:11">
      <c r="A2061" s="51">
        <v>2026</v>
      </c>
      <c r="B2061" s="51" t="s">
        <v>6415</v>
      </c>
      <c r="C2061" s="51" t="s">
        <v>6416</v>
      </c>
      <c r="D2061" s="52" t="s">
        <v>2320</v>
      </c>
      <c r="E2061" s="52" t="s">
        <v>2319</v>
      </c>
      <c r="F2061" s="53" t="s">
        <v>6222</v>
      </c>
      <c r="G2061" s="51" t="s">
        <v>4812</v>
      </c>
      <c r="H2061" s="54"/>
      <c r="I2061" s="55">
        <v>75</v>
      </c>
      <c r="K2061" s="51" t="s">
        <v>6416</v>
      </c>
    </row>
    <row r="2062" spans="1:11">
      <c r="A2062" s="51">
        <v>2027</v>
      </c>
      <c r="B2062" s="51" t="s">
        <v>6415</v>
      </c>
      <c r="C2062" s="51" t="s">
        <v>6416</v>
      </c>
      <c r="D2062" s="52" t="s">
        <v>2386</v>
      </c>
      <c r="E2062" s="52" t="s">
        <v>2385</v>
      </c>
      <c r="F2062" s="53" t="s">
        <v>5495</v>
      </c>
      <c r="G2062" s="51" t="s">
        <v>4812</v>
      </c>
      <c r="H2062" s="54"/>
      <c r="I2062" s="55">
        <v>62</v>
      </c>
      <c r="K2062" s="51" t="s">
        <v>6416</v>
      </c>
    </row>
    <row r="2063" spans="1:11">
      <c r="A2063" s="51">
        <v>2028</v>
      </c>
      <c r="B2063" s="51" t="s">
        <v>6415</v>
      </c>
      <c r="C2063" s="51" t="s">
        <v>6416</v>
      </c>
      <c r="D2063" s="52" t="s">
        <v>1463</v>
      </c>
      <c r="E2063" s="52" t="s">
        <v>1462</v>
      </c>
      <c r="F2063" s="53" t="s">
        <v>4993</v>
      </c>
      <c r="G2063" s="51" t="s">
        <v>4812</v>
      </c>
      <c r="H2063" s="54"/>
      <c r="I2063" s="55">
        <v>36</v>
      </c>
      <c r="K2063" s="51" t="s">
        <v>6416</v>
      </c>
    </row>
    <row r="2064" spans="1:11">
      <c r="A2064" s="51">
        <v>2029</v>
      </c>
      <c r="B2064" s="51" t="s">
        <v>6415</v>
      </c>
      <c r="C2064" s="51" t="s">
        <v>6416</v>
      </c>
      <c r="D2064" s="52" t="s">
        <v>1461</v>
      </c>
      <c r="E2064" s="52" t="s">
        <v>1460</v>
      </c>
      <c r="F2064" s="53" t="s">
        <v>4993</v>
      </c>
      <c r="G2064" s="51" t="s">
        <v>4812</v>
      </c>
      <c r="H2064" s="54"/>
      <c r="I2064" s="55">
        <v>37</v>
      </c>
      <c r="K2064" s="51" t="s">
        <v>6416</v>
      </c>
    </row>
    <row r="2065" spans="1:11">
      <c r="A2065" s="51">
        <v>2030</v>
      </c>
      <c r="B2065" s="51" t="s">
        <v>6415</v>
      </c>
      <c r="C2065" s="51" t="s">
        <v>6416</v>
      </c>
      <c r="D2065" s="52" t="s">
        <v>3410</v>
      </c>
      <c r="E2065" s="52" t="s">
        <v>3409</v>
      </c>
      <c r="F2065" s="53" t="s">
        <v>6204</v>
      </c>
      <c r="G2065" s="51" t="s">
        <v>4812</v>
      </c>
      <c r="H2065" s="54"/>
      <c r="I2065" s="55">
        <v>15</v>
      </c>
      <c r="K2065" s="51" t="s">
        <v>6416</v>
      </c>
    </row>
    <row r="2066" spans="1:11">
      <c r="A2066" s="51">
        <v>2031</v>
      </c>
      <c r="B2066" s="51" t="s">
        <v>6415</v>
      </c>
      <c r="C2066" s="51" t="s">
        <v>6416</v>
      </c>
      <c r="D2066" s="52" t="s">
        <v>3376</v>
      </c>
      <c r="E2066" s="52" t="s">
        <v>3375</v>
      </c>
      <c r="F2066" s="53" t="s">
        <v>4995</v>
      </c>
      <c r="G2066" s="51" t="s">
        <v>4812</v>
      </c>
      <c r="H2066" s="54"/>
      <c r="I2066" s="55">
        <v>16</v>
      </c>
      <c r="K2066" s="51" t="s">
        <v>6416</v>
      </c>
    </row>
    <row r="2067" spans="1:11">
      <c r="A2067" s="51">
        <v>2032</v>
      </c>
      <c r="B2067" s="51" t="s">
        <v>6415</v>
      </c>
      <c r="C2067" s="51" t="s">
        <v>6416</v>
      </c>
      <c r="D2067" s="52" t="s">
        <v>1539</v>
      </c>
      <c r="E2067" s="52" t="s">
        <v>1538</v>
      </c>
      <c r="F2067" s="53" t="s">
        <v>6205</v>
      </c>
      <c r="G2067" s="51" t="s">
        <v>4812</v>
      </c>
      <c r="H2067" s="54"/>
      <c r="I2067" s="55">
        <v>53</v>
      </c>
      <c r="K2067" s="51" t="s">
        <v>6416</v>
      </c>
    </row>
    <row r="2068" spans="1:11">
      <c r="A2068" s="51">
        <v>2033</v>
      </c>
      <c r="B2068" s="51" t="s">
        <v>6415</v>
      </c>
      <c r="C2068" s="51" t="s">
        <v>6416</v>
      </c>
      <c r="D2068" s="52" t="s">
        <v>1515</v>
      </c>
      <c r="E2068" s="52" t="s">
        <v>1514</v>
      </c>
      <c r="F2068" s="53" t="s">
        <v>6206</v>
      </c>
      <c r="G2068" s="51" t="s">
        <v>4812</v>
      </c>
      <c r="H2068" s="54"/>
      <c r="I2068" s="55">
        <v>90</v>
      </c>
      <c r="K2068" s="51" t="s">
        <v>6416</v>
      </c>
    </row>
    <row r="2069" spans="1:11">
      <c r="A2069" s="51">
        <v>2034</v>
      </c>
      <c r="B2069" s="51" t="s">
        <v>6415</v>
      </c>
      <c r="C2069" s="51" t="s">
        <v>6416</v>
      </c>
      <c r="D2069" s="52" t="s">
        <v>6336</v>
      </c>
      <c r="E2069" s="52" t="s">
        <v>6444</v>
      </c>
      <c r="F2069" s="53" t="s">
        <v>6082</v>
      </c>
      <c r="G2069" s="51" t="s">
        <v>4812</v>
      </c>
      <c r="H2069" s="54"/>
      <c r="I2069" s="55">
        <v>0</v>
      </c>
      <c r="K2069" s="51" t="s">
        <v>6416</v>
      </c>
    </row>
    <row r="2070" spans="1:11">
      <c r="A2070" s="51">
        <v>2035</v>
      </c>
      <c r="B2070" s="51" t="s">
        <v>6415</v>
      </c>
      <c r="C2070" s="51" t="s">
        <v>6416</v>
      </c>
      <c r="D2070" s="52" t="s">
        <v>2484</v>
      </c>
      <c r="E2070" s="52" t="s">
        <v>2483</v>
      </c>
      <c r="F2070" s="53" t="s">
        <v>6245</v>
      </c>
      <c r="G2070" s="51" t="s">
        <v>4812</v>
      </c>
      <c r="H2070" s="54"/>
      <c r="I2070" s="55">
        <v>172</v>
      </c>
      <c r="K2070" s="51" t="s">
        <v>6416</v>
      </c>
    </row>
    <row r="2071" spans="1:11">
      <c r="A2071" s="51">
        <v>2036</v>
      </c>
      <c r="B2071" s="51" t="s">
        <v>6415</v>
      </c>
      <c r="C2071" s="51" t="s">
        <v>6416</v>
      </c>
      <c r="D2071" s="52" t="s">
        <v>3440</v>
      </c>
      <c r="E2071" s="52" t="s">
        <v>3425</v>
      </c>
      <c r="F2071" s="53" t="s">
        <v>6247</v>
      </c>
      <c r="G2071" s="51" t="s">
        <v>4812</v>
      </c>
      <c r="H2071" s="54"/>
      <c r="I2071" s="55">
        <v>68</v>
      </c>
      <c r="K2071" s="51" t="s">
        <v>6416</v>
      </c>
    </row>
    <row r="2072" spans="1:11">
      <c r="A2072" s="51">
        <v>2037</v>
      </c>
      <c r="B2072" s="51" t="s">
        <v>6415</v>
      </c>
      <c r="C2072" s="51" t="s">
        <v>6416</v>
      </c>
      <c r="D2072" s="52" t="s">
        <v>3781</v>
      </c>
      <c r="E2072" s="52" t="s">
        <v>3780</v>
      </c>
      <c r="F2072" s="53" t="s">
        <v>100</v>
      </c>
      <c r="G2072" s="51" t="s">
        <v>4812</v>
      </c>
      <c r="H2072" s="54"/>
      <c r="I2072" s="55">
        <v>39</v>
      </c>
      <c r="K2072" s="51" t="s">
        <v>6416</v>
      </c>
    </row>
    <row r="2073" spans="1:11">
      <c r="A2073" s="51">
        <v>2038</v>
      </c>
      <c r="B2073" s="51" t="s">
        <v>6415</v>
      </c>
      <c r="C2073" s="51" t="s">
        <v>6416</v>
      </c>
      <c r="D2073" s="52" t="s">
        <v>1487</v>
      </c>
      <c r="E2073" s="52" t="s">
        <v>1486</v>
      </c>
      <c r="F2073" s="53" t="s">
        <v>6445</v>
      </c>
      <c r="G2073" s="51" t="s">
        <v>4812</v>
      </c>
      <c r="H2073" s="54"/>
      <c r="I2073" s="55">
        <v>0</v>
      </c>
      <c r="K2073" s="51" t="s">
        <v>6416</v>
      </c>
    </row>
    <row r="2074" spans="1:11">
      <c r="A2074" s="51">
        <v>2039</v>
      </c>
      <c r="B2074" s="51" t="s">
        <v>6415</v>
      </c>
      <c r="C2074" s="51" t="s">
        <v>6416</v>
      </c>
      <c r="D2074" s="52" t="s">
        <v>1485</v>
      </c>
      <c r="E2074" s="52" t="s">
        <v>1484</v>
      </c>
      <c r="F2074" s="53" t="s">
        <v>6445</v>
      </c>
      <c r="G2074" s="51" t="s">
        <v>4812</v>
      </c>
      <c r="H2074" s="54"/>
      <c r="I2074" s="55">
        <v>50</v>
      </c>
      <c r="K2074" s="51" t="s">
        <v>6416</v>
      </c>
    </row>
    <row r="2075" spans="1:11">
      <c r="A2075" s="51">
        <v>2040</v>
      </c>
      <c r="B2075" s="51" t="s">
        <v>6415</v>
      </c>
      <c r="C2075" s="51" t="s">
        <v>6416</v>
      </c>
      <c r="D2075" s="52" t="s">
        <v>2356</v>
      </c>
      <c r="E2075" s="52" t="s">
        <v>2355</v>
      </c>
      <c r="F2075" s="53" t="s">
        <v>6446</v>
      </c>
      <c r="G2075" s="51" t="s">
        <v>4812</v>
      </c>
      <c r="H2075" s="54"/>
      <c r="I2075" s="55">
        <v>70</v>
      </c>
      <c r="K2075" s="51" t="s">
        <v>6416</v>
      </c>
    </row>
    <row r="2076" spans="1:11">
      <c r="A2076" s="51">
        <v>2041</v>
      </c>
      <c r="B2076" s="51" t="s">
        <v>6415</v>
      </c>
      <c r="C2076" s="51" t="s">
        <v>6416</v>
      </c>
      <c r="D2076" s="52" t="s">
        <v>3372</v>
      </c>
      <c r="E2076" s="52" t="s">
        <v>3371</v>
      </c>
      <c r="F2076" s="53" t="s">
        <v>4995</v>
      </c>
      <c r="G2076" s="51" t="s">
        <v>4812</v>
      </c>
      <c r="H2076" s="54"/>
      <c r="I2076" s="55">
        <v>49</v>
      </c>
      <c r="K2076" s="51" t="s">
        <v>6416</v>
      </c>
    </row>
    <row r="2077" spans="1:11">
      <c r="A2077" s="51">
        <v>2042</v>
      </c>
      <c r="B2077" s="51" t="s">
        <v>6415</v>
      </c>
      <c r="C2077" s="51" t="s">
        <v>6416</v>
      </c>
      <c r="D2077" s="52" t="s">
        <v>3406</v>
      </c>
      <c r="E2077" s="52" t="s">
        <v>3405</v>
      </c>
      <c r="F2077" s="53" t="s">
        <v>6204</v>
      </c>
      <c r="G2077" s="51" t="s">
        <v>4812</v>
      </c>
      <c r="H2077" s="54"/>
      <c r="I2077" s="55">
        <v>23</v>
      </c>
      <c r="K2077" s="51" t="s">
        <v>6416</v>
      </c>
    </row>
    <row r="2078" spans="1:11">
      <c r="A2078" s="57" t="s">
        <v>6447</v>
      </c>
      <c r="B2078" s="51"/>
      <c r="C2078" s="51" t="s">
        <v>6416</v>
      </c>
      <c r="D2078" s="52" t="s">
        <v>2326</v>
      </c>
      <c r="E2078" s="52" t="s">
        <v>2325</v>
      </c>
      <c r="F2078" s="53"/>
      <c r="G2078" s="51" t="s">
        <v>4812</v>
      </c>
      <c r="H2078" s="54"/>
      <c r="I2078" s="55">
        <v>0</v>
      </c>
      <c r="K2078" s="51" t="s">
        <v>6416</v>
      </c>
    </row>
    <row r="2079" spans="1:11">
      <c r="A2079" s="57" t="s">
        <v>6448</v>
      </c>
      <c r="B2079" s="51"/>
      <c r="C2079" s="51" t="s">
        <v>6416</v>
      </c>
      <c r="D2079" s="52" t="s">
        <v>2715</v>
      </c>
      <c r="E2079" s="52" t="s">
        <v>2714</v>
      </c>
      <c r="F2079" s="53"/>
      <c r="G2079" s="51" t="s">
        <v>4812</v>
      </c>
      <c r="H2079" s="54"/>
      <c r="I2079" s="55">
        <v>150</v>
      </c>
      <c r="K2079" s="51" t="s">
        <v>6416</v>
      </c>
    </row>
    <row r="2080" spans="1:11">
      <c r="A2080" s="57" t="s">
        <v>6449</v>
      </c>
      <c r="B2080" s="51"/>
      <c r="C2080" s="51" t="s">
        <v>6416</v>
      </c>
      <c r="D2080" s="52" t="s">
        <v>2775</v>
      </c>
      <c r="E2080" s="52" t="s">
        <v>2774</v>
      </c>
      <c r="F2080" s="53"/>
      <c r="G2080" s="51" t="s">
        <v>4812</v>
      </c>
      <c r="H2080" s="54"/>
      <c r="I2080" s="55">
        <v>211</v>
      </c>
      <c r="K2080" s="51" t="s">
        <v>6416</v>
      </c>
    </row>
    <row r="2081" spans="1:11">
      <c r="A2081" s="57" t="s">
        <v>6450</v>
      </c>
      <c r="B2081" s="51"/>
      <c r="C2081" s="51" t="s">
        <v>6416</v>
      </c>
      <c r="D2081" s="52" t="s">
        <v>2719</v>
      </c>
      <c r="E2081" s="52" t="s">
        <v>2720</v>
      </c>
      <c r="F2081" s="53"/>
      <c r="G2081" s="51" t="s">
        <v>4812</v>
      </c>
      <c r="H2081" s="54"/>
      <c r="I2081" s="55">
        <v>15</v>
      </c>
      <c r="K2081" s="51" t="s">
        <v>6416</v>
      </c>
    </row>
    <row r="2082" spans="1:11">
      <c r="A2082" s="57" t="s">
        <v>6451</v>
      </c>
      <c r="B2082" s="51"/>
      <c r="C2082" s="51" t="s">
        <v>6416</v>
      </c>
      <c r="D2082" s="52" t="s">
        <v>2773</v>
      </c>
      <c r="E2082" s="52" t="s">
        <v>2772</v>
      </c>
      <c r="F2082" s="53"/>
      <c r="G2082" s="51" t="s">
        <v>4812</v>
      </c>
      <c r="H2082" s="54"/>
      <c r="I2082" s="55">
        <v>10</v>
      </c>
      <c r="K2082" s="51" t="s">
        <v>6416</v>
      </c>
    </row>
    <row r="2083" spans="1:11">
      <c r="A2083" s="57" t="s">
        <v>6452</v>
      </c>
      <c r="B2083" s="51"/>
      <c r="C2083" s="51" t="s">
        <v>6416</v>
      </c>
      <c r="D2083" s="52" t="s">
        <v>2727</v>
      </c>
      <c r="E2083" s="52"/>
      <c r="F2083" s="53"/>
      <c r="G2083" s="51" t="s">
        <v>4812</v>
      </c>
      <c r="H2083" s="54"/>
      <c r="I2083" s="55">
        <v>131</v>
      </c>
      <c r="K2083" s="51" t="s">
        <v>6416</v>
      </c>
    </row>
    <row r="2084" spans="1:11">
      <c r="A2084" s="57" t="s">
        <v>6453</v>
      </c>
      <c r="B2084" s="51"/>
      <c r="C2084" s="51" t="s">
        <v>6416</v>
      </c>
      <c r="D2084" s="52" t="s">
        <v>6454</v>
      </c>
      <c r="E2084" s="52"/>
      <c r="F2084" s="53"/>
      <c r="G2084" s="51" t="s">
        <v>4812</v>
      </c>
      <c r="H2084" s="54"/>
      <c r="I2084" s="55">
        <v>120</v>
      </c>
      <c r="K2084" s="51" t="s">
        <v>6416</v>
      </c>
    </row>
    <row r="2085" spans="1:11">
      <c r="A2085" s="57" t="s">
        <v>6455</v>
      </c>
      <c r="B2085" s="51"/>
      <c r="C2085" s="51" t="s">
        <v>6416</v>
      </c>
      <c r="D2085" s="52" t="s">
        <v>2723</v>
      </c>
      <c r="E2085" s="52"/>
      <c r="F2085" s="53"/>
      <c r="G2085" s="51" t="s">
        <v>4812</v>
      </c>
      <c r="H2085" s="54"/>
      <c r="I2085" s="55">
        <v>30</v>
      </c>
      <c r="K2085" s="51" t="s">
        <v>6416</v>
      </c>
    </row>
    <row r="2086" spans="1:11">
      <c r="A2086" s="57" t="s">
        <v>6456</v>
      </c>
      <c r="B2086" s="51"/>
      <c r="C2086" s="51" t="s">
        <v>6416</v>
      </c>
      <c r="D2086" s="52" t="s">
        <v>2783</v>
      </c>
      <c r="E2086" s="52"/>
      <c r="F2086" s="53"/>
      <c r="G2086" s="51" t="s">
        <v>4812</v>
      </c>
      <c r="H2086" s="54"/>
      <c r="I2086" s="55">
        <v>93</v>
      </c>
      <c r="K2086" s="51" t="s">
        <v>6416</v>
      </c>
    </row>
    <row r="2087" spans="1:11">
      <c r="A2087" s="57" t="s">
        <v>6457</v>
      </c>
      <c r="B2087" s="51"/>
      <c r="C2087" s="51" t="s">
        <v>6416</v>
      </c>
      <c r="D2087" s="52" t="s">
        <v>2326</v>
      </c>
      <c r="E2087" s="52" t="s">
        <v>2325</v>
      </c>
      <c r="F2087" s="53"/>
      <c r="G2087" s="51" t="s">
        <v>4812</v>
      </c>
      <c r="H2087" s="54"/>
      <c r="I2087" s="55">
        <v>71</v>
      </c>
      <c r="K2087" s="51" t="s">
        <v>6416</v>
      </c>
    </row>
    <row r="2088" spans="1:11">
      <c r="A2088" s="57" t="s">
        <v>6458</v>
      </c>
      <c r="B2088" s="51"/>
      <c r="C2088" s="51" t="s">
        <v>6416</v>
      </c>
      <c r="D2088" s="52" t="s">
        <v>2376</v>
      </c>
      <c r="E2088" s="52" t="s">
        <v>2375</v>
      </c>
      <c r="F2088" s="53"/>
      <c r="G2088" s="51" t="s">
        <v>4812</v>
      </c>
      <c r="H2088" s="54"/>
      <c r="I2088" s="55">
        <v>38</v>
      </c>
      <c r="K2088" s="51" t="s">
        <v>6416</v>
      </c>
    </row>
    <row r="2089" spans="1:11">
      <c r="A2089" s="57" t="s">
        <v>6459</v>
      </c>
      <c r="B2089" s="51"/>
      <c r="C2089" s="51" t="s">
        <v>6416</v>
      </c>
      <c r="D2089" s="52" t="s">
        <v>6460</v>
      </c>
      <c r="E2089" s="52" t="s">
        <v>6461</v>
      </c>
      <c r="F2089" s="53"/>
      <c r="G2089" s="51" t="s">
        <v>4812</v>
      </c>
      <c r="H2089" s="54"/>
      <c r="I2089" s="55">
        <v>2</v>
      </c>
      <c r="K2089" s="51" t="s">
        <v>6416</v>
      </c>
    </row>
    <row r="2090" spans="1:11">
      <c r="A2090" s="57" t="s">
        <v>6462</v>
      </c>
      <c r="B2090" s="51"/>
      <c r="C2090" s="51" t="s">
        <v>6416</v>
      </c>
      <c r="D2090" s="52" t="s">
        <v>6255</v>
      </c>
      <c r="E2090" s="52" t="s">
        <v>6463</v>
      </c>
      <c r="F2090" s="53"/>
      <c r="G2090" s="51" t="s">
        <v>4812</v>
      </c>
      <c r="H2090" s="54"/>
      <c r="I2090" s="55">
        <v>0</v>
      </c>
      <c r="K2090" s="51" t="s">
        <v>6416</v>
      </c>
    </row>
    <row r="2091" spans="1:11">
      <c r="A2091" s="57" t="s">
        <v>6464</v>
      </c>
      <c r="B2091" s="51"/>
      <c r="C2091" s="51" t="s">
        <v>6416</v>
      </c>
      <c r="D2091" s="52" t="s">
        <v>6256</v>
      </c>
      <c r="E2091" s="52" t="s">
        <v>6465</v>
      </c>
      <c r="F2091" s="53"/>
      <c r="G2091" s="51" t="s">
        <v>4812</v>
      </c>
      <c r="H2091" s="54"/>
      <c r="I2091" s="55">
        <v>0</v>
      </c>
      <c r="K2091" s="51" t="s">
        <v>6416</v>
      </c>
    </row>
    <row r="2092" spans="1:11">
      <c r="A2092" s="57" t="s">
        <v>6466</v>
      </c>
      <c r="B2092" s="51"/>
      <c r="C2092" s="51" t="s">
        <v>6416</v>
      </c>
      <c r="D2092" s="52" t="s">
        <v>6467</v>
      </c>
      <c r="E2092" s="52" t="s">
        <v>6468</v>
      </c>
      <c r="F2092" s="53"/>
      <c r="G2092" s="51" t="s">
        <v>4812</v>
      </c>
      <c r="H2092" s="54"/>
      <c r="I2092" s="55">
        <v>108</v>
      </c>
      <c r="K2092" s="51" t="s">
        <v>6416</v>
      </c>
    </row>
    <row r="2093" spans="1:11">
      <c r="A2093" s="57" t="s">
        <v>6469</v>
      </c>
      <c r="B2093" s="51"/>
      <c r="C2093" s="51" t="s">
        <v>6416</v>
      </c>
      <c r="D2093" s="52" t="s">
        <v>6470</v>
      </c>
      <c r="E2093" s="52" t="s">
        <v>6471</v>
      </c>
      <c r="F2093" s="53"/>
      <c r="G2093" s="51" t="s">
        <v>4812</v>
      </c>
      <c r="H2093" s="54"/>
      <c r="I2093" s="55">
        <v>120</v>
      </c>
      <c r="K2093" s="51" t="s">
        <v>6416</v>
      </c>
    </row>
    <row r="2094" spans="1:11">
      <c r="A2094" s="57" t="s">
        <v>6472</v>
      </c>
      <c r="B2094" s="51"/>
      <c r="C2094" s="51" t="s">
        <v>6416</v>
      </c>
      <c r="D2094" s="52" t="s">
        <v>6473</v>
      </c>
      <c r="E2094" s="52" t="s">
        <v>6474</v>
      </c>
      <c r="F2094" s="53"/>
      <c r="G2094" s="51" t="s">
        <v>4812</v>
      </c>
      <c r="H2094" s="54"/>
      <c r="I2094" s="55">
        <v>0</v>
      </c>
      <c r="K2094" s="51" t="s">
        <v>6416</v>
      </c>
    </row>
    <row r="2095" spans="1:11">
      <c r="A2095" s="51">
        <v>2043</v>
      </c>
      <c r="B2095" s="51" t="s">
        <v>6475</v>
      </c>
      <c r="C2095" s="51" t="s">
        <v>6476</v>
      </c>
      <c r="D2095" s="52" t="s">
        <v>6477</v>
      </c>
      <c r="E2095" s="52" t="s">
        <v>6478</v>
      </c>
      <c r="F2095" s="53" t="s">
        <v>6479</v>
      </c>
      <c r="G2095" s="51" t="s">
        <v>4812</v>
      </c>
      <c r="H2095" s="54"/>
      <c r="I2095" s="55">
        <v>0</v>
      </c>
      <c r="K2095" s="51" t="s">
        <v>6476</v>
      </c>
    </row>
    <row r="2096" spans="1:11">
      <c r="A2096" s="51">
        <v>2044</v>
      </c>
      <c r="B2096" s="51" t="s">
        <v>6475</v>
      </c>
      <c r="C2096" s="51" t="s">
        <v>6476</v>
      </c>
      <c r="D2096" s="52" t="s">
        <v>6480</v>
      </c>
      <c r="E2096" s="63" t="s">
        <v>7765</v>
      </c>
      <c r="F2096" s="53" t="s">
        <v>6481</v>
      </c>
      <c r="G2096" s="51" t="s">
        <v>4812</v>
      </c>
      <c r="H2096" s="54"/>
      <c r="I2096" s="55">
        <v>0</v>
      </c>
      <c r="K2096" s="51" t="s">
        <v>6476</v>
      </c>
    </row>
    <row r="2097" spans="1:11">
      <c r="A2097" s="51">
        <v>2045</v>
      </c>
      <c r="B2097" s="51" t="s">
        <v>6475</v>
      </c>
      <c r="C2097" s="51" t="s">
        <v>6476</v>
      </c>
      <c r="D2097" s="52" t="s">
        <v>6482</v>
      </c>
      <c r="E2097" s="63" t="s">
        <v>7290</v>
      </c>
      <c r="F2097" s="53" t="s">
        <v>6483</v>
      </c>
      <c r="G2097" s="51" t="s">
        <v>4812</v>
      </c>
      <c r="H2097" s="54"/>
      <c r="I2097" s="55">
        <v>1</v>
      </c>
      <c r="K2097" s="51" t="s">
        <v>6476</v>
      </c>
    </row>
    <row r="2098" spans="1:11">
      <c r="A2098" s="51">
        <v>2046</v>
      </c>
      <c r="B2098" s="51" t="s">
        <v>6475</v>
      </c>
      <c r="C2098" s="51" t="s">
        <v>6476</v>
      </c>
      <c r="D2098" s="52" t="s">
        <v>6484</v>
      </c>
      <c r="E2098" s="52" t="s">
        <v>6485</v>
      </c>
      <c r="F2098" s="53" t="s">
        <v>6486</v>
      </c>
      <c r="G2098" s="51" t="s">
        <v>4812</v>
      </c>
      <c r="H2098" s="54"/>
      <c r="I2098" s="55">
        <v>0</v>
      </c>
      <c r="K2098" s="51" t="s">
        <v>6476</v>
      </c>
    </row>
    <row r="2099" spans="1:11">
      <c r="A2099" s="51">
        <v>2047</v>
      </c>
      <c r="B2099" s="51" t="s">
        <v>6475</v>
      </c>
      <c r="C2099" s="51" t="s">
        <v>6476</v>
      </c>
      <c r="D2099" s="52" t="s">
        <v>6487</v>
      </c>
      <c r="E2099" s="52" t="s">
        <v>6488</v>
      </c>
      <c r="F2099" s="53" t="s">
        <v>6269</v>
      </c>
      <c r="G2099" s="51" t="s">
        <v>4812</v>
      </c>
      <c r="H2099" s="54"/>
      <c r="I2099" s="55">
        <v>0</v>
      </c>
      <c r="K2099" s="51" t="s">
        <v>6476</v>
      </c>
    </row>
    <row r="2100" spans="1:11">
      <c r="A2100" s="51">
        <v>2048</v>
      </c>
      <c r="B2100" s="51" t="s">
        <v>6475</v>
      </c>
      <c r="C2100" s="51" t="s">
        <v>6476</v>
      </c>
      <c r="D2100" s="52" t="s">
        <v>6489</v>
      </c>
      <c r="E2100" s="52" t="s">
        <v>6490</v>
      </c>
      <c r="F2100" s="53" t="s">
        <v>6300</v>
      </c>
      <c r="G2100" s="51" t="s">
        <v>4812</v>
      </c>
      <c r="H2100" s="54"/>
      <c r="I2100" s="55">
        <v>0</v>
      </c>
      <c r="K2100" s="51" t="s">
        <v>6476</v>
      </c>
    </row>
    <row r="2101" spans="1:11">
      <c r="A2101" s="51">
        <v>2049</v>
      </c>
      <c r="B2101" s="51" t="s">
        <v>6475</v>
      </c>
      <c r="C2101" s="51" t="s">
        <v>6476</v>
      </c>
      <c r="D2101" s="52" t="s">
        <v>6491</v>
      </c>
      <c r="E2101" s="52" t="s">
        <v>6492</v>
      </c>
      <c r="F2101" s="53" t="s">
        <v>6269</v>
      </c>
      <c r="G2101" s="51" t="s">
        <v>4812</v>
      </c>
      <c r="H2101" s="54"/>
      <c r="I2101" s="55">
        <v>2</v>
      </c>
      <c r="K2101" s="51" t="s">
        <v>6476</v>
      </c>
    </row>
    <row r="2102" spans="1:11">
      <c r="A2102" s="51">
        <v>2050</v>
      </c>
      <c r="B2102" s="51" t="s">
        <v>6475</v>
      </c>
      <c r="C2102" s="51" t="s">
        <v>6476</v>
      </c>
      <c r="D2102" s="52" t="s">
        <v>6493</v>
      </c>
      <c r="E2102" s="52" t="s">
        <v>6494</v>
      </c>
      <c r="F2102" s="53" t="s">
        <v>6300</v>
      </c>
      <c r="G2102" s="51" t="s">
        <v>4812</v>
      </c>
      <c r="H2102" s="54"/>
      <c r="I2102" s="55">
        <v>2</v>
      </c>
      <c r="K2102" s="51" t="s">
        <v>6476</v>
      </c>
    </row>
    <row r="2103" spans="1:11">
      <c r="A2103" s="51">
        <v>2051</v>
      </c>
      <c r="B2103" s="51" t="s">
        <v>6475</v>
      </c>
      <c r="C2103" s="51" t="s">
        <v>6476</v>
      </c>
      <c r="D2103" s="52" t="s">
        <v>6495</v>
      </c>
      <c r="E2103" s="52" t="s">
        <v>6496</v>
      </c>
      <c r="F2103" s="53" t="s">
        <v>6272</v>
      </c>
      <c r="G2103" s="51" t="s">
        <v>4812</v>
      </c>
      <c r="H2103" s="54"/>
      <c r="I2103" s="55">
        <v>0</v>
      </c>
      <c r="K2103" s="51" t="s">
        <v>6476</v>
      </c>
    </row>
    <row r="2104" spans="1:11">
      <c r="A2104" s="51">
        <v>2052</v>
      </c>
      <c r="B2104" s="51" t="s">
        <v>6475</v>
      </c>
      <c r="C2104" s="51" t="s">
        <v>6476</v>
      </c>
      <c r="D2104" s="52" t="s">
        <v>6497</v>
      </c>
      <c r="E2104" s="52" t="s">
        <v>6498</v>
      </c>
      <c r="F2104" s="53" t="s">
        <v>6303</v>
      </c>
      <c r="G2104" s="51" t="s">
        <v>4812</v>
      </c>
      <c r="H2104" s="54"/>
      <c r="I2104" s="55">
        <v>0</v>
      </c>
      <c r="K2104" s="51" t="s">
        <v>6476</v>
      </c>
    </row>
    <row r="2105" spans="1:11">
      <c r="A2105" s="51">
        <v>2053</v>
      </c>
      <c r="B2105" s="51" t="s">
        <v>6475</v>
      </c>
      <c r="C2105" s="51" t="s">
        <v>6476</v>
      </c>
      <c r="D2105" s="52" t="s">
        <v>6473</v>
      </c>
      <c r="E2105" s="52" t="s">
        <v>6471</v>
      </c>
      <c r="F2105" s="53" t="s">
        <v>6499</v>
      </c>
      <c r="G2105" s="51" t="s">
        <v>4812</v>
      </c>
      <c r="H2105" s="54"/>
      <c r="I2105" s="55">
        <v>0</v>
      </c>
      <c r="K2105" s="51" t="s">
        <v>6476</v>
      </c>
    </row>
    <row r="2106" spans="1:11">
      <c r="A2106" s="51">
        <v>2054</v>
      </c>
      <c r="B2106" s="51" t="s">
        <v>6475</v>
      </c>
      <c r="C2106" s="51" t="s">
        <v>6476</v>
      </c>
      <c r="D2106" s="52" t="s">
        <v>6420</v>
      </c>
      <c r="E2106" s="52" t="s">
        <v>6471</v>
      </c>
      <c r="F2106" s="53" t="s">
        <v>6500</v>
      </c>
      <c r="G2106" s="51" t="s">
        <v>4812</v>
      </c>
      <c r="H2106" s="54"/>
      <c r="I2106" s="55">
        <v>0</v>
      </c>
      <c r="K2106" s="51" t="s">
        <v>6476</v>
      </c>
    </row>
    <row r="2107" spans="1:11">
      <c r="A2107" s="51">
        <v>2055</v>
      </c>
      <c r="B2107" s="51" t="s">
        <v>6475</v>
      </c>
      <c r="C2107" s="51" t="s">
        <v>6476</v>
      </c>
      <c r="D2107" s="52" t="s">
        <v>6289</v>
      </c>
      <c r="E2107" s="52" t="s">
        <v>6289</v>
      </c>
      <c r="F2107" s="53"/>
      <c r="G2107" s="51" t="s">
        <v>4812</v>
      </c>
      <c r="H2107" s="54"/>
      <c r="I2107" s="55">
        <v>0</v>
      </c>
      <c r="K2107" s="51" t="s">
        <v>6476</v>
      </c>
    </row>
    <row r="2108" spans="1:11">
      <c r="A2108" s="51">
        <v>2056</v>
      </c>
      <c r="B2108" s="51" t="s">
        <v>6475</v>
      </c>
      <c r="C2108" s="51" t="s">
        <v>6476</v>
      </c>
      <c r="D2108" s="52" t="s">
        <v>6501</v>
      </c>
      <c r="E2108" s="52" t="s">
        <v>6501</v>
      </c>
      <c r="F2108" s="53"/>
      <c r="G2108" s="51" t="s">
        <v>4812</v>
      </c>
      <c r="H2108" s="54"/>
      <c r="I2108" s="55">
        <v>18</v>
      </c>
      <c r="K2108" s="51" t="s">
        <v>6476</v>
      </c>
    </row>
    <row r="2109" spans="1:11">
      <c r="A2109" s="51">
        <v>2057</v>
      </c>
      <c r="B2109" s="51" t="s">
        <v>6475</v>
      </c>
      <c r="C2109" s="51" t="s">
        <v>6476</v>
      </c>
      <c r="D2109" s="52" t="s">
        <v>6290</v>
      </c>
      <c r="E2109" s="52" t="s">
        <v>6290</v>
      </c>
      <c r="F2109" s="53" t="s">
        <v>6502</v>
      </c>
      <c r="G2109" s="51" t="s">
        <v>4812</v>
      </c>
      <c r="H2109" s="54"/>
      <c r="I2109" s="55">
        <v>0</v>
      </c>
      <c r="K2109" s="51" t="s">
        <v>6476</v>
      </c>
    </row>
    <row r="2110" spans="1:11">
      <c r="A2110" s="51">
        <v>2058</v>
      </c>
      <c r="B2110" s="51" t="s">
        <v>6475</v>
      </c>
      <c r="C2110" s="51" t="s">
        <v>6476</v>
      </c>
      <c r="D2110" s="52" t="s">
        <v>6254</v>
      </c>
      <c r="E2110" s="52" t="s">
        <v>6254</v>
      </c>
      <c r="F2110" s="53" t="s">
        <v>6503</v>
      </c>
      <c r="G2110" s="51" t="s">
        <v>4812</v>
      </c>
      <c r="H2110" s="54"/>
      <c r="I2110" s="55">
        <v>0</v>
      </c>
      <c r="K2110" s="51" t="s">
        <v>6476</v>
      </c>
    </row>
    <row r="2111" spans="1:11">
      <c r="A2111" s="51">
        <v>2059</v>
      </c>
      <c r="B2111" s="51" t="s">
        <v>6475</v>
      </c>
      <c r="C2111" s="51" t="s">
        <v>6476</v>
      </c>
      <c r="D2111" s="52" t="s">
        <v>6255</v>
      </c>
      <c r="E2111" s="52" t="s">
        <v>6463</v>
      </c>
      <c r="F2111" s="53" t="s">
        <v>6504</v>
      </c>
      <c r="G2111" s="51" t="s">
        <v>4812</v>
      </c>
      <c r="H2111" s="54"/>
      <c r="I2111" s="55">
        <v>0</v>
      </c>
      <c r="K2111" s="51" t="s">
        <v>6476</v>
      </c>
    </row>
    <row r="2112" spans="1:11">
      <c r="A2112" s="51">
        <v>2060</v>
      </c>
      <c r="B2112" s="51" t="s">
        <v>6475</v>
      </c>
      <c r="C2112" s="51" t="s">
        <v>6476</v>
      </c>
      <c r="D2112" s="52" t="s">
        <v>6256</v>
      </c>
      <c r="E2112" s="52" t="s">
        <v>6505</v>
      </c>
      <c r="F2112" s="53" t="s">
        <v>6506</v>
      </c>
      <c r="G2112" s="51" t="s">
        <v>4812</v>
      </c>
      <c r="H2112" s="54"/>
      <c r="I2112" s="55">
        <v>0</v>
      </c>
      <c r="K2112" s="51" t="s">
        <v>6476</v>
      </c>
    </row>
    <row r="2113" spans="1:11">
      <c r="A2113" s="51">
        <v>2061</v>
      </c>
      <c r="B2113" s="51" t="s">
        <v>6475</v>
      </c>
      <c r="C2113" s="51" t="s">
        <v>6476</v>
      </c>
      <c r="D2113" s="52" t="s">
        <v>6467</v>
      </c>
      <c r="E2113" s="52" t="s">
        <v>6468</v>
      </c>
      <c r="F2113" s="53" t="s">
        <v>6507</v>
      </c>
      <c r="G2113" s="51" t="s">
        <v>4812</v>
      </c>
      <c r="H2113" s="54"/>
      <c r="I2113" s="55">
        <v>0</v>
      </c>
      <c r="K2113" s="51" t="s">
        <v>6476</v>
      </c>
    </row>
    <row r="2114" spans="1:11">
      <c r="A2114" s="51">
        <v>2062</v>
      </c>
      <c r="B2114" s="51" t="s">
        <v>6475</v>
      </c>
      <c r="C2114" s="51" t="s">
        <v>6476</v>
      </c>
      <c r="D2114" s="52" t="s">
        <v>6470</v>
      </c>
      <c r="E2114" s="52" t="s">
        <v>6471</v>
      </c>
      <c r="F2114" s="53" t="s">
        <v>6508</v>
      </c>
      <c r="G2114" s="51" t="s">
        <v>4812</v>
      </c>
      <c r="H2114" s="54"/>
      <c r="I2114" s="55">
        <v>0</v>
      </c>
      <c r="K2114" s="51" t="s">
        <v>6476</v>
      </c>
    </row>
    <row r="2115" spans="1:11">
      <c r="A2115" s="51">
        <v>2063</v>
      </c>
      <c r="B2115" s="51" t="s">
        <v>6475</v>
      </c>
      <c r="C2115" s="51" t="s">
        <v>6476</v>
      </c>
      <c r="D2115" s="52" t="s">
        <v>6421</v>
      </c>
      <c r="E2115" s="52" t="s">
        <v>6509</v>
      </c>
      <c r="F2115" s="53" t="s">
        <v>6510</v>
      </c>
      <c r="G2115" s="51" t="s">
        <v>4812</v>
      </c>
      <c r="H2115" s="54"/>
      <c r="I2115" s="55">
        <v>0</v>
      </c>
      <c r="K2115" s="51" t="s">
        <v>6476</v>
      </c>
    </row>
    <row r="2116" spans="1:11">
      <c r="A2116" s="51">
        <v>2064</v>
      </c>
      <c r="B2116" s="51" t="s">
        <v>6475</v>
      </c>
      <c r="C2116" s="51" t="s">
        <v>6476</v>
      </c>
      <c r="D2116" s="52" t="s">
        <v>6422</v>
      </c>
      <c r="E2116" s="52" t="s">
        <v>6511</v>
      </c>
      <c r="F2116" s="53" t="s">
        <v>6512</v>
      </c>
      <c r="G2116" s="51" t="s">
        <v>4812</v>
      </c>
      <c r="H2116" s="54"/>
      <c r="I2116" s="55">
        <v>0</v>
      </c>
      <c r="K2116" s="51" t="s">
        <v>6476</v>
      </c>
    </row>
    <row r="2117" spans="1:11">
      <c r="A2117" s="51">
        <v>2065</v>
      </c>
      <c r="B2117" s="51" t="s">
        <v>6475</v>
      </c>
      <c r="C2117" s="51" t="s">
        <v>6476</v>
      </c>
      <c r="D2117" s="52" t="s">
        <v>2078</v>
      </c>
      <c r="E2117" s="52" t="s">
        <v>6430</v>
      </c>
      <c r="F2117" s="53" t="s">
        <v>6228</v>
      </c>
      <c r="G2117" s="51" t="s">
        <v>4812</v>
      </c>
      <c r="H2117" s="54"/>
      <c r="I2117" s="55">
        <v>10</v>
      </c>
      <c r="K2117" s="51" t="s">
        <v>6476</v>
      </c>
    </row>
    <row r="2118" spans="1:11">
      <c r="A2118" s="51">
        <v>2066</v>
      </c>
      <c r="B2118" s="51" t="s">
        <v>6475</v>
      </c>
      <c r="C2118" s="51" t="s">
        <v>6476</v>
      </c>
      <c r="D2118" s="52" t="s">
        <v>2070</v>
      </c>
      <c r="E2118" s="52" t="s">
        <v>6431</v>
      </c>
      <c r="F2118" s="53" t="s">
        <v>6229</v>
      </c>
      <c r="G2118" s="51" t="s">
        <v>4812</v>
      </c>
      <c r="H2118" s="54"/>
      <c r="I2118" s="55">
        <v>0</v>
      </c>
      <c r="K2118" s="51" t="s">
        <v>6476</v>
      </c>
    </row>
    <row r="2119" spans="1:11">
      <c r="A2119" s="51">
        <v>2067</v>
      </c>
      <c r="B2119" s="51" t="s">
        <v>6475</v>
      </c>
      <c r="C2119" s="51" t="s">
        <v>6476</v>
      </c>
      <c r="D2119" s="52" t="s">
        <v>6437</v>
      </c>
      <c r="E2119" s="52" t="s">
        <v>6438</v>
      </c>
      <c r="F2119" s="53" t="s">
        <v>6238</v>
      </c>
      <c r="G2119" s="51" t="s">
        <v>4812</v>
      </c>
      <c r="H2119" s="54"/>
      <c r="I2119" s="55">
        <v>0</v>
      </c>
      <c r="K2119" s="51" t="s">
        <v>6476</v>
      </c>
    </row>
    <row r="2120" spans="1:11">
      <c r="A2120" s="51">
        <v>2068</v>
      </c>
      <c r="B2120" s="51" t="s">
        <v>6475</v>
      </c>
      <c r="C2120" s="51" t="s">
        <v>6476</v>
      </c>
      <c r="D2120" s="52" t="s">
        <v>2088</v>
      </c>
      <c r="E2120" s="52" t="s">
        <v>6439</v>
      </c>
      <c r="F2120" s="53" t="s">
        <v>6227</v>
      </c>
      <c r="G2120" s="51" t="s">
        <v>4812</v>
      </c>
      <c r="H2120" s="54"/>
      <c r="I2120" s="55">
        <v>0</v>
      </c>
      <c r="K2120" s="51" t="s">
        <v>6476</v>
      </c>
    </row>
    <row r="2121" spans="1:11">
      <c r="A2121" s="51">
        <v>2069</v>
      </c>
      <c r="B2121" s="51" t="s">
        <v>6475</v>
      </c>
      <c r="C2121" s="51" t="s">
        <v>6476</v>
      </c>
      <c r="D2121" s="52" t="s">
        <v>2098</v>
      </c>
      <c r="E2121" s="52" t="s">
        <v>6440</v>
      </c>
      <c r="F2121" s="53" t="s">
        <v>6237</v>
      </c>
      <c r="G2121" s="51" t="s">
        <v>4812</v>
      </c>
      <c r="H2121" s="54"/>
      <c r="I2121" s="55">
        <v>2</v>
      </c>
      <c r="K2121" s="51" t="s">
        <v>6476</v>
      </c>
    </row>
    <row r="2122" spans="1:11">
      <c r="A2122" s="51">
        <v>2070</v>
      </c>
      <c r="B2122" s="51" t="s">
        <v>6475</v>
      </c>
      <c r="C2122" s="51" t="s">
        <v>6476</v>
      </c>
      <c r="D2122" s="52" t="s">
        <v>2486</v>
      </c>
      <c r="E2122" s="52" t="s">
        <v>2485</v>
      </c>
      <c r="F2122" s="53" t="s">
        <v>6513</v>
      </c>
      <c r="G2122" s="51" t="s">
        <v>4812</v>
      </c>
      <c r="H2122" s="54"/>
      <c r="I2122" s="55">
        <v>233</v>
      </c>
      <c r="K2122" s="51" t="s">
        <v>6476</v>
      </c>
    </row>
    <row r="2123" spans="1:11">
      <c r="A2123" s="51">
        <v>2071</v>
      </c>
      <c r="B2123" s="51" t="s">
        <v>6475</v>
      </c>
      <c r="C2123" s="51" t="s">
        <v>6476</v>
      </c>
      <c r="D2123" s="52" t="s">
        <v>2488</v>
      </c>
      <c r="E2123" s="52" t="s">
        <v>2487</v>
      </c>
      <c r="F2123" s="53" t="s">
        <v>6513</v>
      </c>
      <c r="G2123" s="51" t="s">
        <v>4812</v>
      </c>
      <c r="H2123" s="54"/>
      <c r="I2123" s="55">
        <v>0</v>
      </c>
      <c r="K2123" s="51" t="s">
        <v>6476</v>
      </c>
    </row>
    <row r="2124" spans="1:11">
      <c r="A2124" s="51">
        <v>2072</v>
      </c>
      <c r="B2124" s="51" t="s">
        <v>6475</v>
      </c>
      <c r="C2124" s="51" t="s">
        <v>6476</v>
      </c>
      <c r="D2124" s="52" t="s">
        <v>2560</v>
      </c>
      <c r="E2124" s="52" t="s">
        <v>6514</v>
      </c>
      <c r="F2124" s="53" t="s">
        <v>6101</v>
      </c>
      <c r="G2124" s="51" t="s">
        <v>4812</v>
      </c>
      <c r="H2124" s="54"/>
      <c r="I2124" s="55">
        <v>0</v>
      </c>
      <c r="K2124" s="51" t="s">
        <v>6476</v>
      </c>
    </row>
    <row r="2125" spans="1:11">
      <c r="A2125" s="51">
        <v>2073</v>
      </c>
      <c r="B2125" s="51" t="s">
        <v>6475</v>
      </c>
      <c r="C2125" s="51" t="s">
        <v>6476</v>
      </c>
      <c r="D2125" s="52" t="s">
        <v>2494</v>
      </c>
      <c r="E2125" s="52" t="s">
        <v>2493</v>
      </c>
      <c r="F2125" s="53" t="s">
        <v>6245</v>
      </c>
      <c r="G2125" s="51" t="s">
        <v>4812</v>
      </c>
      <c r="H2125" s="54"/>
      <c r="I2125" s="55">
        <v>167</v>
      </c>
      <c r="K2125" s="51" t="s">
        <v>6476</v>
      </c>
    </row>
    <row r="2126" spans="1:11">
      <c r="A2126" s="51">
        <v>2074</v>
      </c>
      <c r="B2126" s="51" t="s">
        <v>6515</v>
      </c>
      <c r="C2126" s="51" t="s">
        <v>6516</v>
      </c>
      <c r="D2126" s="52" t="s">
        <v>3282</v>
      </c>
      <c r="E2126" s="52" t="s">
        <v>3281</v>
      </c>
      <c r="F2126" s="53" t="s">
        <v>119</v>
      </c>
      <c r="G2126" s="51" t="s">
        <v>4812</v>
      </c>
      <c r="H2126" s="54"/>
      <c r="I2126" s="55">
        <v>0</v>
      </c>
      <c r="K2126" s="51" t="s">
        <v>6516</v>
      </c>
    </row>
    <row r="2127" spans="1:11">
      <c r="A2127" s="51">
        <v>2075</v>
      </c>
      <c r="B2127" s="51" t="s">
        <v>6515</v>
      </c>
      <c r="C2127" s="51" t="s">
        <v>6516</v>
      </c>
      <c r="D2127" s="52" t="s">
        <v>997</v>
      </c>
      <c r="E2127" s="52" t="s">
        <v>5022</v>
      </c>
      <c r="F2127" s="53" t="s">
        <v>5226</v>
      </c>
      <c r="G2127" s="51" t="s">
        <v>4812</v>
      </c>
      <c r="H2127" s="54"/>
      <c r="I2127" s="55">
        <v>21</v>
      </c>
      <c r="K2127" s="51" t="s">
        <v>6516</v>
      </c>
    </row>
    <row r="2128" spans="1:11">
      <c r="A2128" s="51">
        <v>2076</v>
      </c>
      <c r="B2128" s="51" t="s">
        <v>6515</v>
      </c>
      <c r="C2128" s="51" t="s">
        <v>6516</v>
      </c>
      <c r="D2128" s="52" t="s">
        <v>1081</v>
      </c>
      <c r="E2128" s="52" t="s">
        <v>5024</v>
      </c>
      <c r="F2128" s="53" t="s">
        <v>5125</v>
      </c>
      <c r="G2128" s="51" t="s">
        <v>4812</v>
      </c>
      <c r="H2128" s="54"/>
      <c r="I2128" s="55">
        <v>15</v>
      </c>
      <c r="K2128" s="51" t="s">
        <v>6516</v>
      </c>
    </row>
    <row r="2129" spans="1:11">
      <c r="A2129" s="51">
        <v>2077</v>
      </c>
      <c r="B2129" s="51" t="s">
        <v>6515</v>
      </c>
      <c r="C2129" s="51" t="s">
        <v>6516</v>
      </c>
      <c r="D2129" s="52" t="s">
        <v>6517</v>
      </c>
      <c r="E2129" s="52" t="s">
        <v>6518</v>
      </c>
      <c r="F2129" s="53" t="s">
        <v>5135</v>
      </c>
      <c r="G2129" s="51" t="s">
        <v>4812</v>
      </c>
      <c r="H2129" s="54"/>
      <c r="I2129" s="55">
        <v>0</v>
      </c>
      <c r="K2129" s="51" t="s">
        <v>6516</v>
      </c>
    </row>
    <row r="2130" spans="1:11">
      <c r="A2130" s="51">
        <v>2078</v>
      </c>
      <c r="B2130" s="51" t="s">
        <v>6515</v>
      </c>
      <c r="C2130" s="51" t="s">
        <v>6516</v>
      </c>
      <c r="D2130" s="52" t="s">
        <v>6519</v>
      </c>
      <c r="E2130" s="52" t="s">
        <v>6520</v>
      </c>
      <c r="F2130" s="53" t="s">
        <v>5138</v>
      </c>
      <c r="G2130" s="51" t="s">
        <v>4812</v>
      </c>
      <c r="H2130" s="54"/>
      <c r="I2130" s="55">
        <v>0</v>
      </c>
      <c r="K2130" s="51" t="s">
        <v>6516</v>
      </c>
    </row>
    <row r="2131" spans="1:11" s="67" customFormat="1">
      <c r="A2131" s="62">
        <v>2079</v>
      </c>
      <c r="B2131" s="62" t="s">
        <v>6515</v>
      </c>
      <c r="C2131" s="62" t="s">
        <v>6516</v>
      </c>
      <c r="D2131" s="63" t="s">
        <v>6521</v>
      </c>
      <c r="E2131" s="63" t="s">
        <v>6522</v>
      </c>
      <c r="F2131" s="64" t="s">
        <v>119</v>
      </c>
      <c r="G2131" s="62" t="s">
        <v>4812</v>
      </c>
      <c r="H2131" s="65"/>
      <c r="I2131" s="66">
        <v>1</v>
      </c>
      <c r="K2131" s="62" t="s">
        <v>6516</v>
      </c>
    </row>
    <row r="2132" spans="1:11">
      <c r="A2132" s="51">
        <v>2080</v>
      </c>
      <c r="B2132" s="51" t="s">
        <v>6515</v>
      </c>
      <c r="C2132" s="51" t="s">
        <v>6516</v>
      </c>
      <c r="D2132" s="52" t="s">
        <v>6523</v>
      </c>
      <c r="E2132" s="52" t="s">
        <v>6524</v>
      </c>
      <c r="F2132" s="53" t="s">
        <v>5061</v>
      </c>
      <c r="G2132" s="51" t="s">
        <v>4812</v>
      </c>
      <c r="H2132" s="54"/>
      <c r="I2132" s="55">
        <v>0</v>
      </c>
      <c r="K2132" s="51" t="s">
        <v>6516</v>
      </c>
    </row>
    <row r="2133" spans="1:11">
      <c r="A2133" s="51">
        <v>2081</v>
      </c>
      <c r="B2133" s="51" t="s">
        <v>6515</v>
      </c>
      <c r="C2133" s="51" t="s">
        <v>6516</v>
      </c>
      <c r="D2133" s="52" t="s">
        <v>6525</v>
      </c>
      <c r="E2133" s="52" t="s">
        <v>6526</v>
      </c>
      <c r="F2133" s="53" t="s">
        <v>5057</v>
      </c>
      <c r="G2133" s="51" t="s">
        <v>4812</v>
      </c>
      <c r="H2133" s="54"/>
      <c r="I2133" s="55">
        <v>0</v>
      </c>
      <c r="K2133" s="51" t="s">
        <v>6516</v>
      </c>
    </row>
    <row r="2134" spans="1:11">
      <c r="A2134" s="51">
        <v>2082</v>
      </c>
      <c r="B2134" s="51" t="s">
        <v>6515</v>
      </c>
      <c r="C2134" s="51" t="s">
        <v>6516</v>
      </c>
      <c r="D2134" s="52" t="s">
        <v>6527</v>
      </c>
      <c r="E2134" s="52" t="s">
        <v>6528</v>
      </c>
      <c r="F2134" s="53" t="s">
        <v>99</v>
      </c>
      <c r="G2134" s="51" t="s">
        <v>4812</v>
      </c>
      <c r="H2134" s="54"/>
      <c r="I2134" s="55">
        <v>0</v>
      </c>
      <c r="K2134" s="51" t="s">
        <v>6516</v>
      </c>
    </row>
    <row r="2135" spans="1:11">
      <c r="A2135" s="51">
        <v>2083</v>
      </c>
      <c r="B2135" s="51" t="s">
        <v>6515</v>
      </c>
      <c r="C2135" s="51" t="s">
        <v>6516</v>
      </c>
      <c r="D2135" s="52" t="s">
        <v>6031</v>
      </c>
      <c r="E2135" s="52" t="s">
        <v>6529</v>
      </c>
      <c r="F2135" s="53" t="s">
        <v>6530</v>
      </c>
      <c r="G2135" s="51" t="s">
        <v>4812</v>
      </c>
      <c r="H2135" s="54"/>
      <c r="I2135" s="55">
        <v>0</v>
      </c>
      <c r="K2135" s="51" t="s">
        <v>6516</v>
      </c>
    </row>
    <row r="2136" spans="1:11">
      <c r="A2136" s="51">
        <v>2084</v>
      </c>
      <c r="B2136" s="51" t="s">
        <v>6515</v>
      </c>
      <c r="C2136" s="51" t="s">
        <v>6516</v>
      </c>
      <c r="D2136" s="52" t="s">
        <v>6032</v>
      </c>
      <c r="E2136" s="52" t="s">
        <v>6531</v>
      </c>
      <c r="F2136" s="53" t="s">
        <v>6532</v>
      </c>
      <c r="G2136" s="51" t="s">
        <v>4812</v>
      </c>
      <c r="H2136" s="54"/>
      <c r="I2136" s="55">
        <v>0</v>
      </c>
      <c r="K2136" s="51" t="s">
        <v>6516</v>
      </c>
    </row>
    <row r="2137" spans="1:11">
      <c r="A2137" s="51">
        <v>2085</v>
      </c>
      <c r="B2137" s="51" t="s">
        <v>6515</v>
      </c>
      <c r="C2137" s="51" t="s">
        <v>6516</v>
      </c>
      <c r="D2137" s="52" t="s">
        <v>6033</v>
      </c>
      <c r="E2137" s="52" t="s">
        <v>6533</v>
      </c>
      <c r="F2137" s="53" t="s">
        <v>6534</v>
      </c>
      <c r="G2137" s="51" t="s">
        <v>4812</v>
      </c>
      <c r="H2137" s="54"/>
      <c r="I2137" s="55">
        <v>0</v>
      </c>
      <c r="K2137" s="51" t="s">
        <v>6516</v>
      </c>
    </row>
    <row r="2138" spans="1:11">
      <c r="A2138" s="51">
        <v>2086</v>
      </c>
      <c r="B2138" s="51" t="s">
        <v>6515</v>
      </c>
      <c r="C2138" s="51" t="s">
        <v>6516</v>
      </c>
      <c r="D2138" s="52" t="s">
        <v>6034</v>
      </c>
      <c r="E2138" s="52" t="s">
        <v>6535</v>
      </c>
      <c r="F2138" s="53" t="s">
        <v>6536</v>
      </c>
      <c r="G2138" s="51" t="s">
        <v>4812</v>
      </c>
      <c r="H2138" s="54"/>
      <c r="I2138" s="55">
        <v>0</v>
      </c>
      <c r="K2138" s="51" t="s">
        <v>6516</v>
      </c>
    </row>
    <row r="2139" spans="1:11">
      <c r="A2139" s="51">
        <v>2087</v>
      </c>
      <c r="B2139" s="51" t="s">
        <v>6515</v>
      </c>
      <c r="C2139" s="51" t="s">
        <v>6516</v>
      </c>
      <c r="D2139" s="52" t="s">
        <v>1964</v>
      </c>
      <c r="E2139" s="52" t="s">
        <v>1963</v>
      </c>
      <c r="F2139" s="53" t="s">
        <v>100</v>
      </c>
      <c r="G2139" s="51" t="s">
        <v>4812</v>
      </c>
      <c r="H2139" s="54"/>
      <c r="I2139" s="55">
        <v>0</v>
      </c>
      <c r="K2139" s="51" t="s">
        <v>6516</v>
      </c>
    </row>
    <row r="2140" spans="1:11">
      <c r="A2140" s="51">
        <v>2088</v>
      </c>
      <c r="B2140" s="51" t="s">
        <v>6515</v>
      </c>
      <c r="C2140" s="51" t="s">
        <v>6516</v>
      </c>
      <c r="D2140" s="52" t="s">
        <v>1418</v>
      </c>
      <c r="E2140" s="52" t="s">
        <v>1417</v>
      </c>
      <c r="F2140" s="53" t="s">
        <v>6054</v>
      </c>
      <c r="G2140" s="51" t="s">
        <v>4812</v>
      </c>
      <c r="H2140" s="54"/>
      <c r="I2140" s="55">
        <v>0</v>
      </c>
      <c r="K2140" s="51" t="s">
        <v>6516</v>
      </c>
    </row>
    <row r="2141" spans="1:11">
      <c r="A2141" s="51">
        <v>2089</v>
      </c>
      <c r="B2141" s="51" t="s">
        <v>6515</v>
      </c>
      <c r="C2141" s="51" t="s">
        <v>6516</v>
      </c>
      <c r="D2141" s="52" t="s">
        <v>1420</v>
      </c>
      <c r="E2141" s="52" t="s">
        <v>6537</v>
      </c>
      <c r="F2141" s="53" t="s">
        <v>5235</v>
      </c>
      <c r="G2141" s="51" t="s">
        <v>4812</v>
      </c>
      <c r="H2141" s="54"/>
      <c r="I2141" s="55">
        <v>0</v>
      </c>
      <c r="K2141" s="51" t="s">
        <v>6516</v>
      </c>
    </row>
    <row r="2142" spans="1:11">
      <c r="A2142" s="51">
        <v>2090</v>
      </c>
      <c r="B2142" s="51" t="s">
        <v>6538</v>
      </c>
      <c r="C2142" s="51" t="s">
        <v>6539</v>
      </c>
      <c r="D2142" s="52" t="s">
        <v>3282</v>
      </c>
      <c r="E2142" s="52" t="s">
        <v>3281</v>
      </c>
      <c r="F2142" s="53" t="s">
        <v>6116</v>
      </c>
      <c r="G2142" s="51" t="s">
        <v>4812</v>
      </c>
      <c r="H2142" s="54"/>
      <c r="I2142" s="55">
        <v>20</v>
      </c>
      <c r="K2142" s="51" t="s">
        <v>6539</v>
      </c>
    </row>
    <row r="2143" spans="1:11">
      <c r="A2143" s="51">
        <v>2091</v>
      </c>
      <c r="B2143" s="51" t="s">
        <v>6538</v>
      </c>
      <c r="C2143" s="51" t="s">
        <v>6539</v>
      </c>
      <c r="D2143" s="52" t="s">
        <v>6417</v>
      </c>
      <c r="E2143" s="52"/>
      <c r="F2143" s="53"/>
      <c r="G2143" s="51" t="s">
        <v>4812</v>
      </c>
      <c r="H2143" s="54"/>
      <c r="I2143" s="55">
        <v>0</v>
      </c>
      <c r="K2143" s="51" t="s">
        <v>6539</v>
      </c>
    </row>
    <row r="2144" spans="1:11">
      <c r="A2144" s="51">
        <v>2092</v>
      </c>
      <c r="B2144" s="51" t="s">
        <v>6538</v>
      </c>
      <c r="C2144" s="51" t="s">
        <v>6539</v>
      </c>
      <c r="D2144" s="52" t="s">
        <v>6031</v>
      </c>
      <c r="E2144" s="52" t="s">
        <v>6529</v>
      </c>
      <c r="F2144" s="53" t="s">
        <v>6530</v>
      </c>
      <c r="G2144" s="51" t="s">
        <v>4812</v>
      </c>
      <c r="H2144" s="54"/>
      <c r="I2144" s="55">
        <v>80</v>
      </c>
      <c r="K2144" s="51" t="s">
        <v>6539</v>
      </c>
    </row>
    <row r="2145" spans="1:11">
      <c r="A2145" s="51">
        <v>2093</v>
      </c>
      <c r="B2145" s="51" t="s">
        <v>6538</v>
      </c>
      <c r="C2145" s="51" t="s">
        <v>6539</v>
      </c>
      <c r="D2145" s="52" t="s">
        <v>6032</v>
      </c>
      <c r="E2145" s="52" t="s">
        <v>6531</v>
      </c>
      <c r="F2145" s="53" t="s">
        <v>6532</v>
      </c>
      <c r="G2145" s="51" t="s">
        <v>4812</v>
      </c>
      <c r="H2145" s="54"/>
      <c r="I2145" s="55">
        <v>80</v>
      </c>
      <c r="K2145" s="51" t="s">
        <v>6539</v>
      </c>
    </row>
    <row r="2146" spans="1:11">
      <c r="A2146" s="51">
        <v>2094</v>
      </c>
      <c r="B2146" s="51" t="s">
        <v>6538</v>
      </c>
      <c r="C2146" s="51" t="s">
        <v>6539</v>
      </c>
      <c r="D2146" s="52" t="s">
        <v>6033</v>
      </c>
      <c r="E2146" s="52" t="s">
        <v>6533</v>
      </c>
      <c r="F2146" s="53" t="s">
        <v>6534</v>
      </c>
      <c r="G2146" s="51" t="s">
        <v>4812</v>
      </c>
      <c r="H2146" s="54"/>
      <c r="I2146" s="55">
        <v>50</v>
      </c>
      <c r="K2146" s="51" t="s">
        <v>6539</v>
      </c>
    </row>
    <row r="2147" spans="1:11">
      <c r="A2147" s="51">
        <v>2095</v>
      </c>
      <c r="B2147" s="51" t="s">
        <v>6538</v>
      </c>
      <c r="C2147" s="51" t="s">
        <v>6539</v>
      </c>
      <c r="D2147" s="52" t="s">
        <v>6034</v>
      </c>
      <c r="E2147" s="52" t="s">
        <v>6535</v>
      </c>
      <c r="F2147" s="53" t="s">
        <v>6536</v>
      </c>
      <c r="G2147" s="51" t="s">
        <v>4812</v>
      </c>
      <c r="H2147" s="54"/>
      <c r="I2147" s="55">
        <v>50</v>
      </c>
      <c r="K2147" s="51" t="s">
        <v>6539</v>
      </c>
    </row>
    <row r="2148" spans="1:11">
      <c r="A2148" s="51">
        <v>2096</v>
      </c>
      <c r="B2148" s="51" t="s">
        <v>6538</v>
      </c>
      <c r="C2148" s="51" t="s">
        <v>6539</v>
      </c>
      <c r="D2148" s="52" t="s">
        <v>6418</v>
      </c>
      <c r="E2148" s="52"/>
      <c r="F2148" s="53"/>
      <c r="G2148" s="51" t="s">
        <v>4812</v>
      </c>
      <c r="H2148" s="54"/>
      <c r="I2148" s="55">
        <v>0</v>
      </c>
      <c r="K2148" s="51" t="s">
        <v>6539</v>
      </c>
    </row>
    <row r="2149" spans="1:11">
      <c r="A2149" s="51">
        <v>2097</v>
      </c>
      <c r="B2149" s="51" t="s">
        <v>6538</v>
      </c>
      <c r="C2149" s="51" t="s">
        <v>6539</v>
      </c>
      <c r="D2149" s="52" t="s">
        <v>2452</v>
      </c>
      <c r="E2149" s="52" t="s">
        <v>2451</v>
      </c>
      <c r="F2149" s="53" t="s">
        <v>118</v>
      </c>
      <c r="G2149" s="51" t="s">
        <v>4812</v>
      </c>
      <c r="H2149" s="54"/>
      <c r="I2149" s="55">
        <v>664</v>
      </c>
      <c r="K2149" s="51" t="s">
        <v>6539</v>
      </c>
    </row>
    <row r="2150" spans="1:11">
      <c r="A2150" s="51">
        <v>2098</v>
      </c>
      <c r="B2150" s="51" t="s">
        <v>6538</v>
      </c>
      <c r="C2150" s="51" t="s">
        <v>6539</v>
      </c>
      <c r="D2150" s="52" t="s">
        <v>2454</v>
      </c>
      <c r="E2150" s="52" t="s">
        <v>2453</v>
      </c>
      <c r="F2150" s="53" t="s">
        <v>118</v>
      </c>
      <c r="G2150" s="51" t="s">
        <v>4812</v>
      </c>
      <c r="H2150" s="54"/>
      <c r="I2150" s="55">
        <v>430</v>
      </c>
      <c r="K2150" s="51" t="s">
        <v>6539</v>
      </c>
    </row>
    <row r="2151" spans="1:11">
      <c r="A2151" s="51">
        <v>2099</v>
      </c>
      <c r="B2151" s="51" t="s">
        <v>6538</v>
      </c>
      <c r="C2151" s="51" t="s">
        <v>6539</v>
      </c>
      <c r="D2151" s="52" t="s">
        <v>2524</v>
      </c>
      <c r="E2151" s="52" t="s">
        <v>2523</v>
      </c>
      <c r="F2151" s="53" t="s">
        <v>5432</v>
      </c>
      <c r="G2151" s="51" t="s">
        <v>4812</v>
      </c>
      <c r="H2151" s="54"/>
      <c r="I2151" s="55">
        <v>874</v>
      </c>
      <c r="K2151" s="51" t="s">
        <v>6539</v>
      </c>
    </row>
    <row r="2152" spans="1:11">
      <c r="A2152" s="51">
        <v>2100</v>
      </c>
      <c r="B2152" s="51" t="s">
        <v>6538</v>
      </c>
      <c r="C2152" s="51" t="s">
        <v>6539</v>
      </c>
      <c r="D2152" s="52" t="s">
        <v>1457</v>
      </c>
      <c r="E2152" s="52" t="s">
        <v>1456</v>
      </c>
      <c r="F2152" s="53" t="s">
        <v>4993</v>
      </c>
      <c r="G2152" s="51" t="s">
        <v>4812</v>
      </c>
      <c r="H2152" s="54"/>
      <c r="I2152" s="55">
        <v>60</v>
      </c>
      <c r="K2152" s="51" t="s">
        <v>6539</v>
      </c>
    </row>
    <row r="2153" spans="1:11">
      <c r="A2153" s="51">
        <v>2101</v>
      </c>
      <c r="B2153" s="51" t="s">
        <v>6538</v>
      </c>
      <c r="C2153" s="51" t="s">
        <v>6539</v>
      </c>
      <c r="D2153" s="52" t="s">
        <v>1491</v>
      </c>
      <c r="E2153" s="52" t="s">
        <v>1490</v>
      </c>
      <c r="F2153" s="53" t="s">
        <v>4992</v>
      </c>
      <c r="G2153" s="51" t="s">
        <v>4812</v>
      </c>
      <c r="H2153" s="54"/>
      <c r="I2153" s="55">
        <v>94</v>
      </c>
      <c r="K2153" s="51" t="s">
        <v>6539</v>
      </c>
    </row>
    <row r="2154" spans="1:11">
      <c r="A2154" s="51">
        <v>2102</v>
      </c>
      <c r="B2154" s="51" t="s">
        <v>6538</v>
      </c>
      <c r="C2154" s="51" t="s">
        <v>6539</v>
      </c>
      <c r="D2154" s="52" t="s">
        <v>1455</v>
      </c>
      <c r="E2154" s="52" t="s">
        <v>1454</v>
      </c>
      <c r="F2154" s="53" t="s">
        <v>4993</v>
      </c>
      <c r="G2154" s="51" t="s">
        <v>4812</v>
      </c>
      <c r="H2154" s="54"/>
      <c r="I2154" s="55">
        <v>133</v>
      </c>
      <c r="K2154" s="51" t="s">
        <v>6539</v>
      </c>
    </row>
    <row r="2155" spans="1:11">
      <c r="A2155" s="51">
        <v>2103</v>
      </c>
      <c r="B2155" s="51" t="s">
        <v>6538</v>
      </c>
      <c r="C2155" s="51" t="s">
        <v>6539</v>
      </c>
      <c r="D2155" s="52" t="s">
        <v>1535</v>
      </c>
      <c r="E2155" s="52" t="s">
        <v>1534</v>
      </c>
      <c r="F2155" s="53" t="s">
        <v>6205</v>
      </c>
      <c r="G2155" s="51" t="s">
        <v>4812</v>
      </c>
      <c r="H2155" s="54"/>
      <c r="I2155" s="55">
        <v>181</v>
      </c>
      <c r="K2155" s="51" t="s">
        <v>6539</v>
      </c>
    </row>
    <row r="2156" spans="1:11">
      <c r="A2156" s="51">
        <v>2104</v>
      </c>
      <c r="B2156" s="51" t="s">
        <v>6538</v>
      </c>
      <c r="C2156" s="51" t="s">
        <v>6539</v>
      </c>
      <c r="D2156" s="52" t="s">
        <v>1328</v>
      </c>
      <c r="E2156" s="52" t="s">
        <v>1327</v>
      </c>
      <c r="F2156" s="53" t="s">
        <v>99</v>
      </c>
      <c r="G2156" s="51" t="s">
        <v>4812</v>
      </c>
      <c r="H2156" s="54"/>
      <c r="I2156" s="55">
        <v>34</v>
      </c>
      <c r="K2156" s="51" t="s">
        <v>6539</v>
      </c>
    </row>
    <row r="2157" spans="1:11">
      <c r="A2157" s="51">
        <v>2105</v>
      </c>
      <c r="B2157" s="51" t="s">
        <v>6538</v>
      </c>
      <c r="C2157" s="51" t="s">
        <v>6539</v>
      </c>
      <c r="D2157" s="52" t="s">
        <v>1795</v>
      </c>
      <c r="E2157" s="52" t="s">
        <v>1794</v>
      </c>
      <c r="F2157" s="53" t="s">
        <v>6117</v>
      </c>
      <c r="G2157" s="51" t="s">
        <v>4812</v>
      </c>
      <c r="H2157" s="54"/>
      <c r="I2157" s="55">
        <v>21</v>
      </c>
      <c r="K2157" s="51" t="s">
        <v>6539</v>
      </c>
    </row>
    <row r="2158" spans="1:11">
      <c r="A2158" s="51">
        <v>2106</v>
      </c>
      <c r="B2158" s="51" t="s">
        <v>6538</v>
      </c>
      <c r="C2158" s="51" t="s">
        <v>6539</v>
      </c>
      <c r="D2158" s="52" t="s">
        <v>2247</v>
      </c>
      <c r="E2158" s="52" t="s">
        <v>2246</v>
      </c>
      <c r="F2158" s="53" t="s">
        <v>5235</v>
      </c>
      <c r="G2158" s="51" t="s">
        <v>4812</v>
      </c>
      <c r="H2158" s="54"/>
      <c r="I2158" s="55">
        <v>14</v>
      </c>
      <c r="K2158" s="51" t="s">
        <v>6539</v>
      </c>
    </row>
    <row r="2159" spans="1:11">
      <c r="A2159" s="51">
        <v>2107</v>
      </c>
      <c r="B2159" s="51" t="s">
        <v>6540</v>
      </c>
      <c r="C2159" s="51" t="s">
        <v>6541</v>
      </c>
      <c r="D2159" s="52" t="s">
        <v>997</v>
      </c>
      <c r="E2159" s="52" t="s">
        <v>5022</v>
      </c>
      <c r="F2159" s="53" t="s">
        <v>5057</v>
      </c>
      <c r="G2159" s="51" t="s">
        <v>4812</v>
      </c>
      <c r="H2159" s="54"/>
      <c r="I2159" s="55">
        <v>0</v>
      </c>
      <c r="K2159" s="51" t="s">
        <v>6541</v>
      </c>
    </row>
    <row r="2160" spans="1:11">
      <c r="A2160" s="51">
        <v>2108</v>
      </c>
      <c r="B2160" s="51" t="s">
        <v>6540</v>
      </c>
      <c r="C2160" s="51" t="s">
        <v>6541</v>
      </c>
      <c r="D2160" s="52" t="s">
        <v>1081</v>
      </c>
      <c r="E2160" s="52" t="s">
        <v>5024</v>
      </c>
      <c r="F2160" s="53" t="s">
        <v>6542</v>
      </c>
      <c r="G2160" s="51" t="s">
        <v>4812</v>
      </c>
      <c r="H2160" s="54"/>
      <c r="I2160" s="55">
        <v>0</v>
      </c>
      <c r="K2160" s="51" t="s">
        <v>6541</v>
      </c>
    </row>
    <row r="2161" spans="1:11">
      <c r="A2161" s="51">
        <v>2109</v>
      </c>
      <c r="B2161" s="51" t="s">
        <v>6540</v>
      </c>
      <c r="C2161" s="51" t="s">
        <v>6541</v>
      </c>
      <c r="D2161" s="52" t="s">
        <v>1396</v>
      </c>
      <c r="E2161" s="52" t="s">
        <v>1395</v>
      </c>
      <c r="F2161" s="53" t="s">
        <v>101</v>
      </c>
      <c r="G2161" s="51" t="s">
        <v>4812</v>
      </c>
      <c r="H2161" s="54"/>
      <c r="I2161" s="55">
        <v>33</v>
      </c>
      <c r="K2161" s="51" t="s">
        <v>6541</v>
      </c>
    </row>
    <row r="2162" spans="1:11">
      <c r="A2162" s="51">
        <v>2110</v>
      </c>
      <c r="B2162" s="51" t="s">
        <v>6540</v>
      </c>
      <c r="C2162" s="51" t="s">
        <v>6541</v>
      </c>
      <c r="D2162" s="52" t="s">
        <v>558</v>
      </c>
      <c r="E2162" s="52" t="s">
        <v>557</v>
      </c>
      <c r="F2162" s="53" t="s">
        <v>5357</v>
      </c>
      <c r="G2162" s="51" t="s">
        <v>4812</v>
      </c>
      <c r="H2162" s="54"/>
      <c r="I2162" s="55">
        <v>452</v>
      </c>
      <c r="K2162" s="51" t="s">
        <v>6541</v>
      </c>
    </row>
    <row r="2163" spans="1:11">
      <c r="A2163" s="51">
        <v>2111</v>
      </c>
      <c r="B2163" s="51" t="s">
        <v>6540</v>
      </c>
      <c r="C2163" s="51" t="s">
        <v>6541</v>
      </c>
      <c r="D2163" s="52" t="s">
        <v>566</v>
      </c>
      <c r="E2163" s="52" t="s">
        <v>565</v>
      </c>
      <c r="F2163" s="53" t="s">
        <v>6543</v>
      </c>
      <c r="G2163" s="51" t="s">
        <v>4812</v>
      </c>
      <c r="H2163" s="54"/>
      <c r="I2163" s="55">
        <v>189</v>
      </c>
      <c r="K2163" s="51" t="s">
        <v>6541</v>
      </c>
    </row>
    <row r="2164" spans="1:11">
      <c r="A2164" s="51">
        <v>2112</v>
      </c>
      <c r="B2164" s="51" t="s">
        <v>6540</v>
      </c>
      <c r="C2164" s="51" t="s">
        <v>6541</v>
      </c>
      <c r="D2164" s="52" t="s">
        <v>1625</v>
      </c>
      <c r="E2164" s="52" t="s">
        <v>1624</v>
      </c>
      <c r="F2164" s="53" t="s">
        <v>6544</v>
      </c>
      <c r="G2164" s="51" t="s">
        <v>4812</v>
      </c>
      <c r="H2164" s="54"/>
      <c r="I2164" s="55">
        <v>434</v>
      </c>
      <c r="K2164" s="51" t="s">
        <v>6541</v>
      </c>
    </row>
    <row r="2165" spans="1:11">
      <c r="A2165" s="51">
        <v>2113</v>
      </c>
      <c r="B2165" s="51" t="s">
        <v>6540</v>
      </c>
      <c r="C2165" s="51" t="s">
        <v>6541</v>
      </c>
      <c r="D2165" s="52" t="s">
        <v>549</v>
      </c>
      <c r="E2165" s="52" t="s">
        <v>548</v>
      </c>
      <c r="F2165" s="53" t="s">
        <v>97</v>
      </c>
      <c r="G2165" s="51" t="s">
        <v>4812</v>
      </c>
      <c r="H2165" s="54"/>
      <c r="I2165" s="55">
        <v>439</v>
      </c>
      <c r="K2165" s="51" t="s">
        <v>6541</v>
      </c>
    </row>
    <row r="2166" spans="1:11">
      <c r="A2166" s="57" t="s">
        <v>6545</v>
      </c>
      <c r="B2166" s="51"/>
      <c r="C2166" s="51" t="s">
        <v>6541</v>
      </c>
      <c r="D2166" s="52" t="s">
        <v>1629</v>
      </c>
      <c r="E2166" s="52" t="s">
        <v>1628</v>
      </c>
      <c r="F2166" s="53"/>
      <c r="G2166" s="51" t="s">
        <v>4812</v>
      </c>
      <c r="H2166" s="54"/>
      <c r="I2166" s="55">
        <v>324</v>
      </c>
      <c r="K2166" s="51" t="s">
        <v>6541</v>
      </c>
    </row>
    <row r="2167" spans="1:11">
      <c r="A2167" s="51">
        <v>2114</v>
      </c>
      <c r="B2167" s="51" t="s">
        <v>6546</v>
      </c>
      <c r="C2167" s="51" t="s">
        <v>6547</v>
      </c>
      <c r="D2167" s="52" t="s">
        <v>496</v>
      </c>
      <c r="E2167" s="52" t="s">
        <v>495</v>
      </c>
      <c r="F2167" s="53" t="s">
        <v>6548</v>
      </c>
      <c r="G2167" s="51"/>
      <c r="H2167" s="54"/>
      <c r="I2167" s="55">
        <v>56</v>
      </c>
      <c r="K2167" s="51" t="s">
        <v>6547</v>
      </c>
    </row>
    <row r="2168" spans="1:11">
      <c r="A2168" s="51">
        <v>2115</v>
      </c>
      <c r="B2168" s="51" t="s">
        <v>6546</v>
      </c>
      <c r="C2168" s="51" t="s">
        <v>6547</v>
      </c>
      <c r="D2168" s="52" t="s">
        <v>591</v>
      </c>
      <c r="E2168" s="52" t="s">
        <v>590</v>
      </c>
      <c r="F2168" s="53" t="s">
        <v>6549</v>
      </c>
      <c r="G2168" s="51"/>
      <c r="H2168" s="54"/>
      <c r="I2168" s="55">
        <v>21</v>
      </c>
      <c r="K2168" s="51" t="s">
        <v>6547</v>
      </c>
    </row>
    <row r="2169" spans="1:11">
      <c r="A2169" s="51">
        <v>2116</v>
      </c>
      <c r="B2169" s="51" t="s">
        <v>6546</v>
      </c>
      <c r="C2169" s="51" t="s">
        <v>6547</v>
      </c>
      <c r="D2169" s="52" t="s">
        <v>593</v>
      </c>
      <c r="E2169" s="52" t="s">
        <v>592</v>
      </c>
      <c r="F2169" s="53" t="s">
        <v>6549</v>
      </c>
      <c r="G2169" s="51"/>
      <c r="H2169" s="54"/>
      <c r="I2169" s="55">
        <v>35</v>
      </c>
      <c r="K2169" s="51" t="s">
        <v>6547</v>
      </c>
    </row>
    <row r="2170" spans="1:11">
      <c r="A2170" s="51">
        <v>2117</v>
      </c>
      <c r="B2170" s="51" t="s">
        <v>6546</v>
      </c>
      <c r="C2170" s="51" t="s">
        <v>6547</v>
      </c>
      <c r="D2170" s="52" t="s">
        <v>3457</v>
      </c>
      <c r="E2170" s="52" t="s">
        <v>3456</v>
      </c>
      <c r="F2170" s="53" t="s">
        <v>6550</v>
      </c>
      <c r="G2170" s="51"/>
      <c r="H2170" s="54"/>
      <c r="I2170" s="55">
        <v>190</v>
      </c>
      <c r="K2170" s="51" t="s">
        <v>6547</v>
      </c>
    </row>
    <row r="2171" spans="1:11">
      <c r="A2171" s="51">
        <v>2118</v>
      </c>
      <c r="B2171" s="51" t="s">
        <v>6546</v>
      </c>
      <c r="C2171" s="51" t="s">
        <v>6547</v>
      </c>
      <c r="D2171" s="52" t="s">
        <v>3473</v>
      </c>
      <c r="E2171" s="52" t="s">
        <v>3472</v>
      </c>
      <c r="F2171" s="53" t="s">
        <v>6551</v>
      </c>
      <c r="G2171" s="51"/>
      <c r="H2171" s="54"/>
      <c r="I2171" s="55">
        <v>129</v>
      </c>
      <c r="K2171" s="51" t="s">
        <v>6547</v>
      </c>
    </row>
    <row r="2172" spans="1:11">
      <c r="A2172" s="51">
        <v>2119</v>
      </c>
      <c r="B2172" s="51" t="s">
        <v>6546</v>
      </c>
      <c r="C2172" s="51" t="s">
        <v>6547</v>
      </c>
      <c r="D2172" s="52" t="s">
        <v>688</v>
      </c>
      <c r="E2172" s="52" t="s">
        <v>689</v>
      </c>
      <c r="F2172" s="53" t="s">
        <v>5548</v>
      </c>
      <c r="G2172" s="51"/>
      <c r="H2172" s="54"/>
      <c r="I2172" s="55">
        <v>97</v>
      </c>
      <c r="K2172" s="51" t="s">
        <v>6547</v>
      </c>
    </row>
    <row r="2173" spans="1:11">
      <c r="A2173" s="51">
        <v>2120</v>
      </c>
      <c r="B2173" s="51" t="s">
        <v>6546</v>
      </c>
      <c r="C2173" s="51" t="s">
        <v>6547</v>
      </c>
      <c r="D2173" s="52" t="s">
        <v>2671</v>
      </c>
      <c r="E2173" s="52" t="s">
        <v>2670</v>
      </c>
      <c r="F2173" s="53" t="s">
        <v>6552</v>
      </c>
      <c r="G2173" s="51"/>
      <c r="H2173" s="54"/>
      <c r="I2173" s="55">
        <v>89</v>
      </c>
      <c r="K2173" s="51" t="s">
        <v>6547</v>
      </c>
    </row>
    <row r="2174" spans="1:11">
      <c r="A2174" s="51">
        <v>2121</v>
      </c>
      <c r="B2174" s="51" t="s">
        <v>6546</v>
      </c>
      <c r="C2174" s="51" t="s">
        <v>6547</v>
      </c>
      <c r="D2174" s="52" t="s">
        <v>2815</v>
      </c>
      <c r="E2174" s="52" t="s">
        <v>2814</v>
      </c>
      <c r="F2174" s="53" t="s">
        <v>6553</v>
      </c>
      <c r="G2174" s="51"/>
      <c r="H2174" s="54"/>
      <c r="I2174" s="55">
        <v>7</v>
      </c>
      <c r="K2174" s="51" t="s">
        <v>6547</v>
      </c>
    </row>
    <row r="2175" spans="1:11">
      <c r="A2175" s="51">
        <v>2122</v>
      </c>
      <c r="B2175" s="51" t="s">
        <v>6546</v>
      </c>
      <c r="C2175" s="51" t="s">
        <v>6547</v>
      </c>
      <c r="D2175" s="52" t="s">
        <v>2839</v>
      </c>
      <c r="E2175" s="52" t="s">
        <v>2838</v>
      </c>
      <c r="F2175" s="53" t="s">
        <v>6554</v>
      </c>
      <c r="G2175" s="51"/>
      <c r="H2175" s="54"/>
      <c r="I2175" s="55">
        <v>30</v>
      </c>
      <c r="K2175" s="51" t="s">
        <v>6547</v>
      </c>
    </row>
    <row r="2176" spans="1:11">
      <c r="A2176" s="51">
        <v>2123</v>
      </c>
      <c r="B2176" s="51" t="s">
        <v>6546</v>
      </c>
      <c r="C2176" s="51" t="s">
        <v>6547</v>
      </c>
      <c r="D2176" s="52" t="s">
        <v>353</v>
      </c>
      <c r="E2176" s="52" t="s">
        <v>352</v>
      </c>
      <c r="F2176" s="53" t="s">
        <v>6555</v>
      </c>
      <c r="G2176" s="51"/>
      <c r="H2176" s="54"/>
      <c r="I2176" s="55">
        <v>29</v>
      </c>
      <c r="K2176" s="51" t="s">
        <v>6547</v>
      </c>
    </row>
    <row r="2177" spans="1:11">
      <c r="A2177" s="51">
        <v>2124</v>
      </c>
      <c r="B2177" s="51" t="s">
        <v>6546</v>
      </c>
      <c r="C2177" s="51" t="s">
        <v>6547</v>
      </c>
      <c r="D2177" s="52" t="s">
        <v>355</v>
      </c>
      <c r="E2177" s="52" t="s">
        <v>354</v>
      </c>
      <c r="F2177" s="53" t="s">
        <v>6556</v>
      </c>
      <c r="G2177" s="51"/>
      <c r="H2177" s="54"/>
      <c r="I2177" s="55">
        <v>21</v>
      </c>
      <c r="K2177" s="51" t="s">
        <v>6547</v>
      </c>
    </row>
    <row r="2178" spans="1:11">
      <c r="A2178" s="51">
        <v>2125</v>
      </c>
      <c r="B2178" s="51" t="s">
        <v>6546</v>
      </c>
      <c r="C2178" s="51" t="s">
        <v>6547</v>
      </c>
      <c r="D2178" s="52" t="s">
        <v>2979</v>
      </c>
      <c r="E2178" s="52" t="s">
        <v>2978</v>
      </c>
      <c r="F2178" s="53" t="s">
        <v>4117</v>
      </c>
      <c r="G2178" s="51"/>
      <c r="H2178" s="54"/>
      <c r="I2178" s="55">
        <v>72</v>
      </c>
      <c r="K2178" s="51" t="s">
        <v>6547</v>
      </c>
    </row>
    <row r="2179" spans="1:11">
      <c r="A2179" s="51">
        <v>2126</v>
      </c>
      <c r="B2179" s="51" t="s">
        <v>6546</v>
      </c>
      <c r="C2179" s="51" t="s">
        <v>6547</v>
      </c>
      <c r="D2179" s="52" t="s">
        <v>2691</v>
      </c>
      <c r="E2179" s="52" t="s">
        <v>2690</v>
      </c>
      <c r="F2179" s="53" t="s">
        <v>6414</v>
      </c>
      <c r="G2179" s="51"/>
      <c r="H2179" s="54"/>
      <c r="I2179" s="55">
        <v>32</v>
      </c>
      <c r="K2179" s="51" t="s">
        <v>6547</v>
      </c>
    </row>
    <row r="2180" spans="1:11">
      <c r="A2180" s="51">
        <v>2127</v>
      </c>
      <c r="B2180" s="51" t="s">
        <v>6546</v>
      </c>
      <c r="C2180" s="51" t="s">
        <v>6547</v>
      </c>
      <c r="D2180" s="52" t="s">
        <v>2587</v>
      </c>
      <c r="E2180" s="52" t="s">
        <v>2586</v>
      </c>
      <c r="F2180" s="53" t="s">
        <v>6413</v>
      </c>
      <c r="G2180" s="51"/>
      <c r="H2180" s="54"/>
      <c r="I2180" s="55">
        <v>20</v>
      </c>
      <c r="K2180" s="51" t="s">
        <v>6547</v>
      </c>
    </row>
    <row r="2181" spans="1:11">
      <c r="A2181" s="51">
        <v>2128</v>
      </c>
      <c r="B2181" s="51" t="s">
        <v>6546</v>
      </c>
      <c r="C2181" s="51" t="s">
        <v>6547</v>
      </c>
      <c r="D2181" s="52" t="s">
        <v>6557</v>
      </c>
      <c r="E2181" s="52" t="s">
        <v>6558</v>
      </c>
      <c r="F2181" s="53"/>
      <c r="G2181" s="51"/>
      <c r="H2181" s="54"/>
      <c r="I2181" s="55">
        <v>0</v>
      </c>
      <c r="K2181" s="51" t="s">
        <v>6547</v>
      </c>
    </row>
    <row r="2182" spans="1:11">
      <c r="A2182" s="51">
        <v>2129</v>
      </c>
      <c r="B2182" s="51" t="s">
        <v>6546</v>
      </c>
      <c r="C2182" s="51" t="s">
        <v>6547</v>
      </c>
      <c r="D2182" s="52" t="s">
        <v>6559</v>
      </c>
      <c r="E2182" s="52" t="s">
        <v>6560</v>
      </c>
      <c r="F2182" s="53"/>
      <c r="G2182" s="51"/>
      <c r="H2182" s="54"/>
      <c r="I2182" s="55">
        <v>0</v>
      </c>
      <c r="K2182" s="51" t="s">
        <v>6547</v>
      </c>
    </row>
    <row r="2183" spans="1:11">
      <c r="A2183" s="51">
        <v>2130</v>
      </c>
      <c r="B2183" s="51" t="s">
        <v>6561</v>
      </c>
      <c r="C2183" s="51" t="s">
        <v>6562</v>
      </c>
      <c r="D2183" s="52" t="s">
        <v>4017</v>
      </c>
      <c r="E2183" s="52" t="s">
        <v>4016</v>
      </c>
      <c r="F2183" s="53" t="s">
        <v>4979</v>
      </c>
      <c r="G2183" s="51"/>
      <c r="H2183" s="54"/>
      <c r="I2183" s="55">
        <v>305</v>
      </c>
      <c r="K2183" s="51" t="s">
        <v>6562</v>
      </c>
    </row>
    <row r="2184" spans="1:11">
      <c r="A2184" s="51">
        <v>2131</v>
      </c>
      <c r="B2184" s="51" t="s">
        <v>6561</v>
      </c>
      <c r="C2184" s="51" t="s">
        <v>6562</v>
      </c>
      <c r="D2184" s="52" t="s">
        <v>3459</v>
      </c>
      <c r="E2184" s="52" t="s">
        <v>3458</v>
      </c>
      <c r="F2184" s="53" t="s">
        <v>6563</v>
      </c>
      <c r="G2184" s="51"/>
      <c r="H2184" s="54"/>
      <c r="I2184" s="55">
        <v>155</v>
      </c>
      <c r="K2184" s="51" t="s">
        <v>6562</v>
      </c>
    </row>
    <row r="2185" spans="1:11">
      <c r="A2185" s="51">
        <v>2132</v>
      </c>
      <c r="B2185" s="51" t="s">
        <v>6561</v>
      </c>
      <c r="C2185" s="51" t="s">
        <v>6562</v>
      </c>
      <c r="D2185" s="52" t="s">
        <v>5033</v>
      </c>
      <c r="E2185" s="52" t="s">
        <v>5034</v>
      </c>
      <c r="F2185" s="53" t="s">
        <v>5035</v>
      </c>
      <c r="G2185" s="51"/>
      <c r="H2185" s="54"/>
      <c r="I2185" s="55">
        <v>14</v>
      </c>
      <c r="K2185" s="51" t="s">
        <v>6562</v>
      </c>
    </row>
    <row r="2186" spans="1:11">
      <c r="A2186" s="51">
        <v>2133</v>
      </c>
      <c r="B2186" s="51" t="s">
        <v>6561</v>
      </c>
      <c r="C2186" s="51" t="s">
        <v>6562</v>
      </c>
      <c r="D2186" s="52" t="s">
        <v>5036</v>
      </c>
      <c r="E2186" s="52" t="s">
        <v>5037</v>
      </c>
      <c r="F2186" s="53" t="s">
        <v>5038</v>
      </c>
      <c r="G2186" s="51"/>
      <c r="H2186" s="54"/>
      <c r="I2186" s="55">
        <v>0</v>
      </c>
      <c r="K2186" s="51" t="s">
        <v>6562</v>
      </c>
    </row>
    <row r="2187" spans="1:11">
      <c r="A2187" s="51">
        <v>2134</v>
      </c>
      <c r="B2187" s="51" t="s">
        <v>6561</v>
      </c>
      <c r="C2187" s="51" t="s">
        <v>6562</v>
      </c>
      <c r="D2187" s="52" t="s">
        <v>5039</v>
      </c>
      <c r="E2187" s="52" t="s">
        <v>5040</v>
      </c>
      <c r="F2187" s="53" t="s">
        <v>5041</v>
      </c>
      <c r="G2187" s="51"/>
      <c r="H2187" s="54"/>
      <c r="I2187" s="55">
        <v>58</v>
      </c>
      <c r="K2187" s="51" t="s">
        <v>6562</v>
      </c>
    </row>
    <row r="2188" spans="1:11">
      <c r="A2188" s="51">
        <v>2135</v>
      </c>
      <c r="B2188" s="51" t="s">
        <v>6561</v>
      </c>
      <c r="C2188" s="51" t="s">
        <v>6562</v>
      </c>
      <c r="D2188" s="52" t="s">
        <v>5042</v>
      </c>
      <c r="E2188" s="52" t="s">
        <v>1271</v>
      </c>
      <c r="F2188" s="53" t="s">
        <v>5043</v>
      </c>
      <c r="G2188" s="51"/>
      <c r="H2188" s="54"/>
      <c r="I2188" s="55">
        <v>46</v>
      </c>
      <c r="K2188" s="51" t="s">
        <v>6562</v>
      </c>
    </row>
    <row r="2189" spans="1:11">
      <c r="A2189" s="51">
        <v>2136</v>
      </c>
      <c r="B2189" s="51" t="s">
        <v>6561</v>
      </c>
      <c r="C2189" s="51" t="s">
        <v>6562</v>
      </c>
      <c r="D2189" s="52" t="s">
        <v>1916</v>
      </c>
      <c r="E2189" s="52" t="s">
        <v>1915</v>
      </c>
      <c r="F2189" s="53" t="s">
        <v>6564</v>
      </c>
      <c r="G2189" s="51"/>
      <c r="H2189" s="54"/>
      <c r="I2189" s="55">
        <v>179</v>
      </c>
      <c r="K2189" s="51" t="s">
        <v>6562</v>
      </c>
    </row>
    <row r="2190" spans="1:11">
      <c r="A2190" s="51">
        <v>2137</v>
      </c>
      <c r="B2190" s="51" t="s">
        <v>6561</v>
      </c>
      <c r="C2190" s="51" t="s">
        <v>6562</v>
      </c>
      <c r="D2190" s="52" t="s">
        <v>3527</v>
      </c>
      <c r="E2190" s="52" t="s">
        <v>3526</v>
      </c>
      <c r="F2190" s="53" t="s">
        <v>6565</v>
      </c>
      <c r="G2190" s="51"/>
      <c r="H2190" s="54"/>
      <c r="I2190" s="55">
        <v>199</v>
      </c>
      <c r="K2190" s="51" t="s">
        <v>6562</v>
      </c>
    </row>
    <row r="2191" spans="1:11">
      <c r="A2191" s="51">
        <v>2138</v>
      </c>
      <c r="B2191" s="51" t="s">
        <v>6561</v>
      </c>
      <c r="C2191" s="51" t="s">
        <v>6562</v>
      </c>
      <c r="D2191" s="52" t="s">
        <v>3529</v>
      </c>
      <c r="E2191" s="52" t="s">
        <v>3528</v>
      </c>
      <c r="F2191" s="53" t="s">
        <v>6565</v>
      </c>
      <c r="G2191" s="51"/>
      <c r="H2191" s="54"/>
      <c r="I2191" s="55">
        <v>199</v>
      </c>
      <c r="K2191" s="51" t="s">
        <v>6562</v>
      </c>
    </row>
    <row r="2192" spans="1:11">
      <c r="A2192" s="51">
        <v>2139</v>
      </c>
      <c r="B2192" s="51" t="s">
        <v>6561</v>
      </c>
      <c r="C2192" s="51" t="s">
        <v>6562</v>
      </c>
      <c r="D2192" s="52" t="s">
        <v>3531</v>
      </c>
      <c r="E2192" s="52" t="s">
        <v>3530</v>
      </c>
      <c r="F2192" s="53" t="s">
        <v>6565</v>
      </c>
      <c r="G2192" s="51"/>
      <c r="H2192" s="54"/>
      <c r="I2192" s="55">
        <v>404</v>
      </c>
      <c r="K2192" s="51" t="s">
        <v>6562</v>
      </c>
    </row>
    <row r="2193" spans="1:11">
      <c r="A2193" s="51">
        <v>2140</v>
      </c>
      <c r="B2193" s="51" t="s">
        <v>6561</v>
      </c>
      <c r="C2193" s="51" t="s">
        <v>6562</v>
      </c>
      <c r="D2193" s="52" t="s">
        <v>3533</v>
      </c>
      <c r="E2193" s="52" t="s">
        <v>3532</v>
      </c>
      <c r="F2193" s="53" t="s">
        <v>6565</v>
      </c>
      <c r="G2193" s="51"/>
      <c r="H2193" s="54"/>
      <c r="I2193" s="55">
        <v>267</v>
      </c>
      <c r="K2193" s="51" t="s">
        <v>6562</v>
      </c>
    </row>
    <row r="2194" spans="1:11">
      <c r="A2194" s="51">
        <v>2141</v>
      </c>
      <c r="B2194" s="51" t="s">
        <v>6561</v>
      </c>
      <c r="C2194" s="51" t="s">
        <v>6562</v>
      </c>
      <c r="D2194" s="52" t="s">
        <v>3535</v>
      </c>
      <c r="E2194" s="52" t="s">
        <v>3534</v>
      </c>
      <c r="F2194" s="53" t="s">
        <v>6565</v>
      </c>
      <c r="G2194" s="51"/>
      <c r="H2194" s="54"/>
      <c r="I2194" s="55">
        <v>141</v>
      </c>
      <c r="K2194" s="51" t="s">
        <v>6562</v>
      </c>
    </row>
    <row r="2195" spans="1:11">
      <c r="A2195" s="51">
        <v>2142</v>
      </c>
      <c r="B2195" s="51" t="s">
        <v>6561</v>
      </c>
      <c r="C2195" s="51" t="s">
        <v>6562</v>
      </c>
      <c r="D2195" s="52" t="s">
        <v>3537</v>
      </c>
      <c r="E2195" s="52" t="s">
        <v>3536</v>
      </c>
      <c r="F2195" s="53" t="s">
        <v>6565</v>
      </c>
      <c r="G2195" s="51"/>
      <c r="H2195" s="54"/>
      <c r="I2195" s="55">
        <v>120</v>
      </c>
      <c r="K2195" s="51" t="s">
        <v>6562</v>
      </c>
    </row>
    <row r="2196" spans="1:11">
      <c r="A2196" s="51">
        <v>2143</v>
      </c>
      <c r="B2196" s="51" t="s">
        <v>6561</v>
      </c>
      <c r="C2196" s="51" t="s">
        <v>6562</v>
      </c>
      <c r="D2196" s="52" t="s">
        <v>3539</v>
      </c>
      <c r="E2196" s="52" t="s">
        <v>3538</v>
      </c>
      <c r="F2196" s="53" t="s">
        <v>6565</v>
      </c>
      <c r="G2196" s="51"/>
      <c r="H2196" s="54"/>
      <c r="I2196" s="55">
        <v>114</v>
      </c>
      <c r="K2196" s="51" t="s">
        <v>6562</v>
      </c>
    </row>
    <row r="2197" spans="1:11">
      <c r="A2197" s="51">
        <v>2144</v>
      </c>
      <c r="B2197" s="51" t="s">
        <v>6561</v>
      </c>
      <c r="C2197" s="51" t="s">
        <v>6562</v>
      </c>
      <c r="D2197" s="52" t="s">
        <v>3541</v>
      </c>
      <c r="E2197" s="52" t="s">
        <v>3540</v>
      </c>
      <c r="F2197" s="53" t="s">
        <v>6565</v>
      </c>
      <c r="G2197" s="51"/>
      <c r="H2197" s="54"/>
      <c r="I2197" s="55">
        <v>83</v>
      </c>
      <c r="K2197" s="51" t="s">
        <v>6562</v>
      </c>
    </row>
    <row r="2198" spans="1:11">
      <c r="A2198" s="51">
        <v>2145</v>
      </c>
      <c r="B2198" s="51" t="s">
        <v>6561</v>
      </c>
      <c r="C2198" s="51" t="s">
        <v>6562</v>
      </c>
      <c r="D2198" s="52" t="s">
        <v>4015</v>
      </c>
      <c r="E2198" s="52" t="s">
        <v>4014</v>
      </c>
      <c r="F2198" s="53" t="s">
        <v>4979</v>
      </c>
      <c r="G2198" s="51"/>
      <c r="H2198" s="54"/>
      <c r="I2198" s="55">
        <v>260</v>
      </c>
      <c r="K2198" s="51" t="s">
        <v>6562</v>
      </c>
    </row>
    <row r="2199" spans="1:11">
      <c r="A2199" s="51">
        <v>2146</v>
      </c>
      <c r="B2199" s="51" t="s">
        <v>6561</v>
      </c>
      <c r="C2199" s="51" t="s">
        <v>6562</v>
      </c>
      <c r="D2199" s="52" t="s">
        <v>849</v>
      </c>
      <c r="E2199" s="52" t="s">
        <v>848</v>
      </c>
      <c r="F2199" s="53" t="s">
        <v>6566</v>
      </c>
      <c r="G2199" s="51"/>
      <c r="H2199" s="54"/>
      <c r="I2199" s="55">
        <v>13</v>
      </c>
      <c r="K2199" s="51" t="s">
        <v>6562</v>
      </c>
    </row>
    <row r="2200" spans="1:11">
      <c r="A2200" s="51">
        <v>2147</v>
      </c>
      <c r="B2200" s="51" t="s">
        <v>6561</v>
      </c>
      <c r="C2200" s="51" t="s">
        <v>6562</v>
      </c>
      <c r="D2200" s="52" t="s">
        <v>905</v>
      </c>
      <c r="E2200" s="52" t="s">
        <v>904</v>
      </c>
      <c r="F2200" s="53" t="s">
        <v>6567</v>
      </c>
      <c r="G2200" s="51"/>
      <c r="H2200" s="54"/>
      <c r="I2200" s="55">
        <v>4</v>
      </c>
      <c r="K2200" s="51" t="s">
        <v>6562</v>
      </c>
    </row>
    <row r="2201" spans="1:11">
      <c r="A2201" s="51">
        <v>2148</v>
      </c>
      <c r="B2201" s="51" t="s">
        <v>6561</v>
      </c>
      <c r="C2201" s="51" t="s">
        <v>6562</v>
      </c>
      <c r="D2201" s="52" t="s">
        <v>909</v>
      </c>
      <c r="E2201" s="52" t="s">
        <v>908</v>
      </c>
      <c r="F2201" s="53" t="s">
        <v>6568</v>
      </c>
      <c r="G2201" s="51"/>
      <c r="H2201" s="54"/>
      <c r="I2201" s="55">
        <v>11</v>
      </c>
      <c r="K2201" s="51" t="s">
        <v>6562</v>
      </c>
    </row>
    <row r="2202" spans="1:11">
      <c r="A2202" s="51">
        <v>2149</v>
      </c>
      <c r="B2202" s="51" t="s">
        <v>6561</v>
      </c>
      <c r="C2202" s="51" t="s">
        <v>6562</v>
      </c>
      <c r="D2202" s="52" t="s">
        <v>851</v>
      </c>
      <c r="E2202" s="52" t="s">
        <v>850</v>
      </c>
      <c r="F2202" s="53" t="s">
        <v>6566</v>
      </c>
      <c r="G2202" s="51"/>
      <c r="H2202" s="54"/>
      <c r="I2202" s="55">
        <v>12</v>
      </c>
      <c r="K2202" s="51" t="s">
        <v>6562</v>
      </c>
    </row>
    <row r="2203" spans="1:11">
      <c r="A2203" s="51">
        <v>2150</v>
      </c>
      <c r="B2203" s="51" t="s">
        <v>6561</v>
      </c>
      <c r="C2203" s="51" t="s">
        <v>6562</v>
      </c>
      <c r="D2203" s="52" t="s">
        <v>907</v>
      </c>
      <c r="E2203" s="52" t="s">
        <v>906</v>
      </c>
      <c r="F2203" s="53" t="s">
        <v>6568</v>
      </c>
      <c r="G2203" s="51"/>
      <c r="H2203" s="54"/>
      <c r="I2203" s="55">
        <v>9</v>
      </c>
      <c r="K2203" s="51" t="s">
        <v>6562</v>
      </c>
    </row>
    <row r="2204" spans="1:11">
      <c r="A2204" s="51">
        <v>2151</v>
      </c>
      <c r="B2204" s="51" t="s">
        <v>6561</v>
      </c>
      <c r="C2204" s="51" t="s">
        <v>6562</v>
      </c>
      <c r="D2204" s="52" t="s">
        <v>1861</v>
      </c>
      <c r="E2204" s="52" t="s">
        <v>1860</v>
      </c>
      <c r="F2204" s="53" t="s">
        <v>6569</v>
      </c>
      <c r="G2204" s="51"/>
      <c r="H2204" s="54"/>
      <c r="I2204" s="55">
        <v>51</v>
      </c>
      <c r="K2204" s="51" t="s">
        <v>6562</v>
      </c>
    </row>
    <row r="2205" spans="1:11">
      <c r="A2205" s="51">
        <v>2152</v>
      </c>
      <c r="B2205" s="51" t="s">
        <v>6561</v>
      </c>
      <c r="C2205" s="51" t="s">
        <v>6562</v>
      </c>
      <c r="D2205" s="52" t="s">
        <v>1863</v>
      </c>
      <c r="E2205" s="52" t="s">
        <v>1862</v>
      </c>
      <c r="F2205" s="53" t="s">
        <v>6569</v>
      </c>
      <c r="G2205" s="51"/>
      <c r="H2205" s="54"/>
      <c r="I2205" s="55">
        <v>55</v>
      </c>
      <c r="K2205" s="51" t="s">
        <v>6562</v>
      </c>
    </row>
    <row r="2206" spans="1:11">
      <c r="A2206" s="51">
        <v>2153</v>
      </c>
      <c r="B2206" s="51" t="s">
        <v>6561</v>
      </c>
      <c r="C2206" s="51" t="s">
        <v>6562</v>
      </c>
      <c r="D2206" s="52" t="s">
        <v>1845</v>
      </c>
      <c r="E2206" s="52" t="s">
        <v>1844</v>
      </c>
      <c r="F2206" s="53" t="s">
        <v>6570</v>
      </c>
      <c r="G2206" s="51"/>
      <c r="H2206" s="54"/>
      <c r="I2206" s="55">
        <v>17</v>
      </c>
      <c r="K2206" s="51" t="s">
        <v>6562</v>
      </c>
    </row>
    <row r="2207" spans="1:11">
      <c r="A2207" s="51">
        <v>2154</v>
      </c>
      <c r="B2207" s="51" t="s">
        <v>6561</v>
      </c>
      <c r="C2207" s="51" t="s">
        <v>6562</v>
      </c>
      <c r="D2207" s="52" t="s">
        <v>1847</v>
      </c>
      <c r="E2207" s="52" t="s">
        <v>1846</v>
      </c>
      <c r="F2207" s="53" t="s">
        <v>6570</v>
      </c>
      <c r="G2207" s="51"/>
      <c r="H2207" s="54"/>
      <c r="I2207" s="55">
        <v>11</v>
      </c>
      <c r="K2207" s="51" t="s">
        <v>6562</v>
      </c>
    </row>
    <row r="2208" spans="1:11">
      <c r="A2208" s="51">
        <v>2155</v>
      </c>
      <c r="B2208" s="51" t="s">
        <v>6561</v>
      </c>
      <c r="C2208" s="51" t="s">
        <v>6562</v>
      </c>
      <c r="D2208" s="52" t="s">
        <v>2235</v>
      </c>
      <c r="E2208" s="52" t="s">
        <v>2234</v>
      </c>
      <c r="F2208" s="53" t="s">
        <v>4976</v>
      </c>
      <c r="G2208" s="51"/>
      <c r="H2208" s="54"/>
      <c r="I2208" s="55">
        <v>68</v>
      </c>
      <c r="K2208" s="51" t="s">
        <v>6562</v>
      </c>
    </row>
    <row r="2209" spans="1:11">
      <c r="A2209" s="51">
        <v>2156</v>
      </c>
      <c r="B2209" s="51" t="s">
        <v>6561</v>
      </c>
      <c r="C2209" s="51" t="s">
        <v>6562</v>
      </c>
      <c r="D2209" s="52" t="s">
        <v>1946</v>
      </c>
      <c r="E2209" s="52" t="s">
        <v>1945</v>
      </c>
      <c r="F2209" s="53" t="s">
        <v>6571</v>
      </c>
      <c r="G2209" s="51"/>
      <c r="H2209" s="54"/>
      <c r="I2209" s="55">
        <v>66</v>
      </c>
      <c r="K2209" s="51" t="s">
        <v>6562</v>
      </c>
    </row>
    <row r="2210" spans="1:11">
      <c r="A2210" s="51">
        <v>2157</v>
      </c>
      <c r="B2210" s="51" t="s">
        <v>6561</v>
      </c>
      <c r="C2210" s="51" t="s">
        <v>6562</v>
      </c>
      <c r="D2210" s="52" t="s">
        <v>4079</v>
      </c>
      <c r="E2210" s="52" t="s">
        <v>4078</v>
      </c>
      <c r="F2210" s="53" t="s">
        <v>6572</v>
      </c>
      <c r="G2210" s="51"/>
      <c r="H2210" s="54"/>
      <c r="I2210" s="55">
        <v>0</v>
      </c>
      <c r="K2210" s="51" t="s">
        <v>6562</v>
      </c>
    </row>
    <row r="2211" spans="1:11">
      <c r="A2211" s="51">
        <v>2158</v>
      </c>
      <c r="B2211" s="51" t="s">
        <v>6561</v>
      </c>
      <c r="C2211" s="51" t="s">
        <v>6562</v>
      </c>
      <c r="D2211" s="52" t="s">
        <v>6573</v>
      </c>
      <c r="E2211" s="52" t="s">
        <v>6574</v>
      </c>
      <c r="F2211" s="53"/>
      <c r="G2211" s="51"/>
      <c r="H2211" s="54"/>
      <c r="I2211" s="55">
        <v>0</v>
      </c>
      <c r="K2211" s="51" t="s">
        <v>6562</v>
      </c>
    </row>
    <row r="2212" spans="1:11">
      <c r="A2212" s="51">
        <v>2159</v>
      </c>
      <c r="B2212" s="51" t="s">
        <v>6561</v>
      </c>
      <c r="C2212" s="51" t="s">
        <v>6562</v>
      </c>
      <c r="D2212" s="52" t="s">
        <v>6575</v>
      </c>
      <c r="E2212" s="52" t="s">
        <v>6576</v>
      </c>
      <c r="F2212" s="53"/>
      <c r="G2212" s="51"/>
      <c r="H2212" s="54"/>
      <c r="I2212" s="55">
        <v>0</v>
      </c>
      <c r="K2212" s="51" t="s">
        <v>6562</v>
      </c>
    </row>
    <row r="2213" spans="1:11">
      <c r="A2213" s="51">
        <v>2160</v>
      </c>
      <c r="B2213" s="51" t="s">
        <v>6561</v>
      </c>
      <c r="C2213" s="51" t="s">
        <v>6562</v>
      </c>
      <c r="D2213" s="52" t="s">
        <v>6577</v>
      </c>
      <c r="E2213" s="52" t="s">
        <v>6578</v>
      </c>
      <c r="F2213" s="53"/>
      <c r="G2213" s="51"/>
      <c r="H2213" s="54"/>
      <c r="I2213" s="55">
        <v>0</v>
      </c>
      <c r="K2213" s="51" t="s">
        <v>6562</v>
      </c>
    </row>
    <row r="2214" spans="1:11">
      <c r="A2214" s="51">
        <v>2161</v>
      </c>
      <c r="B2214" s="51" t="s">
        <v>6561</v>
      </c>
      <c r="C2214" s="51" t="s">
        <v>6562</v>
      </c>
      <c r="D2214" s="52" t="s">
        <v>6579</v>
      </c>
      <c r="E2214" s="52" t="s">
        <v>6580</v>
      </c>
      <c r="F2214" s="53"/>
      <c r="G2214" s="51"/>
      <c r="H2214" s="54"/>
      <c r="I2214" s="55">
        <v>0</v>
      </c>
      <c r="K2214" s="51" t="s">
        <v>6562</v>
      </c>
    </row>
    <row r="2215" spans="1:11">
      <c r="A2215" s="51">
        <v>2162</v>
      </c>
      <c r="B2215" s="51" t="s">
        <v>6581</v>
      </c>
      <c r="C2215" s="51">
        <v>570</v>
      </c>
      <c r="D2215" s="52" t="s">
        <v>2597</v>
      </c>
      <c r="E2215" s="52" t="s">
        <v>6582</v>
      </c>
      <c r="F2215" s="53" t="s">
        <v>6583</v>
      </c>
      <c r="G2215" s="51"/>
      <c r="H2215" s="54"/>
      <c r="I2215" s="55">
        <v>4853</v>
      </c>
      <c r="K2215" s="51">
        <v>570</v>
      </c>
    </row>
    <row r="2216" spans="1:11">
      <c r="A2216" s="51">
        <v>2163</v>
      </c>
      <c r="B2216" s="51" t="s">
        <v>6581</v>
      </c>
      <c r="C2216" s="51" t="s">
        <v>6584</v>
      </c>
      <c r="D2216" s="52" t="s">
        <v>2827</v>
      </c>
      <c r="E2216" s="52" t="s">
        <v>2826</v>
      </c>
      <c r="F2216" s="53" t="s">
        <v>6585</v>
      </c>
      <c r="G2216" s="51"/>
      <c r="H2216" s="54"/>
      <c r="I2216" s="55">
        <v>3475</v>
      </c>
      <c r="K2216" s="51" t="s">
        <v>6584</v>
      </c>
    </row>
    <row r="2217" spans="1:11">
      <c r="A2217" s="51">
        <v>2164</v>
      </c>
      <c r="B2217" s="51" t="s">
        <v>6581</v>
      </c>
      <c r="C2217" s="51" t="s">
        <v>6586</v>
      </c>
      <c r="D2217" s="52" t="s">
        <v>2851</v>
      </c>
      <c r="E2217" s="52" t="s">
        <v>2850</v>
      </c>
      <c r="F2217" s="53" t="s">
        <v>6587</v>
      </c>
      <c r="G2217" s="51"/>
      <c r="H2217" s="54"/>
      <c r="I2217" s="55">
        <v>0</v>
      </c>
      <c r="K2217" s="51" t="s">
        <v>6586</v>
      </c>
    </row>
    <row r="2218" spans="1:11">
      <c r="A2218" s="51">
        <v>2165</v>
      </c>
      <c r="B2218" s="51" t="s">
        <v>6581</v>
      </c>
      <c r="C2218" s="51" t="s">
        <v>6588</v>
      </c>
      <c r="D2218" s="52" t="s">
        <v>2851</v>
      </c>
      <c r="E2218" s="52" t="s">
        <v>2850</v>
      </c>
      <c r="F2218" s="53" t="s">
        <v>6587</v>
      </c>
      <c r="G2218" s="51"/>
      <c r="H2218" s="54"/>
      <c r="I2218" s="55">
        <v>0</v>
      </c>
      <c r="K2218" s="51" t="s">
        <v>6588</v>
      </c>
    </row>
    <row r="2219" spans="1:11">
      <c r="A2219" s="51">
        <v>2166</v>
      </c>
      <c r="B2219" s="51" t="s">
        <v>6581</v>
      </c>
      <c r="C2219" s="51" t="s">
        <v>6589</v>
      </c>
      <c r="D2219" s="52" t="s">
        <v>2851</v>
      </c>
      <c r="E2219" s="52" t="s">
        <v>2850</v>
      </c>
      <c r="F2219" s="53" t="s">
        <v>6587</v>
      </c>
      <c r="G2219" s="51"/>
      <c r="H2219" s="54"/>
      <c r="I2219" s="55">
        <v>0</v>
      </c>
      <c r="K2219" s="51" t="s">
        <v>6589</v>
      </c>
    </row>
    <row r="2220" spans="1:11">
      <c r="A2220" s="51">
        <v>2167</v>
      </c>
      <c r="B2220" s="51" t="s">
        <v>6581</v>
      </c>
      <c r="C2220" s="51" t="s">
        <v>6590</v>
      </c>
      <c r="D2220" s="52" t="s">
        <v>2827</v>
      </c>
      <c r="E2220" s="52" t="s">
        <v>2826</v>
      </c>
      <c r="F2220" s="53" t="s">
        <v>6585</v>
      </c>
      <c r="G2220" s="51"/>
      <c r="H2220" s="54"/>
      <c r="I2220" s="55">
        <v>0</v>
      </c>
      <c r="K2220" s="51" t="s">
        <v>6590</v>
      </c>
    </row>
    <row r="2221" spans="1:11">
      <c r="A2221" s="51">
        <v>2168</v>
      </c>
      <c r="B2221" s="51" t="s">
        <v>6581</v>
      </c>
      <c r="C2221" s="51" t="s">
        <v>6591</v>
      </c>
      <c r="D2221" s="52" t="s">
        <v>2827</v>
      </c>
      <c r="E2221" s="52" t="s">
        <v>2826</v>
      </c>
      <c r="F2221" s="53" t="s">
        <v>6585</v>
      </c>
      <c r="G2221" s="51"/>
      <c r="H2221" s="54"/>
      <c r="I2221" s="55">
        <v>0</v>
      </c>
      <c r="K2221" s="51" t="s">
        <v>6591</v>
      </c>
    </row>
    <row r="2222" spans="1:11">
      <c r="A2222" s="51">
        <v>2169</v>
      </c>
      <c r="B2222" s="51" t="s">
        <v>6581</v>
      </c>
      <c r="C2222" s="51" t="s">
        <v>6592</v>
      </c>
      <c r="D2222" s="52" t="s">
        <v>2809</v>
      </c>
      <c r="E2222" s="52" t="s">
        <v>2808</v>
      </c>
      <c r="F2222" s="53" t="s">
        <v>5761</v>
      </c>
      <c r="G2222" s="51"/>
      <c r="H2222" s="54"/>
      <c r="I2222" s="55">
        <v>0</v>
      </c>
      <c r="K2222" s="51" t="s">
        <v>6592</v>
      </c>
    </row>
    <row r="2223" spans="1:11">
      <c r="A2223" s="51">
        <v>2170</v>
      </c>
      <c r="B2223" s="51" t="s">
        <v>6581</v>
      </c>
      <c r="C2223" s="51" t="s">
        <v>6593</v>
      </c>
      <c r="D2223" s="52" t="s">
        <v>2809</v>
      </c>
      <c r="E2223" s="52" t="s">
        <v>2808</v>
      </c>
      <c r="F2223" s="53" t="s">
        <v>5761</v>
      </c>
      <c r="G2223" s="51"/>
      <c r="H2223" s="54"/>
      <c r="I2223" s="55">
        <v>0</v>
      </c>
      <c r="K2223" s="51" t="s">
        <v>6593</v>
      </c>
    </row>
    <row r="2224" spans="1:11">
      <c r="A2224" s="51">
        <v>2171</v>
      </c>
      <c r="B2224" s="51" t="s">
        <v>6581</v>
      </c>
      <c r="C2224" s="51" t="s">
        <v>6594</v>
      </c>
      <c r="D2224" s="52" t="s">
        <v>2809</v>
      </c>
      <c r="E2224" s="52" t="s">
        <v>2808</v>
      </c>
      <c r="F2224" s="53" t="s">
        <v>5761</v>
      </c>
      <c r="G2224" s="51"/>
      <c r="H2224" s="54"/>
      <c r="I2224" s="55">
        <v>2000</v>
      </c>
      <c r="K2224" s="51" t="s">
        <v>6594</v>
      </c>
    </row>
    <row r="2225" spans="1:11">
      <c r="A2225" s="51">
        <v>2172</v>
      </c>
      <c r="B2225" s="51" t="s">
        <v>6581</v>
      </c>
      <c r="C2225" s="51" t="s">
        <v>6595</v>
      </c>
      <c r="D2225" s="52" t="s">
        <v>2809</v>
      </c>
      <c r="E2225" s="52" t="s">
        <v>2808</v>
      </c>
      <c r="F2225" s="53" t="s">
        <v>5761</v>
      </c>
      <c r="G2225" s="51"/>
      <c r="H2225" s="54"/>
      <c r="I2225" s="55">
        <v>1980</v>
      </c>
      <c r="K2225" s="51" t="s">
        <v>6595</v>
      </c>
    </row>
    <row r="2226" spans="1:11">
      <c r="A2226" s="51">
        <v>2173</v>
      </c>
      <c r="B2226" s="51" t="s">
        <v>6581</v>
      </c>
      <c r="C2226" s="51" t="s">
        <v>6596</v>
      </c>
      <c r="D2226" s="52" t="s">
        <v>2809</v>
      </c>
      <c r="E2226" s="52" t="s">
        <v>2808</v>
      </c>
      <c r="F2226" s="53" t="s">
        <v>5761</v>
      </c>
      <c r="G2226" s="51"/>
      <c r="H2226" s="54"/>
      <c r="I2226" s="55">
        <v>2000</v>
      </c>
      <c r="K2226" s="51" t="s">
        <v>6596</v>
      </c>
    </row>
    <row r="2227" spans="1:11">
      <c r="A2227" s="51">
        <v>2174</v>
      </c>
      <c r="B2227" s="51" t="s">
        <v>6581</v>
      </c>
      <c r="C2227" s="51" t="s">
        <v>6597</v>
      </c>
      <c r="D2227" s="52" t="s">
        <v>2809</v>
      </c>
      <c r="E2227" s="52" t="s">
        <v>2808</v>
      </c>
      <c r="F2227" s="53" t="s">
        <v>5761</v>
      </c>
      <c r="G2227" s="51"/>
      <c r="H2227" s="54"/>
      <c r="I2227" s="55">
        <v>2000</v>
      </c>
      <c r="K2227" s="51" t="s">
        <v>6597</v>
      </c>
    </row>
    <row r="2228" spans="1:11">
      <c r="A2228" s="51">
        <v>2175</v>
      </c>
      <c r="B2228" s="51" t="s">
        <v>6581</v>
      </c>
      <c r="C2228" s="51" t="s">
        <v>6598</v>
      </c>
      <c r="D2228" s="52" t="s">
        <v>2865</v>
      </c>
      <c r="E2228" s="52" t="s">
        <v>2864</v>
      </c>
      <c r="F2228" s="53" t="s">
        <v>6599</v>
      </c>
      <c r="G2228" s="51"/>
      <c r="H2228" s="54"/>
      <c r="I2228" s="55">
        <v>2800</v>
      </c>
      <c r="K2228" s="51" t="s">
        <v>6598</v>
      </c>
    </row>
    <row r="2229" spans="1:11">
      <c r="A2229" s="51">
        <v>2176</v>
      </c>
      <c r="B2229" s="51" t="s">
        <v>6581</v>
      </c>
      <c r="C2229" s="51" t="s">
        <v>6600</v>
      </c>
      <c r="D2229" s="52" t="s">
        <v>2865</v>
      </c>
      <c r="E2229" s="52" t="s">
        <v>2864</v>
      </c>
      <c r="F2229" s="53" t="s">
        <v>6599</v>
      </c>
      <c r="G2229" s="51"/>
      <c r="H2229" s="54"/>
      <c r="I2229" s="55">
        <v>2800</v>
      </c>
      <c r="K2229" s="51" t="s">
        <v>6600</v>
      </c>
    </row>
    <row r="2230" spans="1:11">
      <c r="A2230" s="51">
        <v>2177</v>
      </c>
      <c r="B2230" s="51" t="s">
        <v>6581</v>
      </c>
      <c r="C2230" s="51" t="s">
        <v>6601</v>
      </c>
      <c r="D2230" s="52" t="s">
        <v>2865</v>
      </c>
      <c r="E2230" s="52" t="s">
        <v>2864</v>
      </c>
      <c r="F2230" s="53" t="s">
        <v>6599</v>
      </c>
      <c r="G2230" s="51"/>
      <c r="H2230" s="54"/>
      <c r="I2230" s="55">
        <v>2800</v>
      </c>
      <c r="K2230" s="51" t="s">
        <v>6601</v>
      </c>
    </row>
    <row r="2231" spans="1:11">
      <c r="A2231" s="51">
        <v>2178</v>
      </c>
      <c r="B2231" s="51" t="s">
        <v>6581</v>
      </c>
      <c r="C2231" s="51" t="s">
        <v>6602</v>
      </c>
      <c r="D2231" s="52" t="s">
        <v>2865</v>
      </c>
      <c r="E2231" s="52" t="s">
        <v>2864</v>
      </c>
      <c r="F2231" s="53" t="s">
        <v>6599</v>
      </c>
      <c r="G2231" s="51"/>
      <c r="H2231" s="54"/>
      <c r="I2231" s="55">
        <v>2837</v>
      </c>
      <c r="K2231" s="51" t="s">
        <v>6602</v>
      </c>
    </row>
    <row r="2232" spans="1:11">
      <c r="A2232" s="51">
        <v>2179</v>
      </c>
      <c r="B2232" s="51" t="s">
        <v>6581</v>
      </c>
      <c r="C2232" s="51" t="s">
        <v>6603</v>
      </c>
      <c r="D2232" s="52" t="s">
        <v>2867</v>
      </c>
      <c r="E2232" s="52" t="s">
        <v>6604</v>
      </c>
      <c r="F2232" s="53" t="s">
        <v>6605</v>
      </c>
      <c r="G2232" s="51"/>
      <c r="H2232" s="54"/>
      <c r="I2232" s="55">
        <v>2400</v>
      </c>
      <c r="K2232" s="51" t="s">
        <v>6603</v>
      </c>
    </row>
    <row r="2233" spans="1:11">
      <c r="A2233" s="51">
        <v>2180</v>
      </c>
      <c r="B2233" s="51" t="s">
        <v>6581</v>
      </c>
      <c r="C2233" s="51" t="s">
        <v>6606</v>
      </c>
      <c r="D2233" s="52" t="s">
        <v>2867</v>
      </c>
      <c r="E2233" s="52" t="s">
        <v>6604</v>
      </c>
      <c r="F2233" s="53" t="s">
        <v>6605</v>
      </c>
      <c r="G2233" s="51"/>
      <c r="H2233" s="54"/>
      <c r="I2233" s="55">
        <v>2400</v>
      </c>
      <c r="K2233" s="51" t="s">
        <v>6606</v>
      </c>
    </row>
    <row r="2234" spans="1:11">
      <c r="A2234" s="51">
        <v>2181</v>
      </c>
      <c r="B2234" s="51" t="s">
        <v>6581</v>
      </c>
      <c r="C2234" s="51" t="s">
        <v>6607</v>
      </c>
      <c r="D2234" s="52" t="s">
        <v>2867</v>
      </c>
      <c r="E2234" s="52" t="s">
        <v>6604</v>
      </c>
      <c r="F2234" s="53" t="s">
        <v>6605</v>
      </c>
      <c r="G2234" s="51"/>
      <c r="H2234" s="54"/>
      <c r="I2234" s="55">
        <v>2400</v>
      </c>
      <c r="K2234" s="51" t="s">
        <v>6607</v>
      </c>
    </row>
    <row r="2235" spans="1:11">
      <c r="A2235" s="51">
        <v>2182</v>
      </c>
      <c r="B2235" s="51" t="s">
        <v>6581</v>
      </c>
      <c r="C2235" s="51" t="s">
        <v>6608</v>
      </c>
      <c r="D2235" s="52" t="s">
        <v>2867</v>
      </c>
      <c r="E2235" s="52" t="s">
        <v>6604</v>
      </c>
      <c r="F2235" s="53" t="s">
        <v>6605</v>
      </c>
      <c r="G2235" s="51"/>
      <c r="H2235" s="54"/>
      <c r="I2235" s="55">
        <v>347</v>
      </c>
      <c r="K2235" s="51" t="s">
        <v>6608</v>
      </c>
    </row>
    <row r="2236" spans="1:11">
      <c r="A2236" s="51">
        <v>2183</v>
      </c>
      <c r="B2236" s="51" t="s">
        <v>6581</v>
      </c>
      <c r="C2236" s="51" t="s">
        <v>6609</v>
      </c>
      <c r="D2236" s="52" t="s">
        <v>2861</v>
      </c>
      <c r="E2236" s="52" t="s">
        <v>2860</v>
      </c>
      <c r="F2236" s="53" t="s">
        <v>6610</v>
      </c>
      <c r="G2236" s="51"/>
      <c r="H2236" s="54"/>
      <c r="I2236" s="55">
        <v>0</v>
      </c>
      <c r="K2236" s="51" t="s">
        <v>6609</v>
      </c>
    </row>
    <row r="2237" spans="1:11">
      <c r="A2237" s="51">
        <v>2184</v>
      </c>
      <c r="B2237" s="51" t="s">
        <v>6581</v>
      </c>
      <c r="C2237" s="51" t="s">
        <v>6611</v>
      </c>
      <c r="D2237" s="52" t="s">
        <v>2861</v>
      </c>
      <c r="E2237" s="52" t="s">
        <v>2860</v>
      </c>
      <c r="F2237" s="53" t="s">
        <v>6610</v>
      </c>
      <c r="G2237" s="51"/>
      <c r="H2237" s="54"/>
      <c r="I2237" s="55">
        <v>0</v>
      </c>
      <c r="K2237" s="51" t="s">
        <v>6611</v>
      </c>
    </row>
    <row r="2238" spans="1:11">
      <c r="A2238" s="51">
        <v>2185</v>
      </c>
      <c r="B2238" s="51" t="s">
        <v>6581</v>
      </c>
      <c r="C2238" s="51" t="s">
        <v>6612</v>
      </c>
      <c r="D2238" s="52" t="s">
        <v>2861</v>
      </c>
      <c r="E2238" s="52" t="s">
        <v>2860</v>
      </c>
      <c r="F2238" s="53" t="s">
        <v>6610</v>
      </c>
      <c r="G2238" s="51"/>
      <c r="H2238" s="54"/>
      <c r="I2238" s="55">
        <v>0</v>
      </c>
      <c r="K2238" s="51" t="s">
        <v>6612</v>
      </c>
    </row>
    <row r="2239" spans="1:11">
      <c r="A2239" s="51">
        <v>2186</v>
      </c>
      <c r="B2239" s="51" t="s">
        <v>6581</v>
      </c>
      <c r="C2239" s="51" t="s">
        <v>6613</v>
      </c>
      <c r="D2239" s="52" t="s">
        <v>2861</v>
      </c>
      <c r="E2239" s="52" t="s">
        <v>2860</v>
      </c>
      <c r="F2239" s="53" t="s">
        <v>6610</v>
      </c>
      <c r="G2239" s="51"/>
      <c r="H2239" s="54"/>
      <c r="I2239" s="55">
        <v>0</v>
      </c>
      <c r="K2239" s="51" t="s">
        <v>6613</v>
      </c>
    </row>
    <row r="2240" spans="1:11">
      <c r="A2240" s="51">
        <v>2187</v>
      </c>
      <c r="B2240" s="51" t="s">
        <v>6581</v>
      </c>
      <c r="C2240" s="51" t="s">
        <v>6613</v>
      </c>
      <c r="D2240" s="52" t="s">
        <v>2867</v>
      </c>
      <c r="E2240" s="52" t="s">
        <v>6604</v>
      </c>
      <c r="F2240" s="53" t="s">
        <v>6605</v>
      </c>
      <c r="G2240" s="51"/>
      <c r="H2240" s="54"/>
      <c r="I2240" s="55">
        <v>0</v>
      </c>
      <c r="K2240" s="51" t="s">
        <v>6613</v>
      </c>
    </row>
    <row r="2241" spans="1:11">
      <c r="A2241" s="51">
        <v>2188</v>
      </c>
      <c r="B2241" s="51" t="s">
        <v>6581</v>
      </c>
      <c r="C2241" s="51" t="s">
        <v>6613</v>
      </c>
      <c r="D2241" s="52" t="s">
        <v>2865</v>
      </c>
      <c r="E2241" s="52" t="s">
        <v>2864</v>
      </c>
      <c r="F2241" s="53" t="s">
        <v>6599</v>
      </c>
      <c r="G2241" s="51"/>
      <c r="H2241" s="54"/>
      <c r="I2241" s="55">
        <v>1300</v>
      </c>
      <c r="K2241" s="51" t="s">
        <v>6613</v>
      </c>
    </row>
    <row r="2242" spans="1:11">
      <c r="A2242" s="51" t="s">
        <v>6614</v>
      </c>
      <c r="B2242" s="51" t="s">
        <v>6581</v>
      </c>
      <c r="C2242" s="51"/>
      <c r="D2242" s="52" t="s">
        <v>2865</v>
      </c>
      <c r="E2242" s="52" t="s">
        <v>2864</v>
      </c>
      <c r="F2242" s="53" t="s">
        <v>6599</v>
      </c>
      <c r="G2242" s="51"/>
      <c r="H2242" s="54"/>
      <c r="I2242" s="55">
        <v>4000</v>
      </c>
      <c r="K2242" s="51"/>
    </row>
    <row r="2243" spans="1:11">
      <c r="A2243" s="51">
        <v>2189</v>
      </c>
      <c r="B2243" s="51" t="s">
        <v>6615</v>
      </c>
      <c r="C2243" s="51">
        <v>571</v>
      </c>
      <c r="D2243" s="52" t="s">
        <v>2861</v>
      </c>
      <c r="E2243" s="52" t="s">
        <v>2860</v>
      </c>
      <c r="F2243" s="53" t="s">
        <v>6616</v>
      </c>
      <c r="G2243" s="51"/>
      <c r="H2243" s="54"/>
      <c r="I2243" s="55">
        <v>1200</v>
      </c>
      <c r="K2243" s="51">
        <v>571</v>
      </c>
    </row>
    <row r="2244" spans="1:11">
      <c r="A2244" s="51" t="s">
        <v>6617</v>
      </c>
      <c r="B2244" s="51" t="s">
        <v>6615</v>
      </c>
      <c r="C2244" s="51">
        <v>571</v>
      </c>
      <c r="D2244" s="52" t="s">
        <v>2861</v>
      </c>
      <c r="E2244" s="52" t="s">
        <v>2860</v>
      </c>
      <c r="F2244" s="53" t="s">
        <v>6616</v>
      </c>
      <c r="G2244" s="51"/>
      <c r="H2244" s="54"/>
      <c r="I2244" s="55">
        <v>1200</v>
      </c>
      <c r="K2244" s="51">
        <v>571</v>
      </c>
    </row>
    <row r="2245" spans="1:11">
      <c r="A2245" s="51" t="s">
        <v>6618</v>
      </c>
      <c r="B2245" s="51" t="s">
        <v>6615</v>
      </c>
      <c r="C2245" s="51">
        <v>571</v>
      </c>
      <c r="D2245" s="52" t="s">
        <v>2861</v>
      </c>
      <c r="E2245" s="52" t="s">
        <v>2860</v>
      </c>
      <c r="F2245" s="53" t="s">
        <v>6616</v>
      </c>
      <c r="G2245" s="51"/>
      <c r="H2245" s="54"/>
      <c r="I2245" s="55">
        <v>1200</v>
      </c>
      <c r="K2245" s="51">
        <v>571</v>
      </c>
    </row>
    <row r="2246" spans="1:11">
      <c r="A2246" s="51" t="s">
        <v>6619</v>
      </c>
      <c r="B2246" s="51" t="s">
        <v>6615</v>
      </c>
      <c r="C2246" s="51">
        <v>571</v>
      </c>
      <c r="D2246" s="52" t="s">
        <v>2861</v>
      </c>
      <c r="E2246" s="52" t="s">
        <v>2860</v>
      </c>
      <c r="F2246" s="53" t="s">
        <v>6616</v>
      </c>
      <c r="G2246" s="51"/>
      <c r="H2246" s="54"/>
      <c r="I2246" s="55">
        <v>1200</v>
      </c>
      <c r="K2246" s="51">
        <v>571</v>
      </c>
    </row>
    <row r="2247" spans="1:11">
      <c r="A2247" s="51" t="s">
        <v>6620</v>
      </c>
      <c r="B2247" s="51" t="s">
        <v>6615</v>
      </c>
      <c r="C2247" s="51">
        <v>571</v>
      </c>
      <c r="D2247" s="52" t="s">
        <v>2861</v>
      </c>
      <c r="E2247" s="52" t="s">
        <v>2860</v>
      </c>
      <c r="F2247" s="53" t="s">
        <v>6616</v>
      </c>
      <c r="G2247" s="51"/>
      <c r="H2247" s="54"/>
      <c r="I2247" s="55">
        <v>1200</v>
      </c>
      <c r="K2247" s="51">
        <v>571</v>
      </c>
    </row>
    <row r="2248" spans="1:11">
      <c r="A2248" s="51" t="s">
        <v>6621</v>
      </c>
      <c r="B2248" s="51" t="s">
        <v>6615</v>
      </c>
      <c r="C2248" s="51">
        <v>571</v>
      </c>
      <c r="D2248" s="52" t="s">
        <v>2861</v>
      </c>
      <c r="E2248" s="52" t="s">
        <v>2860</v>
      </c>
      <c r="F2248" s="53" t="s">
        <v>6616</v>
      </c>
      <c r="G2248" s="51"/>
      <c r="H2248" s="54"/>
      <c r="I2248" s="55">
        <v>1200</v>
      </c>
      <c r="K2248" s="51">
        <v>571</v>
      </c>
    </row>
    <row r="2249" spans="1:11">
      <c r="A2249" s="51" t="s">
        <v>6622</v>
      </c>
      <c r="B2249" s="51" t="s">
        <v>6615</v>
      </c>
      <c r="C2249" s="51">
        <v>571</v>
      </c>
      <c r="D2249" s="52" t="s">
        <v>2861</v>
      </c>
      <c r="E2249" s="52" t="s">
        <v>2860</v>
      </c>
      <c r="F2249" s="53" t="s">
        <v>6616</v>
      </c>
      <c r="G2249" s="51"/>
      <c r="H2249" s="54"/>
      <c r="I2249" s="55">
        <v>1200</v>
      </c>
      <c r="K2249" s="51">
        <v>571</v>
      </c>
    </row>
    <row r="2250" spans="1:11">
      <c r="A2250" s="51">
        <v>2190</v>
      </c>
      <c r="B2250" s="51" t="s">
        <v>6623</v>
      </c>
      <c r="C2250" s="51">
        <v>572</v>
      </c>
      <c r="D2250" s="52" t="s">
        <v>2809</v>
      </c>
      <c r="E2250" s="52" t="s">
        <v>6624</v>
      </c>
      <c r="F2250" s="53" t="s">
        <v>5761</v>
      </c>
      <c r="G2250" s="51"/>
      <c r="H2250" s="54"/>
      <c r="I2250" s="55">
        <v>1200</v>
      </c>
      <c r="K2250" s="51">
        <v>572</v>
      </c>
    </row>
    <row r="2251" spans="1:11">
      <c r="A2251" s="51">
        <v>2191</v>
      </c>
      <c r="B2251" s="51" t="s">
        <v>6623</v>
      </c>
      <c r="C2251" s="51">
        <v>572</v>
      </c>
      <c r="D2251" s="52" t="s">
        <v>2809</v>
      </c>
      <c r="E2251" s="52" t="s">
        <v>6624</v>
      </c>
      <c r="F2251" s="53" t="s">
        <v>5761</v>
      </c>
      <c r="G2251" s="51"/>
      <c r="H2251" s="54"/>
      <c r="I2251" s="55">
        <v>1200</v>
      </c>
      <c r="K2251" s="51">
        <v>572</v>
      </c>
    </row>
    <row r="2252" spans="1:11">
      <c r="A2252" s="51">
        <v>2192</v>
      </c>
      <c r="B2252" s="51" t="s">
        <v>6623</v>
      </c>
      <c r="C2252" s="51">
        <v>572</v>
      </c>
      <c r="D2252" s="52" t="s">
        <v>2809</v>
      </c>
      <c r="E2252" s="52" t="s">
        <v>6624</v>
      </c>
      <c r="F2252" s="53" t="s">
        <v>5761</v>
      </c>
      <c r="G2252" s="51"/>
      <c r="H2252" s="54"/>
      <c r="I2252" s="55">
        <v>1200</v>
      </c>
      <c r="K2252" s="51">
        <v>572</v>
      </c>
    </row>
    <row r="2253" spans="1:11">
      <c r="A2253" s="51">
        <v>2193</v>
      </c>
      <c r="B2253" s="51" t="s">
        <v>6623</v>
      </c>
      <c r="C2253" s="51">
        <v>572</v>
      </c>
      <c r="D2253" s="52" t="s">
        <v>2809</v>
      </c>
      <c r="E2253" s="52" t="s">
        <v>6624</v>
      </c>
      <c r="F2253" s="53" t="s">
        <v>5761</v>
      </c>
      <c r="G2253" s="51"/>
      <c r="H2253" s="54"/>
      <c r="I2253" s="55">
        <v>1200</v>
      </c>
      <c r="K2253" s="51">
        <v>572</v>
      </c>
    </row>
    <row r="2254" spans="1:11">
      <c r="A2254" s="51">
        <v>2194</v>
      </c>
      <c r="B2254" s="51" t="s">
        <v>6623</v>
      </c>
      <c r="C2254" s="51">
        <v>572</v>
      </c>
      <c r="D2254" s="52" t="s">
        <v>2809</v>
      </c>
      <c r="E2254" s="52" t="s">
        <v>6624</v>
      </c>
      <c r="F2254" s="53" t="s">
        <v>5761</v>
      </c>
      <c r="G2254" s="51"/>
      <c r="H2254" s="54"/>
      <c r="I2254" s="55">
        <v>1200</v>
      </c>
      <c r="K2254" s="51">
        <v>572</v>
      </c>
    </row>
    <row r="2255" spans="1:11">
      <c r="A2255" s="51">
        <v>2195</v>
      </c>
      <c r="B2255" s="51" t="s">
        <v>6623</v>
      </c>
      <c r="C2255" s="51">
        <v>572</v>
      </c>
      <c r="D2255" s="52" t="s">
        <v>2809</v>
      </c>
      <c r="E2255" s="52" t="s">
        <v>6624</v>
      </c>
      <c r="F2255" s="53" t="s">
        <v>5761</v>
      </c>
      <c r="G2255" s="51"/>
      <c r="H2255" s="54"/>
      <c r="I2255" s="55">
        <v>0</v>
      </c>
      <c r="K2255" s="51">
        <v>572</v>
      </c>
    </row>
    <row r="2256" spans="1:11">
      <c r="A2256" s="51">
        <v>2196</v>
      </c>
      <c r="B2256" s="51" t="s">
        <v>6623</v>
      </c>
      <c r="C2256" s="51">
        <v>572</v>
      </c>
      <c r="D2256" s="52" t="s">
        <v>2809</v>
      </c>
      <c r="E2256" s="52" t="s">
        <v>6624</v>
      </c>
      <c r="F2256" s="53" t="s">
        <v>5761</v>
      </c>
      <c r="G2256" s="51"/>
      <c r="H2256" s="54"/>
      <c r="I2256" s="55">
        <v>0</v>
      </c>
      <c r="K2256" s="51">
        <v>572</v>
      </c>
    </row>
    <row r="2257" spans="1:11">
      <c r="A2257" s="51">
        <v>2197</v>
      </c>
      <c r="B2257" s="51" t="s">
        <v>6623</v>
      </c>
      <c r="C2257" s="51">
        <v>572</v>
      </c>
      <c r="D2257" s="52" t="s">
        <v>2809</v>
      </c>
      <c r="E2257" s="52" t="s">
        <v>6624</v>
      </c>
      <c r="F2257" s="53" t="s">
        <v>5761</v>
      </c>
      <c r="G2257" s="51"/>
      <c r="H2257" s="54"/>
      <c r="I2257" s="55">
        <v>0</v>
      </c>
      <c r="K2257" s="51">
        <v>572</v>
      </c>
    </row>
    <row r="2258" spans="1:11">
      <c r="A2258" s="51">
        <v>2198</v>
      </c>
      <c r="B2258" s="51" t="s">
        <v>6625</v>
      </c>
      <c r="C2258" s="51">
        <v>574</v>
      </c>
      <c r="D2258" s="52" t="s">
        <v>2579</v>
      </c>
      <c r="E2258" s="52" t="s">
        <v>2578</v>
      </c>
      <c r="F2258" s="53" t="s">
        <v>5717</v>
      </c>
      <c r="G2258" s="51"/>
      <c r="H2258" s="54"/>
      <c r="I2258" s="55">
        <v>2978</v>
      </c>
      <c r="K2258" s="51">
        <v>574</v>
      </c>
    </row>
    <row r="2259" spans="1:11">
      <c r="A2259" s="51">
        <v>2199</v>
      </c>
      <c r="B2259" s="51" t="s">
        <v>6625</v>
      </c>
      <c r="C2259" s="51">
        <v>574</v>
      </c>
      <c r="D2259" s="52" t="s">
        <v>2683</v>
      </c>
      <c r="E2259" s="52" t="s">
        <v>2682</v>
      </c>
      <c r="F2259" s="53" t="s">
        <v>5684</v>
      </c>
      <c r="G2259" s="51"/>
      <c r="H2259" s="54"/>
      <c r="I2259" s="55">
        <v>930</v>
      </c>
      <c r="K2259" s="51">
        <v>574</v>
      </c>
    </row>
    <row r="2260" spans="1:11">
      <c r="A2260" s="51">
        <v>2200</v>
      </c>
      <c r="B2260" s="51" t="s">
        <v>6625</v>
      </c>
      <c r="C2260" s="51">
        <v>574</v>
      </c>
      <c r="D2260" s="52" t="s">
        <v>2869</v>
      </c>
      <c r="E2260" s="52" t="s">
        <v>2868</v>
      </c>
      <c r="F2260" s="53" t="s">
        <v>6626</v>
      </c>
      <c r="G2260" s="51"/>
      <c r="H2260" s="54"/>
      <c r="I2260" s="55">
        <v>1540</v>
      </c>
      <c r="K2260" s="51">
        <v>574</v>
      </c>
    </row>
    <row r="2261" spans="1:11">
      <c r="A2261" s="51">
        <v>2201</v>
      </c>
      <c r="B2261" s="51" t="s">
        <v>6625</v>
      </c>
      <c r="C2261" s="51">
        <v>574</v>
      </c>
      <c r="D2261" s="52" t="s">
        <v>2883</v>
      </c>
      <c r="E2261" s="52" t="s">
        <v>2882</v>
      </c>
      <c r="F2261" s="53" t="s">
        <v>6627</v>
      </c>
      <c r="G2261" s="51"/>
      <c r="H2261" s="54"/>
      <c r="I2261" s="55">
        <v>2585</v>
      </c>
      <c r="K2261" s="51">
        <v>574</v>
      </c>
    </row>
    <row r="2262" spans="1:11">
      <c r="A2262" s="51">
        <v>2202</v>
      </c>
      <c r="B2262" s="51" t="s">
        <v>6625</v>
      </c>
      <c r="C2262" s="51">
        <v>574</v>
      </c>
      <c r="D2262" s="52" t="s">
        <v>2905</v>
      </c>
      <c r="E2262" s="52" t="s">
        <v>2904</v>
      </c>
      <c r="F2262" s="53" t="s">
        <v>6628</v>
      </c>
      <c r="G2262" s="51"/>
      <c r="H2262" s="54"/>
      <c r="I2262" s="55">
        <v>110</v>
      </c>
      <c r="K2262" s="51">
        <v>574</v>
      </c>
    </row>
    <row r="2263" spans="1:11">
      <c r="A2263" s="51">
        <v>2203</v>
      </c>
      <c r="B2263" s="51" t="s">
        <v>6625</v>
      </c>
      <c r="C2263" s="51">
        <v>574</v>
      </c>
      <c r="D2263" s="52" t="s">
        <v>2908</v>
      </c>
      <c r="E2263" s="52" t="s">
        <v>2907</v>
      </c>
      <c r="F2263" s="53" t="s">
        <v>6629</v>
      </c>
      <c r="G2263" s="51"/>
      <c r="H2263" s="54"/>
      <c r="I2263" s="55">
        <v>1681</v>
      </c>
      <c r="K2263" s="51">
        <v>574</v>
      </c>
    </row>
    <row r="2264" spans="1:11">
      <c r="A2264" s="51">
        <v>2204</v>
      </c>
      <c r="B2264" s="51" t="s">
        <v>6625</v>
      </c>
      <c r="C2264" s="51">
        <v>574</v>
      </c>
      <c r="D2264" s="52" t="s">
        <v>2861</v>
      </c>
      <c r="E2264" s="52" t="s">
        <v>6630</v>
      </c>
      <c r="F2264" s="53" t="s">
        <v>6631</v>
      </c>
      <c r="G2264" s="51"/>
      <c r="H2264" s="54"/>
      <c r="I2264" s="55">
        <v>414</v>
      </c>
      <c r="K2264" s="51">
        <v>574</v>
      </c>
    </row>
    <row r="2265" spans="1:11">
      <c r="A2265" s="51">
        <v>2205</v>
      </c>
      <c r="B2265" s="51" t="s">
        <v>6625</v>
      </c>
      <c r="C2265" s="51">
        <v>574</v>
      </c>
      <c r="D2265" s="52" t="s">
        <v>2809</v>
      </c>
      <c r="E2265" s="52" t="s">
        <v>6632</v>
      </c>
      <c r="F2265" s="53" t="s">
        <v>6633</v>
      </c>
      <c r="G2265" s="51"/>
      <c r="H2265" s="54"/>
      <c r="I2265" s="55">
        <v>420</v>
      </c>
      <c r="K2265" s="51">
        <v>574</v>
      </c>
    </row>
    <row r="2266" spans="1:11">
      <c r="A2266" s="51">
        <v>2206</v>
      </c>
      <c r="B2266" s="51" t="s">
        <v>6625</v>
      </c>
      <c r="C2266" s="51">
        <v>574</v>
      </c>
      <c r="D2266" s="52" t="s">
        <v>2597</v>
      </c>
      <c r="E2266" s="52" t="s">
        <v>6634</v>
      </c>
      <c r="F2266" s="53" t="s">
        <v>6635</v>
      </c>
      <c r="G2266" s="51"/>
      <c r="H2266" s="54"/>
      <c r="I2266" s="55">
        <v>0</v>
      </c>
      <c r="K2266" s="51">
        <v>574</v>
      </c>
    </row>
    <row r="2267" spans="1:11">
      <c r="A2267" s="51">
        <v>2207</v>
      </c>
      <c r="B2267" s="51" t="s">
        <v>6625</v>
      </c>
      <c r="C2267" s="51">
        <v>574</v>
      </c>
      <c r="D2267" s="52" t="s">
        <v>3859</v>
      </c>
      <c r="E2267" s="52" t="s">
        <v>3858</v>
      </c>
      <c r="F2267" s="53" t="s">
        <v>6636</v>
      </c>
      <c r="G2267" s="51"/>
      <c r="H2267" s="54"/>
      <c r="I2267" s="55">
        <v>1000</v>
      </c>
      <c r="K2267" s="51">
        <v>574</v>
      </c>
    </row>
    <row r="2268" spans="1:11">
      <c r="A2268" s="51">
        <v>2208</v>
      </c>
      <c r="B2268" s="51" t="s">
        <v>6637</v>
      </c>
      <c r="C2268" s="51">
        <v>575</v>
      </c>
      <c r="D2268" s="52" t="s">
        <v>2579</v>
      </c>
      <c r="E2268" s="52" t="s">
        <v>2578</v>
      </c>
      <c r="F2268" s="53" t="s">
        <v>5856</v>
      </c>
      <c r="G2268" s="51"/>
      <c r="H2268" s="54"/>
      <c r="I2268" s="55">
        <v>466</v>
      </c>
      <c r="K2268" s="51">
        <v>575</v>
      </c>
    </row>
    <row r="2269" spans="1:11">
      <c r="A2269" s="51">
        <v>2209</v>
      </c>
      <c r="B2269" s="51" t="s">
        <v>6637</v>
      </c>
      <c r="C2269" s="51">
        <v>575</v>
      </c>
      <c r="D2269" s="52" t="s">
        <v>2683</v>
      </c>
      <c r="E2269" s="52" t="s">
        <v>2682</v>
      </c>
      <c r="F2269" s="53" t="s">
        <v>5973</v>
      </c>
      <c r="G2269" s="51"/>
      <c r="H2269" s="54"/>
      <c r="I2269" s="55">
        <v>1098</v>
      </c>
      <c r="K2269" s="51">
        <v>575</v>
      </c>
    </row>
    <row r="2270" spans="1:11">
      <c r="A2270" s="51">
        <v>2210</v>
      </c>
      <c r="B2270" s="51" t="s">
        <v>6637</v>
      </c>
      <c r="C2270" s="51">
        <v>575</v>
      </c>
      <c r="D2270" s="52" t="s">
        <v>2869</v>
      </c>
      <c r="E2270" s="52" t="s">
        <v>2868</v>
      </c>
      <c r="F2270" s="53" t="s">
        <v>6638</v>
      </c>
      <c r="G2270" s="51"/>
      <c r="H2270" s="54"/>
      <c r="I2270" s="55">
        <v>3000</v>
      </c>
      <c r="K2270" s="51">
        <v>575</v>
      </c>
    </row>
    <row r="2271" spans="1:11">
      <c r="A2271" s="51">
        <v>2211</v>
      </c>
      <c r="B2271" s="51" t="s">
        <v>6637</v>
      </c>
      <c r="C2271" s="51">
        <v>575</v>
      </c>
      <c r="D2271" s="52" t="s">
        <v>2883</v>
      </c>
      <c r="E2271" s="52" t="s">
        <v>2882</v>
      </c>
      <c r="F2271" s="53" t="s">
        <v>6639</v>
      </c>
      <c r="G2271" s="51"/>
      <c r="H2271" s="54"/>
      <c r="I2271" s="55">
        <v>3000</v>
      </c>
      <c r="K2271" s="51">
        <v>575</v>
      </c>
    </row>
    <row r="2272" spans="1:11">
      <c r="A2272" s="51">
        <v>2212</v>
      </c>
      <c r="B2272" s="51" t="s">
        <v>6637</v>
      </c>
      <c r="C2272" s="51">
        <v>575</v>
      </c>
      <c r="D2272" s="52" t="s">
        <v>2905</v>
      </c>
      <c r="E2272" s="52" t="s">
        <v>2904</v>
      </c>
      <c r="F2272" s="53" t="s">
        <v>6628</v>
      </c>
      <c r="G2272" s="51"/>
      <c r="H2272" s="54"/>
      <c r="I2272" s="55">
        <v>4750</v>
      </c>
      <c r="K2272" s="51">
        <v>575</v>
      </c>
    </row>
    <row r="2273" spans="1:11">
      <c r="A2273" s="51">
        <v>2213</v>
      </c>
      <c r="B2273" s="51" t="s">
        <v>6637</v>
      </c>
      <c r="C2273" s="51">
        <v>575</v>
      </c>
      <c r="D2273" s="52" t="s">
        <v>2908</v>
      </c>
      <c r="E2273" s="52" t="s">
        <v>2907</v>
      </c>
      <c r="F2273" s="53" t="s">
        <v>6629</v>
      </c>
      <c r="G2273" s="51"/>
      <c r="H2273" s="54"/>
      <c r="I2273" s="55">
        <v>2000</v>
      </c>
      <c r="K2273" s="51">
        <v>575</v>
      </c>
    </row>
    <row r="2274" spans="1:11">
      <c r="A2274" s="51">
        <v>2214</v>
      </c>
      <c r="B2274" s="51" t="s">
        <v>6637</v>
      </c>
      <c r="C2274" s="51">
        <v>575</v>
      </c>
      <c r="D2274" s="52" t="s">
        <v>2861</v>
      </c>
      <c r="E2274" s="52" t="s">
        <v>6630</v>
      </c>
      <c r="F2274" s="53" t="s">
        <v>6616</v>
      </c>
      <c r="G2274" s="51"/>
      <c r="H2274" s="54"/>
      <c r="I2274" s="55">
        <v>27</v>
      </c>
      <c r="K2274" s="51">
        <v>575</v>
      </c>
    </row>
    <row r="2275" spans="1:11">
      <c r="A2275" s="51">
        <v>2215</v>
      </c>
      <c r="B2275" s="51" t="s">
        <v>6637</v>
      </c>
      <c r="C2275" s="51">
        <v>575</v>
      </c>
      <c r="D2275" s="52" t="s">
        <v>2809</v>
      </c>
      <c r="E2275" s="52" t="s">
        <v>6632</v>
      </c>
      <c r="F2275" s="53" t="s">
        <v>5761</v>
      </c>
      <c r="G2275" s="51"/>
      <c r="H2275" s="54"/>
      <c r="I2275" s="55">
        <v>83</v>
      </c>
      <c r="K2275" s="51">
        <v>575</v>
      </c>
    </row>
    <row r="2276" spans="1:11">
      <c r="A2276" s="51">
        <v>2216</v>
      </c>
      <c r="B2276" s="51" t="s">
        <v>6637</v>
      </c>
      <c r="C2276" s="51">
        <v>575</v>
      </c>
      <c r="D2276" s="52" t="s">
        <v>2597</v>
      </c>
      <c r="E2276" s="52" t="s">
        <v>6634</v>
      </c>
      <c r="F2276" s="53" t="s">
        <v>6583</v>
      </c>
      <c r="G2276" s="51"/>
      <c r="H2276" s="54"/>
      <c r="I2276" s="55">
        <v>1551</v>
      </c>
      <c r="K2276" s="51">
        <v>575</v>
      </c>
    </row>
    <row r="2277" spans="1:11">
      <c r="A2277" s="51">
        <v>2217</v>
      </c>
      <c r="B2277" s="51" t="s">
        <v>6637</v>
      </c>
      <c r="C2277" s="51">
        <v>575</v>
      </c>
      <c r="D2277" s="52" t="s">
        <v>3859</v>
      </c>
      <c r="E2277" s="52" t="s">
        <v>3858</v>
      </c>
      <c r="F2277" s="53" t="s">
        <v>6640</v>
      </c>
      <c r="G2277" s="51"/>
      <c r="H2277" s="54"/>
      <c r="I2277" s="55">
        <v>1130</v>
      </c>
      <c r="K2277" s="51">
        <v>575</v>
      </c>
    </row>
    <row r="2278" spans="1:11">
      <c r="A2278" s="51">
        <v>2218</v>
      </c>
      <c r="B2278" s="51" t="s">
        <v>6641</v>
      </c>
      <c r="C2278" s="51" t="s">
        <v>6642</v>
      </c>
      <c r="D2278" s="52" t="s">
        <v>3885</v>
      </c>
      <c r="E2278" s="52" t="s">
        <v>3884</v>
      </c>
      <c r="F2278" s="53" t="s">
        <v>4942</v>
      </c>
      <c r="G2278" s="51"/>
      <c r="H2278" s="54"/>
      <c r="I2278" s="55">
        <v>606</v>
      </c>
      <c r="K2278" s="51" t="s">
        <v>6642</v>
      </c>
    </row>
    <row r="2279" spans="1:11">
      <c r="A2279" s="51">
        <v>2219</v>
      </c>
      <c r="B2279" s="51" t="s">
        <v>6641</v>
      </c>
      <c r="C2279" s="51" t="s">
        <v>6642</v>
      </c>
      <c r="D2279" s="52" t="s">
        <v>2615</v>
      </c>
      <c r="E2279" s="52" t="s">
        <v>6643</v>
      </c>
      <c r="F2279" s="53" t="s">
        <v>6635</v>
      </c>
      <c r="G2279" s="51"/>
      <c r="H2279" s="54"/>
      <c r="I2279" s="55">
        <v>0</v>
      </c>
      <c r="K2279" s="51" t="s">
        <v>6642</v>
      </c>
    </row>
    <row r="2280" spans="1:11">
      <c r="A2280" s="51">
        <v>2220</v>
      </c>
      <c r="B2280" s="51" t="s">
        <v>6641</v>
      </c>
      <c r="C2280" s="51" t="s">
        <v>6642</v>
      </c>
      <c r="D2280" s="52" t="s">
        <v>2827</v>
      </c>
      <c r="E2280" s="52" t="s">
        <v>2826</v>
      </c>
      <c r="F2280" s="53" t="s">
        <v>6585</v>
      </c>
      <c r="G2280" s="51"/>
      <c r="H2280" s="54"/>
      <c r="I2280" s="55">
        <v>817</v>
      </c>
      <c r="K2280" s="51" t="s">
        <v>6642</v>
      </c>
    </row>
    <row r="2281" spans="1:11">
      <c r="A2281" s="51">
        <v>2221</v>
      </c>
      <c r="B2281" s="51" t="s">
        <v>6641</v>
      </c>
      <c r="C2281" s="51" t="s">
        <v>6642</v>
      </c>
      <c r="D2281" s="52" t="s">
        <v>2865</v>
      </c>
      <c r="E2281" s="52" t="s">
        <v>2864</v>
      </c>
      <c r="F2281" s="53" t="s">
        <v>6644</v>
      </c>
      <c r="G2281" s="51"/>
      <c r="H2281" s="54"/>
      <c r="I2281" s="55">
        <v>2462</v>
      </c>
      <c r="K2281" s="51" t="s">
        <v>6642</v>
      </c>
    </row>
    <row r="2282" spans="1:11">
      <c r="A2282" s="51">
        <v>2222</v>
      </c>
      <c r="B2282" s="51" t="s">
        <v>6641</v>
      </c>
      <c r="C2282" s="51" t="s">
        <v>6642</v>
      </c>
      <c r="D2282" s="52" t="s">
        <v>2876</v>
      </c>
      <c r="E2282" s="52" t="s">
        <v>2871</v>
      </c>
      <c r="F2282" s="53" t="s">
        <v>6645</v>
      </c>
      <c r="G2282" s="51"/>
      <c r="H2282" s="54"/>
      <c r="I2282" s="55">
        <v>950</v>
      </c>
      <c r="K2282" s="51" t="s">
        <v>6642</v>
      </c>
    </row>
    <row r="2283" spans="1:11">
      <c r="A2283" s="51">
        <v>2223</v>
      </c>
      <c r="B2283" s="51" t="s">
        <v>6641</v>
      </c>
      <c r="C2283" s="51" t="s">
        <v>6642</v>
      </c>
      <c r="D2283" s="52" t="s">
        <v>2881</v>
      </c>
      <c r="E2283" s="52" t="s">
        <v>2877</v>
      </c>
      <c r="F2283" s="53" t="s">
        <v>6646</v>
      </c>
      <c r="G2283" s="51"/>
      <c r="H2283" s="54"/>
      <c r="I2283" s="55">
        <v>986</v>
      </c>
      <c r="K2283" s="51" t="s">
        <v>6642</v>
      </c>
    </row>
    <row r="2284" spans="1:11">
      <c r="A2284" s="51">
        <v>2224</v>
      </c>
      <c r="B2284" s="51" t="s">
        <v>6641</v>
      </c>
      <c r="C2284" s="51" t="s">
        <v>6642</v>
      </c>
      <c r="D2284" s="52" t="s">
        <v>2899</v>
      </c>
      <c r="E2284" s="52" t="s">
        <v>2895</v>
      </c>
      <c r="F2284" s="53" t="s">
        <v>6647</v>
      </c>
      <c r="G2284" s="51"/>
      <c r="H2284" s="54"/>
      <c r="I2284" s="55">
        <v>1127</v>
      </c>
      <c r="K2284" s="51" t="s">
        <v>6642</v>
      </c>
    </row>
    <row r="2285" spans="1:11">
      <c r="A2285" s="51">
        <v>2225</v>
      </c>
      <c r="B2285" s="51" t="s">
        <v>6641</v>
      </c>
      <c r="C2285" s="51" t="s">
        <v>6642</v>
      </c>
      <c r="D2285" s="52" t="s">
        <v>2587</v>
      </c>
      <c r="E2285" s="52" t="s">
        <v>2586</v>
      </c>
      <c r="F2285" s="53" t="s">
        <v>5263</v>
      </c>
      <c r="G2285" s="51"/>
      <c r="H2285" s="54"/>
      <c r="I2285" s="55">
        <v>0</v>
      </c>
      <c r="K2285" s="51" t="s">
        <v>6642</v>
      </c>
    </row>
    <row r="2286" spans="1:11">
      <c r="A2286" s="51">
        <v>2226</v>
      </c>
      <c r="B2286" s="51" t="s">
        <v>6648</v>
      </c>
      <c r="C2286" s="51" t="s">
        <v>6649</v>
      </c>
      <c r="D2286" s="52" t="s">
        <v>3885</v>
      </c>
      <c r="E2286" s="52" t="s">
        <v>3884</v>
      </c>
      <c r="F2286" s="53" t="s">
        <v>4942</v>
      </c>
      <c r="G2286" s="51"/>
      <c r="H2286" s="54"/>
      <c r="I2286" s="55">
        <v>0</v>
      </c>
      <c r="K2286" s="51" t="s">
        <v>6649</v>
      </c>
    </row>
    <row r="2287" spans="1:11">
      <c r="A2287" s="51">
        <v>2227</v>
      </c>
      <c r="B2287" s="51" t="s">
        <v>6648</v>
      </c>
      <c r="C2287" s="51" t="s">
        <v>6649</v>
      </c>
      <c r="D2287" s="52" t="s">
        <v>2691</v>
      </c>
      <c r="E2287" s="52" t="s">
        <v>2690</v>
      </c>
      <c r="F2287" s="53" t="s">
        <v>5262</v>
      </c>
      <c r="G2287" s="51"/>
      <c r="H2287" s="54"/>
      <c r="I2287" s="55">
        <v>0</v>
      </c>
      <c r="K2287" s="51" t="s">
        <v>6649</v>
      </c>
    </row>
    <row r="2288" spans="1:11">
      <c r="A2288" s="51">
        <v>2228</v>
      </c>
      <c r="B2288" s="51" t="s">
        <v>6648</v>
      </c>
      <c r="C2288" s="51" t="s">
        <v>6649</v>
      </c>
      <c r="D2288" s="52" t="s">
        <v>2615</v>
      </c>
      <c r="E2288" s="52" t="s">
        <v>6643</v>
      </c>
      <c r="F2288" s="53" t="s">
        <v>6635</v>
      </c>
      <c r="G2288" s="51"/>
      <c r="H2288" s="54"/>
      <c r="I2288" s="55">
        <v>2654</v>
      </c>
      <c r="K2288" s="51" t="s">
        <v>6649</v>
      </c>
    </row>
    <row r="2289" spans="1:11">
      <c r="A2289" s="51">
        <v>2229</v>
      </c>
      <c r="B2289" s="51" t="s">
        <v>6648</v>
      </c>
      <c r="C2289" s="51" t="s">
        <v>6649</v>
      </c>
      <c r="D2289" s="52" t="s">
        <v>2851</v>
      </c>
      <c r="E2289" s="52" t="s">
        <v>2850</v>
      </c>
      <c r="F2289" s="53" t="s">
        <v>6587</v>
      </c>
      <c r="G2289" s="51"/>
      <c r="H2289" s="54"/>
      <c r="I2289" s="55">
        <v>263</v>
      </c>
      <c r="K2289" s="51" t="s">
        <v>6649</v>
      </c>
    </row>
    <row r="2290" spans="1:11">
      <c r="A2290" s="51">
        <v>2230</v>
      </c>
      <c r="B2290" s="51" t="s">
        <v>6648</v>
      </c>
      <c r="C2290" s="51" t="s">
        <v>6649</v>
      </c>
      <c r="D2290" s="52" t="s">
        <v>2867</v>
      </c>
      <c r="E2290" s="52" t="s">
        <v>2866</v>
      </c>
      <c r="F2290" s="53" t="s">
        <v>6650</v>
      </c>
      <c r="G2290" s="51"/>
      <c r="H2290" s="54"/>
      <c r="I2290" s="55">
        <v>3775</v>
      </c>
      <c r="K2290" s="51" t="s">
        <v>6649</v>
      </c>
    </row>
    <row r="2291" spans="1:11">
      <c r="A2291" s="51">
        <v>2231</v>
      </c>
      <c r="B2291" s="51" t="s">
        <v>6648</v>
      </c>
      <c r="C2291" s="51" t="s">
        <v>6649</v>
      </c>
      <c r="D2291" s="52" t="s">
        <v>2889</v>
      </c>
      <c r="E2291" s="52" t="s">
        <v>2885</v>
      </c>
      <c r="F2291" s="53" t="s">
        <v>6651</v>
      </c>
      <c r="G2291" s="51"/>
      <c r="H2291" s="54"/>
      <c r="I2291" s="55">
        <v>1112</v>
      </c>
      <c r="K2291" s="51" t="s">
        <v>6649</v>
      </c>
    </row>
    <row r="2292" spans="1:11">
      <c r="A2292" s="51">
        <v>2232</v>
      </c>
      <c r="B2292" s="51" t="s">
        <v>6648</v>
      </c>
      <c r="C2292" s="51" t="s">
        <v>6649</v>
      </c>
      <c r="D2292" s="52" t="s">
        <v>2894</v>
      </c>
      <c r="E2292" s="52" t="s">
        <v>2890</v>
      </c>
      <c r="F2292" s="53" t="s">
        <v>6652</v>
      </c>
      <c r="G2292" s="51"/>
      <c r="H2292" s="54"/>
      <c r="I2292" s="55">
        <v>240</v>
      </c>
      <c r="K2292" s="51" t="s">
        <v>6649</v>
      </c>
    </row>
    <row r="2293" spans="1:11">
      <c r="A2293" s="51">
        <v>2233</v>
      </c>
      <c r="B2293" s="51" t="s">
        <v>6648</v>
      </c>
      <c r="C2293" s="51" t="s">
        <v>6649</v>
      </c>
      <c r="D2293" s="52" t="s">
        <v>2913</v>
      </c>
      <c r="E2293" s="52" t="s">
        <v>2909</v>
      </c>
      <c r="F2293" s="53" t="s">
        <v>6653</v>
      </c>
      <c r="G2293" s="51"/>
      <c r="H2293" s="54"/>
      <c r="I2293" s="55">
        <v>284</v>
      </c>
      <c r="K2293" s="51" t="s">
        <v>6649</v>
      </c>
    </row>
    <row r="2294" spans="1:11">
      <c r="A2294" s="51">
        <v>2234</v>
      </c>
      <c r="B2294" s="51" t="s">
        <v>6654</v>
      </c>
      <c r="C2294" s="51" t="s">
        <v>6655</v>
      </c>
      <c r="D2294" s="52" t="s">
        <v>2865</v>
      </c>
      <c r="E2294" s="52" t="s">
        <v>2864</v>
      </c>
      <c r="F2294" s="53" t="s">
        <v>6644</v>
      </c>
      <c r="G2294" s="51"/>
      <c r="H2294" s="54"/>
      <c r="I2294" s="55">
        <v>0</v>
      </c>
      <c r="K2294" s="51" t="s">
        <v>6655</v>
      </c>
    </row>
    <row r="2295" spans="1:11">
      <c r="A2295" s="51">
        <v>2235</v>
      </c>
      <c r="B2295" s="51" t="s">
        <v>6654</v>
      </c>
      <c r="C2295" s="51" t="s">
        <v>6655</v>
      </c>
      <c r="D2295" s="52" t="s">
        <v>2865</v>
      </c>
      <c r="E2295" s="52" t="s">
        <v>2864</v>
      </c>
      <c r="F2295" s="53" t="s">
        <v>6644</v>
      </c>
      <c r="G2295" s="51"/>
      <c r="H2295" s="54"/>
      <c r="I2295" s="55">
        <v>0</v>
      </c>
      <c r="K2295" s="51" t="s">
        <v>6655</v>
      </c>
    </row>
    <row r="2296" spans="1:11">
      <c r="A2296" s="51">
        <v>2236</v>
      </c>
      <c r="B2296" s="51" t="s">
        <v>6654</v>
      </c>
      <c r="C2296" s="51" t="s">
        <v>6655</v>
      </c>
      <c r="D2296" s="52" t="s">
        <v>2865</v>
      </c>
      <c r="E2296" s="52" t="s">
        <v>2864</v>
      </c>
      <c r="F2296" s="53" t="s">
        <v>6644</v>
      </c>
      <c r="G2296" s="51"/>
      <c r="H2296" s="54"/>
      <c r="I2296" s="55">
        <v>0</v>
      </c>
      <c r="K2296" s="51" t="s">
        <v>6655</v>
      </c>
    </row>
    <row r="2297" spans="1:11">
      <c r="A2297" s="51">
        <v>2237</v>
      </c>
      <c r="B2297" s="51" t="s">
        <v>6654</v>
      </c>
      <c r="C2297" s="51" t="s">
        <v>6655</v>
      </c>
      <c r="D2297" s="52" t="s">
        <v>2865</v>
      </c>
      <c r="E2297" s="52" t="s">
        <v>2864</v>
      </c>
      <c r="F2297" s="53" t="s">
        <v>6644</v>
      </c>
      <c r="G2297" s="51"/>
      <c r="H2297" s="54"/>
      <c r="I2297" s="55">
        <v>0</v>
      </c>
      <c r="K2297" s="51" t="s">
        <v>6655</v>
      </c>
    </row>
    <row r="2298" spans="1:11">
      <c r="A2298" s="51">
        <v>2238</v>
      </c>
      <c r="B2298" s="51" t="s">
        <v>6654</v>
      </c>
      <c r="C2298" s="51" t="s">
        <v>6655</v>
      </c>
      <c r="D2298" s="52" t="s">
        <v>2865</v>
      </c>
      <c r="E2298" s="52" t="s">
        <v>2864</v>
      </c>
      <c r="F2298" s="53" t="s">
        <v>6644</v>
      </c>
      <c r="G2298" s="51"/>
      <c r="H2298" s="54"/>
      <c r="I2298" s="55">
        <v>0</v>
      </c>
      <c r="K2298" s="51" t="s">
        <v>6655</v>
      </c>
    </row>
    <row r="2299" spans="1:11">
      <c r="A2299" s="51">
        <v>2239</v>
      </c>
      <c r="B2299" s="51" t="s">
        <v>6654</v>
      </c>
      <c r="C2299" s="51" t="s">
        <v>6655</v>
      </c>
      <c r="D2299" s="52" t="s">
        <v>2865</v>
      </c>
      <c r="E2299" s="52" t="s">
        <v>2864</v>
      </c>
      <c r="F2299" s="53" t="s">
        <v>6644</v>
      </c>
      <c r="G2299" s="51"/>
      <c r="H2299" s="54"/>
      <c r="I2299" s="55">
        <v>0</v>
      </c>
      <c r="K2299" s="51" t="s">
        <v>6655</v>
      </c>
    </row>
    <row r="2300" spans="1:11">
      <c r="A2300" s="51">
        <v>2240</v>
      </c>
      <c r="B2300" s="51" t="s">
        <v>6654</v>
      </c>
      <c r="C2300" s="51" t="s">
        <v>6655</v>
      </c>
      <c r="D2300" s="52" t="s">
        <v>2865</v>
      </c>
      <c r="E2300" s="52" t="s">
        <v>2864</v>
      </c>
      <c r="F2300" s="53" t="s">
        <v>6644</v>
      </c>
      <c r="G2300" s="51"/>
      <c r="H2300" s="54"/>
      <c r="I2300" s="55">
        <v>0</v>
      </c>
      <c r="K2300" s="51" t="s">
        <v>6655</v>
      </c>
    </row>
    <row r="2301" spans="1:11">
      <c r="A2301" s="51">
        <v>2241</v>
      </c>
      <c r="B2301" s="51" t="s">
        <v>6654</v>
      </c>
      <c r="C2301" s="51" t="s">
        <v>6655</v>
      </c>
      <c r="D2301" s="52" t="s">
        <v>2865</v>
      </c>
      <c r="E2301" s="52" t="s">
        <v>2864</v>
      </c>
      <c r="F2301" s="53" t="s">
        <v>6644</v>
      </c>
      <c r="G2301" s="51"/>
      <c r="H2301" s="54"/>
      <c r="I2301" s="55">
        <v>0</v>
      </c>
      <c r="K2301" s="51" t="s">
        <v>6655</v>
      </c>
    </row>
    <row r="2302" spans="1:11">
      <c r="A2302" s="51">
        <v>2242</v>
      </c>
      <c r="B2302" s="51" t="s">
        <v>6656</v>
      </c>
      <c r="C2302" s="51" t="s">
        <v>6657</v>
      </c>
      <c r="D2302" s="52" t="s">
        <v>2867</v>
      </c>
      <c r="E2302" s="52" t="s">
        <v>2866</v>
      </c>
      <c r="F2302" s="53" t="s">
        <v>6650</v>
      </c>
      <c r="G2302" s="51"/>
      <c r="H2302" s="54"/>
      <c r="I2302" s="55">
        <v>1750</v>
      </c>
      <c r="K2302" s="51" t="s">
        <v>6657</v>
      </c>
    </row>
    <row r="2303" spans="1:11">
      <c r="A2303" s="51">
        <v>2243</v>
      </c>
      <c r="B2303" s="51" t="s">
        <v>6656</v>
      </c>
      <c r="C2303" s="51" t="s">
        <v>6657</v>
      </c>
      <c r="D2303" s="52" t="s">
        <v>2867</v>
      </c>
      <c r="E2303" s="52" t="s">
        <v>2866</v>
      </c>
      <c r="F2303" s="53" t="s">
        <v>6650</v>
      </c>
      <c r="G2303" s="51"/>
      <c r="H2303" s="54"/>
      <c r="I2303" s="55">
        <v>0</v>
      </c>
      <c r="K2303" s="51" t="s">
        <v>6657</v>
      </c>
    </row>
    <row r="2304" spans="1:11">
      <c r="A2304" s="51">
        <v>2244</v>
      </c>
      <c r="B2304" s="51" t="s">
        <v>6656</v>
      </c>
      <c r="C2304" s="51" t="s">
        <v>6657</v>
      </c>
      <c r="D2304" s="52" t="s">
        <v>2867</v>
      </c>
      <c r="E2304" s="52" t="s">
        <v>2866</v>
      </c>
      <c r="F2304" s="53" t="s">
        <v>6650</v>
      </c>
      <c r="G2304" s="51"/>
      <c r="H2304" s="54"/>
      <c r="I2304" s="55">
        <v>0</v>
      </c>
      <c r="K2304" s="51" t="s">
        <v>6657</v>
      </c>
    </row>
    <row r="2305" spans="1:11">
      <c r="A2305" s="51">
        <v>2245</v>
      </c>
      <c r="B2305" s="51" t="s">
        <v>6656</v>
      </c>
      <c r="C2305" s="51" t="s">
        <v>6657</v>
      </c>
      <c r="D2305" s="52" t="s">
        <v>2867</v>
      </c>
      <c r="E2305" s="52" t="s">
        <v>2866</v>
      </c>
      <c r="F2305" s="53" t="s">
        <v>6650</v>
      </c>
      <c r="G2305" s="51"/>
      <c r="H2305" s="54"/>
      <c r="I2305" s="55">
        <v>0</v>
      </c>
      <c r="K2305" s="51" t="s">
        <v>6657</v>
      </c>
    </row>
    <row r="2306" spans="1:11">
      <c r="A2306" s="51">
        <v>2246</v>
      </c>
      <c r="B2306" s="51" t="s">
        <v>6656</v>
      </c>
      <c r="C2306" s="51" t="s">
        <v>6657</v>
      </c>
      <c r="D2306" s="52" t="s">
        <v>2867</v>
      </c>
      <c r="E2306" s="52" t="s">
        <v>2866</v>
      </c>
      <c r="F2306" s="53" t="s">
        <v>6650</v>
      </c>
      <c r="G2306" s="51"/>
      <c r="H2306" s="54"/>
      <c r="I2306" s="55">
        <v>0</v>
      </c>
      <c r="K2306" s="51" t="s">
        <v>6657</v>
      </c>
    </row>
    <row r="2307" spans="1:11">
      <c r="A2307" s="51">
        <v>2247</v>
      </c>
      <c r="B2307" s="51" t="s">
        <v>6656</v>
      </c>
      <c r="C2307" s="51" t="s">
        <v>6657</v>
      </c>
      <c r="D2307" s="52" t="s">
        <v>2867</v>
      </c>
      <c r="E2307" s="52" t="s">
        <v>2866</v>
      </c>
      <c r="F2307" s="53" t="s">
        <v>6650</v>
      </c>
      <c r="G2307" s="51"/>
      <c r="H2307" s="54"/>
      <c r="I2307" s="55">
        <v>0</v>
      </c>
      <c r="K2307" s="51" t="s">
        <v>6657</v>
      </c>
    </row>
    <row r="2308" spans="1:11">
      <c r="A2308" s="51">
        <v>2248</v>
      </c>
      <c r="B2308" s="51" t="s">
        <v>6656</v>
      </c>
      <c r="C2308" s="51" t="s">
        <v>6657</v>
      </c>
      <c r="D2308" s="52" t="s">
        <v>2867</v>
      </c>
      <c r="E2308" s="52" t="s">
        <v>2866</v>
      </c>
      <c r="F2308" s="53" t="s">
        <v>6650</v>
      </c>
      <c r="G2308" s="51"/>
      <c r="H2308" s="54"/>
      <c r="I2308" s="55">
        <v>0</v>
      </c>
      <c r="K2308" s="51" t="s">
        <v>6657</v>
      </c>
    </row>
    <row r="2309" spans="1:11">
      <c r="A2309" s="51">
        <v>2249</v>
      </c>
      <c r="B2309" s="51" t="s">
        <v>6656</v>
      </c>
      <c r="C2309" s="51" t="s">
        <v>6657</v>
      </c>
      <c r="D2309" s="52" t="s">
        <v>2867</v>
      </c>
      <c r="E2309" s="52" t="s">
        <v>2866</v>
      </c>
      <c r="F2309" s="53" t="s">
        <v>6650</v>
      </c>
      <c r="G2309" s="51"/>
      <c r="H2309" s="54"/>
      <c r="I2309" s="55">
        <v>0</v>
      </c>
      <c r="K2309" s="51" t="s">
        <v>6657</v>
      </c>
    </row>
    <row r="2310" spans="1:11">
      <c r="A2310" s="51">
        <v>2250</v>
      </c>
      <c r="B2310" s="51" t="s">
        <v>6658</v>
      </c>
      <c r="C2310" s="51" t="s">
        <v>6659</v>
      </c>
      <c r="D2310" s="52" t="s">
        <v>2827</v>
      </c>
      <c r="E2310" s="52" t="s">
        <v>2826</v>
      </c>
      <c r="F2310" s="53" t="s">
        <v>6585</v>
      </c>
      <c r="G2310" s="51"/>
      <c r="H2310" s="54"/>
      <c r="I2310" s="55">
        <v>1750</v>
      </c>
      <c r="K2310" s="51" t="s">
        <v>6659</v>
      </c>
    </row>
    <row r="2311" spans="1:11">
      <c r="A2311" s="51">
        <v>2251</v>
      </c>
      <c r="B2311" s="51" t="s">
        <v>6658</v>
      </c>
      <c r="C2311" s="51" t="s">
        <v>6659</v>
      </c>
      <c r="D2311" s="52" t="s">
        <v>2827</v>
      </c>
      <c r="E2311" s="52" t="s">
        <v>2826</v>
      </c>
      <c r="F2311" s="53" t="s">
        <v>6585</v>
      </c>
      <c r="G2311" s="51"/>
      <c r="H2311" s="54"/>
      <c r="I2311" s="55">
        <v>1750</v>
      </c>
      <c r="K2311" s="51" t="s">
        <v>6659</v>
      </c>
    </row>
    <row r="2312" spans="1:11">
      <c r="A2312" s="51">
        <v>2252</v>
      </c>
      <c r="B2312" s="51" t="s">
        <v>6658</v>
      </c>
      <c r="C2312" s="51" t="s">
        <v>6659</v>
      </c>
      <c r="D2312" s="52" t="s">
        <v>2827</v>
      </c>
      <c r="E2312" s="52" t="s">
        <v>2826</v>
      </c>
      <c r="F2312" s="53" t="s">
        <v>6585</v>
      </c>
      <c r="G2312" s="51"/>
      <c r="H2312" s="54"/>
      <c r="I2312" s="55">
        <v>1750</v>
      </c>
      <c r="K2312" s="51" t="s">
        <v>6659</v>
      </c>
    </row>
    <row r="2313" spans="1:11">
      <c r="A2313" s="51">
        <v>2253</v>
      </c>
      <c r="B2313" s="51" t="s">
        <v>6658</v>
      </c>
      <c r="C2313" s="51" t="s">
        <v>6659</v>
      </c>
      <c r="D2313" s="52" t="s">
        <v>2827</v>
      </c>
      <c r="E2313" s="52" t="s">
        <v>2826</v>
      </c>
      <c r="F2313" s="53" t="s">
        <v>6585</v>
      </c>
      <c r="G2313" s="51"/>
      <c r="H2313" s="54"/>
      <c r="I2313" s="55">
        <v>2025</v>
      </c>
      <c r="K2313" s="51" t="s">
        <v>6659</v>
      </c>
    </row>
    <row r="2314" spans="1:11">
      <c r="A2314" s="51">
        <v>2254</v>
      </c>
      <c r="B2314" s="51" t="s">
        <v>6658</v>
      </c>
      <c r="C2314" s="51" t="s">
        <v>6659</v>
      </c>
      <c r="D2314" s="52" t="s">
        <v>2827</v>
      </c>
      <c r="E2314" s="52" t="s">
        <v>2826</v>
      </c>
      <c r="F2314" s="53" t="s">
        <v>6585</v>
      </c>
      <c r="G2314" s="51"/>
      <c r="H2314" s="54"/>
      <c r="I2314" s="55">
        <v>0</v>
      </c>
      <c r="K2314" s="51" t="s">
        <v>6659</v>
      </c>
    </row>
    <row r="2315" spans="1:11">
      <c r="A2315" s="51">
        <v>2255</v>
      </c>
      <c r="B2315" s="51" t="s">
        <v>6658</v>
      </c>
      <c r="C2315" s="51" t="s">
        <v>6659</v>
      </c>
      <c r="D2315" s="52" t="s">
        <v>2827</v>
      </c>
      <c r="E2315" s="52" t="s">
        <v>2826</v>
      </c>
      <c r="F2315" s="53" t="s">
        <v>6585</v>
      </c>
      <c r="G2315" s="51"/>
      <c r="H2315" s="54"/>
      <c r="I2315" s="55">
        <v>0</v>
      </c>
      <c r="K2315" s="51" t="s">
        <v>6659</v>
      </c>
    </row>
    <row r="2316" spans="1:11">
      <c r="A2316" s="51">
        <v>2256</v>
      </c>
      <c r="B2316" s="51" t="s">
        <v>6658</v>
      </c>
      <c r="C2316" s="51" t="s">
        <v>6659</v>
      </c>
      <c r="D2316" s="52" t="s">
        <v>2827</v>
      </c>
      <c r="E2316" s="52" t="s">
        <v>2826</v>
      </c>
      <c r="F2316" s="53" t="s">
        <v>6585</v>
      </c>
      <c r="G2316" s="51"/>
      <c r="H2316" s="54"/>
      <c r="I2316" s="55">
        <v>0</v>
      </c>
      <c r="K2316" s="51" t="s">
        <v>6659</v>
      </c>
    </row>
    <row r="2317" spans="1:11">
      <c r="A2317" s="51">
        <v>2257</v>
      </c>
      <c r="B2317" s="51" t="s">
        <v>6658</v>
      </c>
      <c r="C2317" s="51" t="s">
        <v>6659</v>
      </c>
      <c r="D2317" s="52" t="s">
        <v>2827</v>
      </c>
      <c r="E2317" s="52" t="s">
        <v>2826</v>
      </c>
      <c r="F2317" s="53" t="s">
        <v>6585</v>
      </c>
      <c r="G2317" s="51"/>
      <c r="H2317" s="54"/>
      <c r="I2317" s="55">
        <v>0</v>
      </c>
      <c r="K2317" s="51" t="s">
        <v>6659</v>
      </c>
    </row>
    <row r="2318" spans="1:11">
      <c r="A2318" s="51">
        <v>2258</v>
      </c>
      <c r="B2318" s="51" t="s">
        <v>6660</v>
      </c>
      <c r="C2318" s="51" t="s">
        <v>6661</v>
      </c>
      <c r="D2318" s="52" t="s">
        <v>2851</v>
      </c>
      <c r="E2318" s="52" t="s">
        <v>2850</v>
      </c>
      <c r="F2318" s="53" t="s">
        <v>6587</v>
      </c>
      <c r="G2318" s="51"/>
      <c r="H2318" s="54"/>
      <c r="I2318" s="55">
        <v>0</v>
      </c>
      <c r="K2318" s="51" t="s">
        <v>6661</v>
      </c>
    </row>
    <row r="2319" spans="1:11">
      <c r="A2319" s="51">
        <v>2259</v>
      </c>
      <c r="B2319" s="51" t="s">
        <v>6660</v>
      </c>
      <c r="C2319" s="51" t="s">
        <v>6661</v>
      </c>
      <c r="D2319" s="52" t="s">
        <v>2851</v>
      </c>
      <c r="E2319" s="52" t="s">
        <v>2850</v>
      </c>
      <c r="F2319" s="53" t="s">
        <v>6587</v>
      </c>
      <c r="G2319" s="51"/>
      <c r="H2319" s="54"/>
      <c r="I2319" s="55">
        <v>0</v>
      </c>
      <c r="K2319" s="51" t="s">
        <v>6661</v>
      </c>
    </row>
    <row r="2320" spans="1:11">
      <c r="A2320" s="51">
        <v>2260</v>
      </c>
      <c r="B2320" s="51" t="s">
        <v>6660</v>
      </c>
      <c r="C2320" s="51" t="s">
        <v>6661</v>
      </c>
      <c r="D2320" s="52" t="s">
        <v>2851</v>
      </c>
      <c r="E2320" s="52" t="s">
        <v>2850</v>
      </c>
      <c r="F2320" s="53" t="s">
        <v>6587</v>
      </c>
      <c r="G2320" s="51"/>
      <c r="H2320" s="54"/>
      <c r="I2320" s="55">
        <v>0</v>
      </c>
      <c r="K2320" s="51" t="s">
        <v>6661</v>
      </c>
    </row>
    <row r="2321" spans="1:11">
      <c r="A2321" s="51">
        <v>2261</v>
      </c>
      <c r="B2321" s="51" t="s">
        <v>6660</v>
      </c>
      <c r="C2321" s="51" t="s">
        <v>6661</v>
      </c>
      <c r="D2321" s="52" t="s">
        <v>2851</v>
      </c>
      <c r="E2321" s="52" t="s">
        <v>2850</v>
      </c>
      <c r="F2321" s="53" t="s">
        <v>6587</v>
      </c>
      <c r="G2321" s="51"/>
      <c r="H2321" s="54"/>
      <c r="I2321" s="55">
        <v>0</v>
      </c>
      <c r="K2321" s="51" t="s">
        <v>6661</v>
      </c>
    </row>
    <row r="2322" spans="1:11">
      <c r="A2322" s="51">
        <v>2262</v>
      </c>
      <c r="B2322" s="51" t="s">
        <v>6660</v>
      </c>
      <c r="C2322" s="51" t="s">
        <v>6661</v>
      </c>
      <c r="D2322" s="52" t="s">
        <v>2851</v>
      </c>
      <c r="E2322" s="52" t="s">
        <v>2850</v>
      </c>
      <c r="F2322" s="53" t="s">
        <v>6587</v>
      </c>
      <c r="G2322" s="51"/>
      <c r="H2322" s="54"/>
      <c r="I2322" s="55">
        <v>0</v>
      </c>
      <c r="K2322" s="51" t="s">
        <v>6661</v>
      </c>
    </row>
    <row r="2323" spans="1:11">
      <c r="A2323" s="51">
        <v>2263</v>
      </c>
      <c r="B2323" s="51" t="s">
        <v>6660</v>
      </c>
      <c r="C2323" s="51" t="s">
        <v>6661</v>
      </c>
      <c r="D2323" s="52" t="s">
        <v>2851</v>
      </c>
      <c r="E2323" s="52" t="s">
        <v>2850</v>
      </c>
      <c r="F2323" s="53" t="s">
        <v>6587</v>
      </c>
      <c r="G2323" s="51"/>
      <c r="H2323" s="54"/>
      <c r="I2323" s="55">
        <v>0</v>
      </c>
      <c r="K2323" s="51" t="s">
        <v>6661</v>
      </c>
    </row>
    <row r="2324" spans="1:11">
      <c r="A2324" s="51">
        <v>2264</v>
      </c>
      <c r="B2324" s="51" t="s">
        <v>6660</v>
      </c>
      <c r="C2324" s="51" t="s">
        <v>6661</v>
      </c>
      <c r="D2324" s="52" t="s">
        <v>2851</v>
      </c>
      <c r="E2324" s="52" t="s">
        <v>2850</v>
      </c>
      <c r="F2324" s="53" t="s">
        <v>6587</v>
      </c>
      <c r="G2324" s="51"/>
      <c r="H2324" s="54"/>
      <c r="I2324" s="55">
        <v>0</v>
      </c>
      <c r="K2324" s="51" t="s">
        <v>6661</v>
      </c>
    </row>
    <row r="2325" spans="1:11">
      <c r="A2325" s="51">
        <v>2265</v>
      </c>
      <c r="B2325" s="51" t="s">
        <v>6660</v>
      </c>
      <c r="C2325" s="51" t="s">
        <v>6661</v>
      </c>
      <c r="D2325" s="52" t="s">
        <v>2851</v>
      </c>
      <c r="E2325" s="52" t="s">
        <v>2850</v>
      </c>
      <c r="F2325" s="53" t="s">
        <v>6587</v>
      </c>
      <c r="G2325" s="51"/>
      <c r="H2325" s="54"/>
      <c r="I2325" s="55">
        <v>0</v>
      </c>
      <c r="K2325" s="51" t="s">
        <v>6661</v>
      </c>
    </row>
    <row r="2326" spans="1:11">
      <c r="A2326" s="51">
        <v>2266</v>
      </c>
      <c r="B2326" s="51" t="s">
        <v>6662</v>
      </c>
      <c r="C2326" s="51" t="s">
        <v>6663</v>
      </c>
      <c r="D2326" s="52" t="s">
        <v>2691</v>
      </c>
      <c r="E2326" s="52" t="s">
        <v>2690</v>
      </c>
      <c r="F2326" s="53" t="s">
        <v>5262</v>
      </c>
      <c r="G2326" s="51"/>
      <c r="H2326" s="54"/>
      <c r="I2326" s="55">
        <v>1744</v>
      </c>
      <c r="K2326" s="51" t="s">
        <v>6663</v>
      </c>
    </row>
    <row r="2327" spans="1:11">
      <c r="A2327" s="51">
        <v>2267</v>
      </c>
      <c r="B2327" s="51" t="s">
        <v>6662</v>
      </c>
      <c r="C2327" s="51" t="s">
        <v>6663</v>
      </c>
      <c r="D2327" s="52" t="s">
        <v>2587</v>
      </c>
      <c r="E2327" s="52" t="s">
        <v>2586</v>
      </c>
      <c r="F2327" s="53" t="s">
        <v>5263</v>
      </c>
      <c r="G2327" s="51"/>
      <c r="H2327" s="54"/>
      <c r="I2327" s="55">
        <v>2712</v>
      </c>
      <c r="K2327" s="51" t="s">
        <v>6663</v>
      </c>
    </row>
    <row r="2328" spans="1:11">
      <c r="A2328" s="51">
        <v>2268</v>
      </c>
      <c r="B2328" s="51" t="s">
        <v>6664</v>
      </c>
      <c r="C2328" s="51" t="s">
        <v>6665</v>
      </c>
      <c r="D2328" s="52" t="s">
        <v>2691</v>
      </c>
      <c r="E2328" s="52" t="s">
        <v>2690</v>
      </c>
      <c r="F2328" s="53" t="s">
        <v>5262</v>
      </c>
      <c r="G2328" s="51"/>
      <c r="H2328" s="54"/>
      <c r="I2328" s="55">
        <v>720</v>
      </c>
      <c r="K2328" s="51" t="s">
        <v>6665</v>
      </c>
    </row>
    <row r="2329" spans="1:11">
      <c r="A2329" s="51">
        <v>2269</v>
      </c>
      <c r="B2329" s="51" t="s">
        <v>6664</v>
      </c>
      <c r="C2329" s="51" t="s">
        <v>6665</v>
      </c>
      <c r="D2329" s="52" t="s">
        <v>2587</v>
      </c>
      <c r="E2329" s="52" t="s">
        <v>2586</v>
      </c>
      <c r="F2329" s="53" t="s">
        <v>5263</v>
      </c>
      <c r="G2329" s="51"/>
      <c r="H2329" s="54"/>
      <c r="I2329" s="55">
        <v>3264</v>
      </c>
      <c r="K2329" s="51" t="s">
        <v>6665</v>
      </c>
    </row>
    <row r="2330" spans="1:11">
      <c r="A2330" s="51" t="s">
        <v>6666</v>
      </c>
      <c r="B2330" s="51" t="s">
        <v>6664</v>
      </c>
      <c r="C2330" s="51"/>
      <c r="D2330" s="52" t="s">
        <v>2691</v>
      </c>
      <c r="E2330" s="52" t="s">
        <v>2690</v>
      </c>
      <c r="F2330" s="53"/>
      <c r="G2330" s="51"/>
      <c r="H2330" s="54"/>
      <c r="I2330" s="55">
        <v>1824</v>
      </c>
      <c r="K2330" s="51"/>
    </row>
    <row r="2331" spans="1:11">
      <c r="A2331" s="51" t="s">
        <v>6667</v>
      </c>
      <c r="B2331" s="51" t="s">
        <v>6664</v>
      </c>
      <c r="C2331" s="51"/>
      <c r="D2331" s="52" t="s">
        <v>2691</v>
      </c>
      <c r="E2331" s="52" t="s">
        <v>2690</v>
      </c>
      <c r="F2331" s="53"/>
      <c r="G2331" s="51"/>
      <c r="H2331" s="54"/>
      <c r="I2331" s="55">
        <v>4032</v>
      </c>
      <c r="K2331" s="51"/>
    </row>
    <row r="2332" spans="1:11">
      <c r="A2332" s="51" t="s">
        <v>6668</v>
      </c>
      <c r="B2332" s="51" t="s">
        <v>6664</v>
      </c>
      <c r="C2332" s="51"/>
      <c r="D2332" s="52" t="s">
        <v>2587</v>
      </c>
      <c r="E2332" s="52" t="s">
        <v>2586</v>
      </c>
      <c r="F2332" s="53"/>
      <c r="G2332" s="51"/>
      <c r="H2332" s="54"/>
      <c r="I2332" s="55">
        <v>5760</v>
      </c>
      <c r="K2332" s="51"/>
    </row>
    <row r="2333" spans="1:11">
      <c r="A2333" s="51" t="s">
        <v>6669</v>
      </c>
      <c r="B2333" s="51" t="s">
        <v>6664</v>
      </c>
      <c r="C2333" s="51"/>
      <c r="D2333" s="52" t="s">
        <v>2587</v>
      </c>
      <c r="E2333" s="52" t="s">
        <v>2586</v>
      </c>
      <c r="F2333" s="53"/>
      <c r="G2333" s="51"/>
      <c r="H2333" s="54"/>
      <c r="I2333" s="55">
        <v>5856</v>
      </c>
      <c r="K2333" s="51"/>
    </row>
    <row r="2334" spans="1:11">
      <c r="A2334" s="51" t="s">
        <v>6670</v>
      </c>
      <c r="B2334" s="51" t="s">
        <v>6664</v>
      </c>
      <c r="C2334" s="51"/>
      <c r="D2334" s="52" t="s">
        <v>2587</v>
      </c>
      <c r="E2334" s="52" t="s">
        <v>2586</v>
      </c>
      <c r="F2334" s="53"/>
      <c r="G2334" s="51"/>
      <c r="H2334" s="54"/>
      <c r="I2334" s="55">
        <v>5184</v>
      </c>
      <c r="K2334" s="51"/>
    </row>
    <row r="2335" spans="1:11">
      <c r="A2335" s="51" t="s">
        <v>6671</v>
      </c>
      <c r="B2335" s="51" t="s">
        <v>6664</v>
      </c>
      <c r="C2335" s="51"/>
      <c r="D2335" s="52" t="s">
        <v>2587</v>
      </c>
      <c r="E2335" s="52" t="s">
        <v>2586</v>
      </c>
      <c r="F2335" s="53"/>
      <c r="G2335" s="51"/>
      <c r="H2335" s="54"/>
      <c r="I2335" s="55">
        <v>3093</v>
      </c>
      <c r="K2335" s="51"/>
    </row>
    <row r="2336" spans="1:11">
      <c r="A2336" s="51" t="s">
        <v>6672</v>
      </c>
      <c r="B2336" s="51" t="s">
        <v>6664</v>
      </c>
      <c r="C2336" s="51"/>
      <c r="D2336" s="52" t="s">
        <v>2587</v>
      </c>
      <c r="E2336" s="52" t="s">
        <v>2586</v>
      </c>
      <c r="F2336" s="53"/>
      <c r="G2336" s="51"/>
      <c r="H2336" s="54"/>
      <c r="I2336" s="55">
        <v>576</v>
      </c>
      <c r="K2336" s="51"/>
    </row>
    <row r="2337" spans="1:11">
      <c r="A2337" s="51">
        <v>2270</v>
      </c>
      <c r="B2337" s="51" t="s">
        <v>6673</v>
      </c>
      <c r="C2337" s="51" t="s">
        <v>6674</v>
      </c>
      <c r="D2337" s="52" t="s">
        <v>4374</v>
      </c>
      <c r="E2337" s="52" t="s">
        <v>4373</v>
      </c>
      <c r="F2337" s="53" t="s">
        <v>6675</v>
      </c>
      <c r="G2337" s="51"/>
      <c r="H2337" s="54"/>
      <c r="I2337" s="55">
        <v>2</v>
      </c>
      <c r="K2337" s="51" t="s">
        <v>6674</v>
      </c>
    </row>
    <row r="2338" spans="1:11">
      <c r="A2338" s="51">
        <v>2271</v>
      </c>
      <c r="B2338" s="51" t="s">
        <v>6673</v>
      </c>
      <c r="C2338" s="51" t="s">
        <v>6674</v>
      </c>
      <c r="D2338" s="52" t="s">
        <v>3816</v>
      </c>
      <c r="E2338" s="52" t="s">
        <v>3815</v>
      </c>
      <c r="F2338" s="53" t="s">
        <v>4972</v>
      </c>
      <c r="G2338" s="51"/>
      <c r="H2338" s="54"/>
      <c r="I2338" s="55">
        <v>502</v>
      </c>
      <c r="K2338" s="51" t="s">
        <v>6674</v>
      </c>
    </row>
    <row r="2339" spans="1:11">
      <c r="A2339" s="51">
        <v>2272</v>
      </c>
      <c r="B2339" s="51" t="s">
        <v>6673</v>
      </c>
      <c r="C2339" s="51" t="s">
        <v>6674</v>
      </c>
      <c r="D2339" s="52" t="s">
        <v>6676</v>
      </c>
      <c r="E2339" s="52" t="s">
        <v>6677</v>
      </c>
      <c r="F2339" s="53" t="s">
        <v>6678</v>
      </c>
      <c r="G2339" s="51"/>
      <c r="H2339" s="54"/>
      <c r="I2339" s="55">
        <v>6</v>
      </c>
      <c r="K2339" s="51" t="s">
        <v>6674</v>
      </c>
    </row>
    <row r="2340" spans="1:11">
      <c r="A2340" s="51">
        <v>2273</v>
      </c>
      <c r="B2340" s="51" t="s">
        <v>6673</v>
      </c>
      <c r="C2340" s="51" t="s">
        <v>6674</v>
      </c>
      <c r="D2340" s="52" t="s">
        <v>151</v>
      </c>
      <c r="E2340" s="52" t="s">
        <v>150</v>
      </c>
      <c r="F2340" s="53" t="s">
        <v>6679</v>
      </c>
      <c r="G2340" s="51"/>
      <c r="H2340" s="54"/>
      <c r="I2340" s="55">
        <v>0</v>
      </c>
      <c r="K2340" s="51" t="s">
        <v>6674</v>
      </c>
    </row>
    <row r="2341" spans="1:11">
      <c r="A2341" s="51">
        <v>2274</v>
      </c>
      <c r="B2341" s="51" t="s">
        <v>6673</v>
      </c>
      <c r="C2341" s="51" t="s">
        <v>6674</v>
      </c>
      <c r="D2341" s="52" t="s">
        <v>6680</v>
      </c>
      <c r="E2341" s="52" t="s">
        <v>6681</v>
      </c>
      <c r="F2341" s="53" t="s">
        <v>6678</v>
      </c>
      <c r="G2341" s="51"/>
      <c r="H2341" s="54"/>
      <c r="I2341" s="55">
        <v>47</v>
      </c>
      <c r="K2341" s="51" t="s">
        <v>6674</v>
      </c>
    </row>
    <row r="2342" spans="1:11">
      <c r="A2342" s="51">
        <v>2275</v>
      </c>
      <c r="B2342" s="51" t="s">
        <v>6673</v>
      </c>
      <c r="C2342" s="51" t="s">
        <v>6674</v>
      </c>
      <c r="D2342" s="52" t="s">
        <v>6682</v>
      </c>
      <c r="E2342" s="52" t="s">
        <v>152</v>
      </c>
      <c r="F2342" s="53" t="s">
        <v>6678</v>
      </c>
      <c r="G2342" s="51" t="s">
        <v>4812</v>
      </c>
      <c r="H2342" s="54"/>
      <c r="I2342" s="55">
        <v>0</v>
      </c>
      <c r="K2342" s="51" t="s">
        <v>6674</v>
      </c>
    </row>
    <row r="2343" spans="1:11">
      <c r="A2343" s="51">
        <v>2276</v>
      </c>
      <c r="B2343" s="51" t="s">
        <v>6673</v>
      </c>
      <c r="C2343" s="51" t="s">
        <v>6674</v>
      </c>
      <c r="D2343" s="52" t="s">
        <v>6683</v>
      </c>
      <c r="E2343" s="52" t="s">
        <v>6684</v>
      </c>
      <c r="F2343" s="53" t="s">
        <v>6685</v>
      </c>
      <c r="G2343" s="51" t="s">
        <v>4812</v>
      </c>
      <c r="H2343" s="54"/>
      <c r="I2343" s="55">
        <v>0</v>
      </c>
      <c r="K2343" s="51" t="s">
        <v>6674</v>
      </c>
    </row>
    <row r="2344" spans="1:11">
      <c r="A2344" s="51">
        <v>2277</v>
      </c>
      <c r="B2344" s="51" t="s">
        <v>6673</v>
      </c>
      <c r="C2344" s="51" t="s">
        <v>6674</v>
      </c>
      <c r="D2344" s="52" t="s">
        <v>6686</v>
      </c>
      <c r="E2344" s="52" t="s">
        <v>6687</v>
      </c>
      <c r="F2344" s="53" t="s">
        <v>6688</v>
      </c>
      <c r="G2344" s="51" t="s">
        <v>4812</v>
      </c>
      <c r="H2344" s="54"/>
      <c r="I2344" s="55">
        <v>0</v>
      </c>
      <c r="K2344" s="51" t="s">
        <v>6674</v>
      </c>
    </row>
    <row r="2345" spans="1:11">
      <c r="A2345" s="51">
        <v>2278</v>
      </c>
      <c r="B2345" s="51" t="s">
        <v>6673</v>
      </c>
      <c r="C2345" s="51" t="s">
        <v>6674</v>
      </c>
      <c r="D2345" s="52" t="s">
        <v>6689</v>
      </c>
      <c r="E2345" s="52" t="s">
        <v>6690</v>
      </c>
      <c r="F2345" s="53" t="s">
        <v>6691</v>
      </c>
      <c r="G2345" s="51" t="s">
        <v>4812</v>
      </c>
      <c r="H2345" s="54"/>
      <c r="I2345" s="55">
        <v>0</v>
      </c>
      <c r="K2345" s="51" t="s">
        <v>6674</v>
      </c>
    </row>
    <row r="2346" spans="1:11">
      <c r="A2346" s="51">
        <v>2279</v>
      </c>
      <c r="B2346" s="51" t="s">
        <v>6673</v>
      </c>
      <c r="C2346" s="51" t="s">
        <v>6674</v>
      </c>
      <c r="D2346" s="52" t="s">
        <v>6692</v>
      </c>
      <c r="E2346" s="52" t="s">
        <v>6693</v>
      </c>
      <c r="F2346" s="53" t="s">
        <v>6693</v>
      </c>
      <c r="G2346" s="51" t="s">
        <v>4812</v>
      </c>
      <c r="H2346" s="54"/>
      <c r="I2346" s="55">
        <v>0</v>
      </c>
      <c r="K2346" s="51" t="s">
        <v>6674</v>
      </c>
    </row>
    <row r="2347" spans="1:11">
      <c r="A2347" s="51">
        <v>2280</v>
      </c>
      <c r="B2347" s="51" t="s">
        <v>6673</v>
      </c>
      <c r="C2347" s="51" t="s">
        <v>6674</v>
      </c>
      <c r="D2347" s="52" t="s">
        <v>6694</v>
      </c>
      <c r="E2347" s="52" t="s">
        <v>6693</v>
      </c>
      <c r="F2347" s="53" t="s">
        <v>6693</v>
      </c>
      <c r="G2347" s="51" t="s">
        <v>4812</v>
      </c>
      <c r="H2347" s="54"/>
      <c r="I2347" s="55">
        <v>0</v>
      </c>
      <c r="K2347" s="51" t="s">
        <v>6674</v>
      </c>
    </row>
    <row r="2348" spans="1:11">
      <c r="A2348" s="51">
        <v>2281</v>
      </c>
      <c r="B2348" s="51" t="s">
        <v>6673</v>
      </c>
      <c r="C2348" s="51" t="s">
        <v>6674</v>
      </c>
      <c r="D2348" s="52" t="s">
        <v>3824</v>
      </c>
      <c r="E2348" s="52" t="s">
        <v>3823</v>
      </c>
      <c r="F2348" s="53" t="s">
        <v>6264</v>
      </c>
      <c r="G2348" s="51" t="s">
        <v>4812</v>
      </c>
      <c r="H2348" s="54"/>
      <c r="I2348" s="55">
        <v>800</v>
      </c>
      <c r="K2348" s="51" t="s">
        <v>6674</v>
      </c>
    </row>
    <row r="2349" spans="1:11">
      <c r="A2349" s="51">
        <v>2282</v>
      </c>
      <c r="B2349" s="51" t="s">
        <v>6673</v>
      </c>
      <c r="C2349" s="51" t="s">
        <v>6674</v>
      </c>
      <c r="D2349" s="52" t="s">
        <v>3827</v>
      </c>
      <c r="E2349" s="52" t="s">
        <v>3826</v>
      </c>
      <c r="F2349" s="53" t="s">
        <v>6264</v>
      </c>
      <c r="G2349" s="51" t="s">
        <v>4812</v>
      </c>
      <c r="H2349" s="54"/>
      <c r="I2349" s="55">
        <v>394</v>
      </c>
      <c r="K2349" s="51" t="s">
        <v>6674</v>
      </c>
    </row>
    <row r="2350" spans="1:11">
      <c r="A2350" s="51">
        <v>2283</v>
      </c>
      <c r="B2350" s="51" t="s">
        <v>6673</v>
      </c>
      <c r="C2350" s="51" t="s">
        <v>6674</v>
      </c>
      <c r="D2350" s="52" t="s">
        <v>3829</v>
      </c>
      <c r="E2350" s="52" t="s">
        <v>3828</v>
      </c>
      <c r="F2350" s="53" t="s">
        <v>6264</v>
      </c>
      <c r="G2350" s="51" t="s">
        <v>4812</v>
      </c>
      <c r="H2350" s="54"/>
      <c r="I2350" s="55">
        <v>407</v>
      </c>
      <c r="K2350" s="51" t="s">
        <v>6674</v>
      </c>
    </row>
    <row r="2351" spans="1:11">
      <c r="A2351" s="51">
        <v>2284</v>
      </c>
      <c r="B2351" s="51" t="s">
        <v>6673</v>
      </c>
      <c r="C2351" s="51" t="s">
        <v>6674</v>
      </c>
      <c r="D2351" s="52" t="s">
        <v>3810</v>
      </c>
      <c r="E2351" s="52" t="s">
        <v>3809</v>
      </c>
      <c r="F2351" s="53" t="s">
        <v>4972</v>
      </c>
      <c r="G2351" s="51" t="s">
        <v>4812</v>
      </c>
      <c r="H2351" s="54"/>
      <c r="I2351" s="55">
        <v>716</v>
      </c>
      <c r="K2351" s="51" t="s">
        <v>6674</v>
      </c>
    </row>
    <row r="2352" spans="1:11">
      <c r="A2352" s="51">
        <v>2285</v>
      </c>
      <c r="B2352" s="51" t="s">
        <v>6673</v>
      </c>
      <c r="C2352" s="51" t="s">
        <v>6674</v>
      </c>
      <c r="D2352" s="52" t="s">
        <v>155</v>
      </c>
      <c r="E2352" s="52" t="s">
        <v>154</v>
      </c>
      <c r="F2352" s="53" t="s">
        <v>6695</v>
      </c>
      <c r="G2352" s="51" t="s">
        <v>4812</v>
      </c>
      <c r="H2352" s="54"/>
      <c r="I2352" s="55">
        <v>407</v>
      </c>
      <c r="K2352" s="51" t="s">
        <v>6674</v>
      </c>
    </row>
    <row r="2353" spans="1:11">
      <c r="A2353" s="51">
        <v>2286</v>
      </c>
      <c r="B2353" s="51" t="s">
        <v>6673</v>
      </c>
      <c r="C2353" s="51" t="s">
        <v>6674</v>
      </c>
      <c r="D2353" s="52" t="s">
        <v>4368</v>
      </c>
      <c r="E2353" s="52" t="s">
        <v>4373</v>
      </c>
      <c r="F2353" s="53" t="s">
        <v>6696</v>
      </c>
      <c r="G2353" s="51" t="s">
        <v>4812</v>
      </c>
      <c r="H2353" s="54"/>
      <c r="I2353" s="55">
        <v>3</v>
      </c>
      <c r="K2353" s="51" t="s">
        <v>6674</v>
      </c>
    </row>
    <row r="2354" spans="1:11">
      <c r="A2354" s="51">
        <v>2287</v>
      </c>
      <c r="B2354" s="51" t="s">
        <v>6673</v>
      </c>
      <c r="C2354" s="51" t="s">
        <v>6674</v>
      </c>
      <c r="D2354" s="52" t="s">
        <v>143</v>
      </c>
      <c r="E2354" s="52" t="s">
        <v>142</v>
      </c>
      <c r="F2354" s="53" t="s">
        <v>6697</v>
      </c>
      <c r="G2354" s="51" t="s">
        <v>4812</v>
      </c>
      <c r="H2354" s="54"/>
      <c r="I2354" s="55">
        <v>34</v>
      </c>
      <c r="K2354" s="51" t="s">
        <v>6674</v>
      </c>
    </row>
    <row r="2355" spans="1:11">
      <c r="A2355" s="51">
        <v>2288</v>
      </c>
      <c r="B2355" s="51" t="s">
        <v>6673</v>
      </c>
      <c r="C2355" s="51" t="s">
        <v>6674</v>
      </c>
      <c r="D2355" s="52" t="s">
        <v>136</v>
      </c>
      <c r="E2355" s="52" t="s">
        <v>135</v>
      </c>
      <c r="F2355" s="53" t="s">
        <v>6698</v>
      </c>
      <c r="G2355" s="51" t="s">
        <v>4812</v>
      </c>
      <c r="H2355" s="54"/>
      <c r="I2355" s="55">
        <v>32</v>
      </c>
      <c r="K2355" s="51" t="s">
        <v>6674</v>
      </c>
    </row>
    <row r="2356" spans="1:11">
      <c r="A2356" s="51">
        <v>2289</v>
      </c>
      <c r="B2356" s="51" t="s">
        <v>6673</v>
      </c>
      <c r="C2356" s="51" t="s">
        <v>6674</v>
      </c>
      <c r="D2356" s="52" t="s">
        <v>139</v>
      </c>
      <c r="E2356" s="52" t="s">
        <v>138</v>
      </c>
      <c r="F2356" s="53" t="s">
        <v>6699</v>
      </c>
      <c r="G2356" s="51" t="s">
        <v>4812</v>
      </c>
      <c r="H2356" s="54"/>
      <c r="I2356" s="55">
        <v>445</v>
      </c>
      <c r="K2356" s="51" t="s">
        <v>6674</v>
      </c>
    </row>
    <row r="2357" spans="1:11">
      <c r="A2357" s="51">
        <v>2290</v>
      </c>
      <c r="B2357" s="51" t="s">
        <v>6673</v>
      </c>
      <c r="C2357" s="51" t="s">
        <v>6674</v>
      </c>
      <c r="D2357" s="52" t="s">
        <v>141</v>
      </c>
      <c r="E2357" s="52" t="s">
        <v>140</v>
      </c>
      <c r="F2357" s="53" t="s">
        <v>6700</v>
      </c>
      <c r="G2357" s="51" t="s">
        <v>4812</v>
      </c>
      <c r="H2357" s="54"/>
      <c r="I2357" s="55">
        <v>372</v>
      </c>
      <c r="K2357" s="51" t="s">
        <v>6674</v>
      </c>
    </row>
    <row r="2358" spans="1:11">
      <c r="A2358" s="51">
        <v>2291</v>
      </c>
      <c r="B2358" s="51" t="s">
        <v>6673</v>
      </c>
      <c r="C2358" s="51" t="s">
        <v>6674</v>
      </c>
      <c r="D2358" s="52" t="s">
        <v>145</v>
      </c>
      <c r="E2358" s="52" t="s">
        <v>144</v>
      </c>
      <c r="F2358" s="53" t="s">
        <v>6701</v>
      </c>
      <c r="G2358" s="51" t="s">
        <v>4812</v>
      </c>
      <c r="H2358" s="54"/>
      <c r="I2358" s="55">
        <v>77</v>
      </c>
      <c r="K2358" s="51" t="s">
        <v>6674</v>
      </c>
    </row>
    <row r="2359" spans="1:11">
      <c r="A2359" s="51">
        <v>2292</v>
      </c>
      <c r="B2359" s="51" t="s">
        <v>6673</v>
      </c>
      <c r="C2359" s="51" t="s">
        <v>6674</v>
      </c>
      <c r="D2359" s="52" t="s">
        <v>170</v>
      </c>
      <c r="E2359" s="52" t="s">
        <v>169</v>
      </c>
      <c r="F2359" s="53" t="s">
        <v>6702</v>
      </c>
      <c r="G2359" s="51" t="s">
        <v>4812</v>
      </c>
      <c r="H2359" s="54"/>
      <c r="I2359" s="55">
        <v>34</v>
      </c>
      <c r="K2359" s="51" t="s">
        <v>6674</v>
      </c>
    </row>
    <row r="2360" spans="1:11">
      <c r="A2360" s="51">
        <v>2293</v>
      </c>
      <c r="B2360" s="51" t="s">
        <v>6673</v>
      </c>
      <c r="C2360" s="51" t="s">
        <v>6674</v>
      </c>
      <c r="D2360" s="52" t="s">
        <v>172</v>
      </c>
      <c r="E2360" s="52" t="s">
        <v>6703</v>
      </c>
      <c r="F2360" s="53" t="s">
        <v>6704</v>
      </c>
      <c r="G2360" s="51" t="s">
        <v>4812</v>
      </c>
      <c r="H2360" s="54"/>
      <c r="I2360" s="55">
        <v>59</v>
      </c>
      <c r="K2360" s="51" t="s">
        <v>6674</v>
      </c>
    </row>
    <row r="2361" spans="1:11">
      <c r="A2361" s="51">
        <v>2294</v>
      </c>
      <c r="B2361" s="51" t="s">
        <v>6673</v>
      </c>
      <c r="C2361" s="51" t="s">
        <v>6674</v>
      </c>
      <c r="D2361" s="52" t="s">
        <v>166</v>
      </c>
      <c r="E2361" s="52" t="s">
        <v>165</v>
      </c>
      <c r="F2361" s="53" t="s">
        <v>6704</v>
      </c>
      <c r="G2361" s="51" t="s">
        <v>4812</v>
      </c>
      <c r="H2361" s="54"/>
      <c r="I2361" s="55">
        <v>10</v>
      </c>
      <c r="K2361" s="51" t="s">
        <v>6674</v>
      </c>
    </row>
    <row r="2362" spans="1:11">
      <c r="A2362" s="51">
        <v>2295</v>
      </c>
      <c r="B2362" s="51" t="s">
        <v>6673</v>
      </c>
      <c r="C2362" s="51" t="s">
        <v>6674</v>
      </c>
      <c r="D2362" s="52" t="s">
        <v>180</v>
      </c>
      <c r="E2362" s="52" t="s">
        <v>179</v>
      </c>
      <c r="F2362" s="53" t="s">
        <v>6705</v>
      </c>
      <c r="G2362" s="51" t="s">
        <v>4812</v>
      </c>
      <c r="H2362" s="54"/>
      <c r="I2362" s="55">
        <v>65</v>
      </c>
      <c r="K2362" s="51" t="s">
        <v>6674</v>
      </c>
    </row>
    <row r="2363" spans="1:11">
      <c r="A2363" s="51">
        <v>2296</v>
      </c>
      <c r="B2363" s="51" t="s">
        <v>6673</v>
      </c>
      <c r="C2363" s="51" t="s">
        <v>6674</v>
      </c>
      <c r="D2363" s="52" t="s">
        <v>182</v>
      </c>
      <c r="E2363" s="52" t="s">
        <v>181</v>
      </c>
      <c r="F2363" s="53" t="s">
        <v>6706</v>
      </c>
      <c r="G2363" s="51" t="s">
        <v>4812</v>
      </c>
      <c r="H2363" s="54"/>
      <c r="I2363" s="55">
        <v>87</v>
      </c>
      <c r="K2363" s="51" t="s">
        <v>6674</v>
      </c>
    </row>
    <row r="2364" spans="1:11">
      <c r="A2364" s="51">
        <v>2297</v>
      </c>
      <c r="B2364" s="51" t="s">
        <v>6673</v>
      </c>
      <c r="C2364" s="51" t="s">
        <v>6674</v>
      </c>
      <c r="D2364" s="52" t="s">
        <v>174</v>
      </c>
      <c r="E2364" s="52" t="s">
        <v>6707</v>
      </c>
      <c r="F2364" s="53" t="s">
        <v>6704</v>
      </c>
      <c r="G2364" s="51" t="s">
        <v>4812</v>
      </c>
      <c r="H2364" s="54"/>
      <c r="I2364" s="55">
        <v>63</v>
      </c>
      <c r="K2364" s="51" t="s">
        <v>6674</v>
      </c>
    </row>
    <row r="2365" spans="1:11">
      <c r="A2365" s="51">
        <v>2298</v>
      </c>
      <c r="B2365" s="51" t="s">
        <v>6708</v>
      </c>
      <c r="C2365" s="51" t="s">
        <v>6709</v>
      </c>
      <c r="D2365" s="52" t="s">
        <v>228</v>
      </c>
      <c r="E2365" s="52" t="s">
        <v>227</v>
      </c>
      <c r="F2365" s="53" t="s">
        <v>6710</v>
      </c>
      <c r="G2365" s="51" t="s">
        <v>4812</v>
      </c>
      <c r="H2365" s="54"/>
      <c r="I2365" s="55">
        <v>384</v>
      </c>
      <c r="K2365" s="51" t="s">
        <v>6709</v>
      </c>
    </row>
    <row r="2366" spans="1:11">
      <c r="A2366" s="51">
        <v>2299</v>
      </c>
      <c r="B2366" s="51" t="s">
        <v>6708</v>
      </c>
      <c r="C2366" s="51" t="s">
        <v>6709</v>
      </c>
      <c r="D2366" s="52" t="s">
        <v>347</v>
      </c>
      <c r="E2366" s="52" t="s">
        <v>346</v>
      </c>
      <c r="F2366" s="53" t="s">
        <v>6711</v>
      </c>
      <c r="G2366" s="51" t="s">
        <v>4812</v>
      </c>
      <c r="H2366" s="54"/>
      <c r="I2366" s="55">
        <v>480</v>
      </c>
      <c r="K2366" s="51" t="s">
        <v>6709</v>
      </c>
    </row>
    <row r="2367" spans="1:11">
      <c r="A2367" s="51">
        <v>2300</v>
      </c>
      <c r="B2367" s="51" t="s">
        <v>6708</v>
      </c>
      <c r="C2367" s="51" t="s">
        <v>6709</v>
      </c>
      <c r="D2367" s="52" t="s">
        <v>335</v>
      </c>
      <c r="E2367" s="52" t="s">
        <v>334</v>
      </c>
      <c r="F2367" s="53" t="s">
        <v>6712</v>
      </c>
      <c r="G2367" s="51" t="s">
        <v>4812</v>
      </c>
      <c r="H2367" s="54"/>
      <c r="I2367" s="55">
        <v>384</v>
      </c>
      <c r="K2367" s="51" t="s">
        <v>6709</v>
      </c>
    </row>
    <row r="2368" spans="1:11">
      <c r="A2368" s="51">
        <v>2301</v>
      </c>
      <c r="B2368" s="51" t="s">
        <v>6708</v>
      </c>
      <c r="C2368" s="51" t="s">
        <v>6709</v>
      </c>
      <c r="D2368" s="52" t="s">
        <v>323</v>
      </c>
      <c r="E2368" s="53" t="s">
        <v>322</v>
      </c>
      <c r="F2368" s="53" t="s">
        <v>5709</v>
      </c>
      <c r="G2368" s="51" t="s">
        <v>6713</v>
      </c>
      <c r="H2368" s="54"/>
      <c r="I2368" s="55">
        <v>240</v>
      </c>
      <c r="K2368" s="51" t="s">
        <v>6709</v>
      </c>
    </row>
    <row r="2369" spans="1:11">
      <c r="A2369" s="51">
        <v>2302</v>
      </c>
      <c r="B2369" s="51" t="s">
        <v>6708</v>
      </c>
      <c r="C2369" s="51" t="s">
        <v>6709</v>
      </c>
      <c r="D2369" s="52" t="s">
        <v>299</v>
      </c>
      <c r="E2369" s="53" t="s">
        <v>298</v>
      </c>
      <c r="F2369" s="53" t="s">
        <v>5708</v>
      </c>
      <c r="G2369" s="51" t="s">
        <v>6713</v>
      </c>
      <c r="H2369" s="54"/>
      <c r="I2369" s="55">
        <v>240</v>
      </c>
      <c r="K2369" s="51" t="s">
        <v>6709</v>
      </c>
    </row>
    <row r="2370" spans="1:11">
      <c r="A2370" s="51">
        <v>2303</v>
      </c>
      <c r="B2370" s="51" t="s">
        <v>4801</v>
      </c>
      <c r="C2370" s="51" t="s">
        <v>6714</v>
      </c>
      <c r="D2370" s="52" t="s">
        <v>6715</v>
      </c>
      <c r="E2370" s="52"/>
      <c r="F2370" s="53"/>
      <c r="G2370" s="51" t="s">
        <v>4812</v>
      </c>
      <c r="H2370" s="54"/>
      <c r="I2370" s="55">
        <v>137</v>
      </c>
      <c r="K2370" s="51" t="s">
        <v>6714</v>
      </c>
    </row>
    <row r="2371" spans="1:11">
      <c r="A2371" s="51">
        <v>2304</v>
      </c>
      <c r="B2371" s="51" t="s">
        <v>4801</v>
      </c>
      <c r="C2371" s="51" t="s">
        <v>6714</v>
      </c>
      <c r="D2371" s="52" t="s">
        <v>6716</v>
      </c>
      <c r="E2371" s="52"/>
      <c r="F2371" s="53"/>
      <c r="G2371" s="51" t="s">
        <v>4812</v>
      </c>
      <c r="H2371" s="54"/>
      <c r="I2371" s="55">
        <v>949</v>
      </c>
      <c r="K2371" s="51" t="s">
        <v>6714</v>
      </c>
    </row>
    <row r="2372" spans="1:11">
      <c r="A2372" s="51">
        <v>2305</v>
      </c>
      <c r="B2372" s="51" t="s">
        <v>4801</v>
      </c>
      <c r="C2372" s="51" t="s">
        <v>6714</v>
      </c>
      <c r="D2372" s="52" t="s">
        <v>6717</v>
      </c>
      <c r="E2372" s="52"/>
      <c r="F2372" s="53"/>
      <c r="G2372" s="51" t="s">
        <v>4812</v>
      </c>
      <c r="H2372" s="54"/>
      <c r="I2372" s="55">
        <v>196</v>
      </c>
      <c r="K2372" s="51" t="s">
        <v>6714</v>
      </c>
    </row>
    <row r="2373" spans="1:11">
      <c r="A2373" s="51">
        <v>2306</v>
      </c>
      <c r="B2373" s="51" t="s">
        <v>4801</v>
      </c>
      <c r="C2373" s="51" t="s">
        <v>6714</v>
      </c>
      <c r="D2373" s="52" t="s">
        <v>6718</v>
      </c>
      <c r="E2373" s="52"/>
      <c r="F2373" s="53"/>
      <c r="G2373" s="51" t="s">
        <v>4812</v>
      </c>
      <c r="H2373" s="54"/>
      <c r="I2373" s="55">
        <v>268</v>
      </c>
      <c r="K2373" s="51" t="s">
        <v>6714</v>
      </c>
    </row>
    <row r="2374" spans="1:11">
      <c r="A2374" s="51">
        <v>2307</v>
      </c>
      <c r="B2374" s="51" t="s">
        <v>4801</v>
      </c>
      <c r="C2374" s="51" t="s">
        <v>6714</v>
      </c>
      <c r="D2374" s="52" t="s">
        <v>6719</v>
      </c>
      <c r="E2374" s="52"/>
      <c r="F2374" s="53"/>
      <c r="G2374" s="51" t="s">
        <v>4812</v>
      </c>
      <c r="H2374" s="54"/>
      <c r="I2374" s="55">
        <v>600</v>
      </c>
      <c r="K2374" s="51" t="s">
        <v>6714</v>
      </c>
    </row>
    <row r="2375" spans="1:11">
      <c r="A2375" s="51">
        <v>2308</v>
      </c>
      <c r="B2375" s="51" t="s">
        <v>4801</v>
      </c>
      <c r="C2375" s="51" t="s">
        <v>6714</v>
      </c>
      <c r="D2375" s="52" t="s">
        <v>6720</v>
      </c>
      <c r="E2375" s="52"/>
      <c r="F2375" s="53"/>
      <c r="G2375" s="51" t="s">
        <v>4812</v>
      </c>
      <c r="H2375" s="54"/>
      <c r="I2375" s="55">
        <v>1092</v>
      </c>
      <c r="K2375" s="51" t="s">
        <v>6714</v>
      </c>
    </row>
    <row r="2376" spans="1:11">
      <c r="A2376" s="51">
        <v>2309</v>
      </c>
      <c r="B2376" s="51" t="s">
        <v>4801</v>
      </c>
      <c r="C2376" s="51" t="s">
        <v>6714</v>
      </c>
      <c r="D2376" s="52" t="s">
        <v>6721</v>
      </c>
      <c r="E2376" s="52"/>
      <c r="F2376" s="53"/>
      <c r="G2376" s="51" t="s">
        <v>4812</v>
      </c>
      <c r="H2376" s="54"/>
      <c r="I2376" s="55">
        <v>956</v>
      </c>
      <c r="K2376" s="51" t="s">
        <v>6714</v>
      </c>
    </row>
    <row r="2377" spans="1:11">
      <c r="A2377" s="51">
        <v>2310</v>
      </c>
      <c r="B2377" s="51" t="s">
        <v>4801</v>
      </c>
      <c r="C2377" s="51" t="s">
        <v>6714</v>
      </c>
      <c r="D2377" s="52" t="s">
        <v>6722</v>
      </c>
      <c r="E2377" s="52"/>
      <c r="F2377" s="53"/>
      <c r="G2377" s="51" t="s">
        <v>4812</v>
      </c>
      <c r="H2377" s="54"/>
      <c r="I2377" s="55">
        <v>994</v>
      </c>
      <c r="K2377" s="51" t="s">
        <v>6714</v>
      </c>
    </row>
    <row r="2378" spans="1:11">
      <c r="A2378" s="51">
        <v>2311</v>
      </c>
      <c r="B2378" s="51" t="s">
        <v>4801</v>
      </c>
      <c r="C2378" s="51" t="s">
        <v>6714</v>
      </c>
      <c r="D2378" s="52" t="s">
        <v>6723</v>
      </c>
      <c r="E2378" s="52"/>
      <c r="F2378" s="53"/>
      <c r="G2378" s="51" t="s">
        <v>4812</v>
      </c>
      <c r="H2378" s="54"/>
      <c r="I2378" s="55">
        <v>921</v>
      </c>
      <c r="K2378" s="51" t="s">
        <v>6714</v>
      </c>
    </row>
    <row r="2379" spans="1:11">
      <c r="A2379" s="51">
        <v>2312</v>
      </c>
      <c r="B2379" s="51" t="s">
        <v>4801</v>
      </c>
      <c r="C2379" s="51" t="s">
        <v>6714</v>
      </c>
      <c r="D2379" s="52" t="s">
        <v>6724</v>
      </c>
      <c r="E2379" s="52"/>
      <c r="F2379" s="53"/>
      <c r="G2379" s="51" t="s">
        <v>4812</v>
      </c>
      <c r="H2379" s="54"/>
      <c r="I2379" s="55">
        <v>1327</v>
      </c>
      <c r="K2379" s="51" t="s">
        <v>6714</v>
      </c>
    </row>
    <row r="2380" spans="1:11">
      <c r="A2380" s="51">
        <v>2313</v>
      </c>
      <c r="B2380" s="51" t="s">
        <v>4801</v>
      </c>
      <c r="C2380" s="51" t="s">
        <v>6714</v>
      </c>
      <c r="D2380" s="52" t="s">
        <v>6725</v>
      </c>
      <c r="E2380" s="52"/>
      <c r="F2380" s="53"/>
      <c r="G2380" s="51" t="s">
        <v>4812</v>
      </c>
      <c r="H2380" s="54"/>
      <c r="I2380" s="55">
        <v>756</v>
      </c>
      <c r="K2380" s="51" t="s">
        <v>6714</v>
      </c>
    </row>
    <row r="2381" spans="1:11">
      <c r="A2381" s="51">
        <v>2314</v>
      </c>
      <c r="B2381" s="51" t="s">
        <v>4801</v>
      </c>
      <c r="C2381" s="51" t="s">
        <v>6714</v>
      </c>
      <c r="D2381" s="52" t="s">
        <v>6726</v>
      </c>
      <c r="E2381" s="52"/>
      <c r="F2381" s="53"/>
      <c r="G2381" s="51" t="s">
        <v>4812</v>
      </c>
      <c r="H2381" s="54"/>
      <c r="I2381" s="55">
        <v>600</v>
      </c>
      <c r="K2381" s="51" t="s">
        <v>6714</v>
      </c>
    </row>
    <row r="2382" spans="1:11">
      <c r="A2382" s="51">
        <v>2315</v>
      </c>
      <c r="B2382" s="51" t="s">
        <v>4801</v>
      </c>
      <c r="C2382" s="51" t="s">
        <v>6714</v>
      </c>
      <c r="D2382" s="52" t="s">
        <v>56</v>
      </c>
      <c r="E2382" s="52" t="s">
        <v>18</v>
      </c>
      <c r="F2382" s="53" t="s">
        <v>6727</v>
      </c>
      <c r="G2382" s="51" t="s">
        <v>4812</v>
      </c>
      <c r="H2382" s="54"/>
      <c r="I2382" s="55">
        <v>3600</v>
      </c>
      <c r="K2382" s="51" t="s">
        <v>6714</v>
      </c>
    </row>
    <row r="2383" spans="1:11">
      <c r="A2383" s="51">
        <v>2316</v>
      </c>
      <c r="B2383" s="51" t="s">
        <v>4801</v>
      </c>
      <c r="C2383" s="51" t="s">
        <v>6714</v>
      </c>
      <c r="D2383" s="52" t="s">
        <v>53</v>
      </c>
      <c r="E2383" s="52" t="s">
        <v>15</v>
      </c>
      <c r="F2383" s="53" t="s">
        <v>6728</v>
      </c>
      <c r="G2383" s="51" t="s">
        <v>4812</v>
      </c>
      <c r="H2383" s="54"/>
      <c r="I2383" s="55">
        <v>3000</v>
      </c>
      <c r="K2383" s="51" t="s">
        <v>6714</v>
      </c>
    </row>
    <row r="2384" spans="1:11">
      <c r="A2384" s="51">
        <v>2317</v>
      </c>
      <c r="B2384" s="51" t="s">
        <v>4801</v>
      </c>
      <c r="C2384" s="51" t="s">
        <v>6714</v>
      </c>
      <c r="D2384" s="52" t="s">
        <v>54</v>
      </c>
      <c r="E2384" s="52" t="s">
        <v>16</v>
      </c>
      <c r="F2384" s="53" t="s">
        <v>6728</v>
      </c>
      <c r="G2384" s="51" t="s">
        <v>4812</v>
      </c>
      <c r="H2384" s="54"/>
      <c r="I2384" s="55">
        <v>300</v>
      </c>
      <c r="K2384" s="51" t="s">
        <v>6714</v>
      </c>
    </row>
    <row r="2385" spans="1:11">
      <c r="A2385" s="51">
        <v>2318</v>
      </c>
      <c r="B2385" s="51" t="s">
        <v>4801</v>
      </c>
      <c r="C2385" s="51" t="s">
        <v>6714</v>
      </c>
      <c r="D2385" s="52" t="s">
        <v>2032</v>
      </c>
      <c r="E2385" s="52" t="s">
        <v>2031</v>
      </c>
      <c r="F2385" s="53" t="s">
        <v>6728</v>
      </c>
      <c r="G2385" s="51" t="s">
        <v>4812</v>
      </c>
      <c r="H2385" s="54"/>
      <c r="I2385" s="55">
        <v>2450</v>
      </c>
      <c r="K2385" s="51" t="s">
        <v>6714</v>
      </c>
    </row>
    <row r="2386" spans="1:11">
      <c r="A2386" s="51">
        <v>2319</v>
      </c>
      <c r="B2386" s="51" t="s">
        <v>4801</v>
      </c>
      <c r="C2386" s="51" t="s">
        <v>6714</v>
      </c>
      <c r="D2386" s="52" t="s">
        <v>2026</v>
      </c>
      <c r="E2386" s="52" t="s">
        <v>2025</v>
      </c>
      <c r="F2386" s="53" t="s">
        <v>6729</v>
      </c>
      <c r="G2386" s="51" t="s">
        <v>4812</v>
      </c>
      <c r="H2386" s="54"/>
      <c r="I2386" s="55">
        <v>1200</v>
      </c>
      <c r="K2386" s="51" t="s">
        <v>6714</v>
      </c>
    </row>
    <row r="2387" spans="1:11">
      <c r="A2387" s="51">
        <v>2320</v>
      </c>
      <c r="B2387" s="51" t="s">
        <v>4801</v>
      </c>
      <c r="C2387" s="51" t="s">
        <v>6714</v>
      </c>
      <c r="D2387" s="52" t="s">
        <v>2036</v>
      </c>
      <c r="E2387" s="52" t="s">
        <v>2035</v>
      </c>
      <c r="F2387" s="53" t="s">
        <v>6729</v>
      </c>
      <c r="G2387" s="51" t="s">
        <v>4812</v>
      </c>
      <c r="H2387" s="54"/>
      <c r="I2387" s="55">
        <v>1200</v>
      </c>
      <c r="K2387" s="51" t="s">
        <v>6714</v>
      </c>
    </row>
    <row r="2388" spans="1:11">
      <c r="A2388" s="51">
        <v>2321</v>
      </c>
      <c r="B2388" s="51" t="s">
        <v>4801</v>
      </c>
      <c r="C2388" s="51" t="s">
        <v>6714</v>
      </c>
      <c r="D2388" s="52" t="s">
        <v>67</v>
      </c>
      <c r="E2388" s="52" t="s">
        <v>29</v>
      </c>
      <c r="F2388" s="53" t="s">
        <v>6730</v>
      </c>
      <c r="G2388" s="51" t="s">
        <v>4812</v>
      </c>
      <c r="H2388" s="54"/>
      <c r="I2388" s="55">
        <v>7000</v>
      </c>
      <c r="K2388" s="51" t="s">
        <v>6714</v>
      </c>
    </row>
    <row r="2389" spans="1:11">
      <c r="A2389" s="51">
        <v>2322</v>
      </c>
      <c r="B2389" s="51" t="s">
        <v>4801</v>
      </c>
      <c r="C2389" s="51" t="s">
        <v>6714</v>
      </c>
      <c r="D2389" s="52" t="s">
        <v>73</v>
      </c>
      <c r="E2389" s="52" t="s">
        <v>35</v>
      </c>
      <c r="F2389" s="53" t="s">
        <v>6731</v>
      </c>
      <c r="G2389" s="51" t="s">
        <v>4812</v>
      </c>
      <c r="H2389" s="54"/>
      <c r="I2389" s="55">
        <v>30000</v>
      </c>
      <c r="K2389" s="51" t="s">
        <v>6714</v>
      </c>
    </row>
    <row r="2390" spans="1:11">
      <c r="A2390" s="51">
        <v>2323</v>
      </c>
      <c r="B2390" s="51" t="s">
        <v>4801</v>
      </c>
      <c r="C2390" s="51" t="s">
        <v>6714</v>
      </c>
      <c r="D2390" s="52" t="s">
        <v>61</v>
      </c>
      <c r="E2390" s="52" t="s">
        <v>23</v>
      </c>
      <c r="F2390" s="53" t="s">
        <v>6732</v>
      </c>
      <c r="G2390" s="51" t="s">
        <v>4812</v>
      </c>
      <c r="H2390" s="54"/>
      <c r="I2390" s="55">
        <v>3000</v>
      </c>
      <c r="K2390" s="51" t="s">
        <v>6714</v>
      </c>
    </row>
    <row r="2391" spans="1:11">
      <c r="A2391" s="51">
        <v>2324</v>
      </c>
      <c r="B2391" s="51" t="s">
        <v>4801</v>
      </c>
      <c r="C2391" s="51" t="s">
        <v>6714</v>
      </c>
      <c r="D2391" s="52" t="s">
        <v>62</v>
      </c>
      <c r="E2391" s="52" t="s">
        <v>24</v>
      </c>
      <c r="F2391" s="53" t="s">
        <v>6733</v>
      </c>
      <c r="G2391" s="51" t="s">
        <v>4812</v>
      </c>
      <c r="H2391" s="54"/>
      <c r="I2391" s="55">
        <v>10000</v>
      </c>
      <c r="K2391" s="51" t="s">
        <v>6714</v>
      </c>
    </row>
    <row r="2392" spans="1:11">
      <c r="A2392" s="51">
        <v>2325</v>
      </c>
      <c r="B2392" s="51" t="s">
        <v>4801</v>
      </c>
      <c r="C2392" s="51" t="s">
        <v>6714</v>
      </c>
      <c r="D2392" s="52" t="s">
        <v>63</v>
      </c>
      <c r="E2392" s="52" t="s">
        <v>25</v>
      </c>
      <c r="F2392" s="53" t="s">
        <v>6734</v>
      </c>
      <c r="G2392" s="51" t="s">
        <v>4812</v>
      </c>
      <c r="H2392" s="54"/>
      <c r="I2392" s="55">
        <v>7000</v>
      </c>
      <c r="K2392" s="51" t="s">
        <v>6714</v>
      </c>
    </row>
    <row r="2393" spans="1:11">
      <c r="A2393" s="51">
        <v>2326</v>
      </c>
      <c r="B2393" s="51" t="s">
        <v>4801</v>
      </c>
      <c r="C2393" s="51" t="s">
        <v>6714</v>
      </c>
      <c r="D2393" s="52" t="s">
        <v>64</v>
      </c>
      <c r="E2393" s="52" t="s">
        <v>26</v>
      </c>
      <c r="F2393" s="53" t="s">
        <v>6735</v>
      </c>
      <c r="G2393" s="51" t="s">
        <v>4812</v>
      </c>
      <c r="H2393" s="54"/>
      <c r="I2393" s="55">
        <v>3000</v>
      </c>
      <c r="K2393" s="51" t="s">
        <v>6714</v>
      </c>
    </row>
    <row r="2394" spans="1:11">
      <c r="A2394" s="51">
        <v>2327</v>
      </c>
      <c r="B2394" s="51" t="s">
        <v>4801</v>
      </c>
      <c r="C2394" s="51" t="s">
        <v>6714</v>
      </c>
      <c r="D2394" s="52" t="s">
        <v>65</v>
      </c>
      <c r="E2394" s="52" t="s">
        <v>27</v>
      </c>
      <c r="F2394" s="53" t="s">
        <v>6736</v>
      </c>
      <c r="G2394" s="51" t="s">
        <v>4812</v>
      </c>
      <c r="H2394" s="54"/>
      <c r="I2394" s="55">
        <v>6010</v>
      </c>
      <c r="K2394" s="51" t="s">
        <v>6714</v>
      </c>
    </row>
    <row r="2395" spans="1:11">
      <c r="A2395" s="51">
        <v>2328</v>
      </c>
      <c r="B2395" s="51" t="s">
        <v>4801</v>
      </c>
      <c r="C2395" s="51" t="s">
        <v>6714</v>
      </c>
      <c r="D2395" s="52" t="s">
        <v>66</v>
      </c>
      <c r="E2395" s="52" t="s">
        <v>28</v>
      </c>
      <c r="F2395" s="53" t="s">
        <v>6737</v>
      </c>
      <c r="G2395" s="51" t="s">
        <v>4812</v>
      </c>
      <c r="H2395" s="54"/>
      <c r="I2395" s="55">
        <v>5240</v>
      </c>
      <c r="K2395" s="51" t="s">
        <v>6714</v>
      </c>
    </row>
    <row r="2396" spans="1:11">
      <c r="A2396" s="51">
        <v>2329</v>
      </c>
      <c r="B2396" s="51" t="s">
        <v>4801</v>
      </c>
      <c r="C2396" s="51" t="s">
        <v>6714</v>
      </c>
      <c r="D2396" s="52" t="s">
        <v>4079</v>
      </c>
      <c r="E2396" s="52" t="s">
        <v>4078</v>
      </c>
      <c r="F2396" s="53" t="s">
        <v>6738</v>
      </c>
      <c r="G2396" s="51" t="s">
        <v>4812</v>
      </c>
      <c r="H2396" s="54"/>
      <c r="I2396" s="55">
        <v>1624</v>
      </c>
      <c r="K2396" s="51" t="s">
        <v>6714</v>
      </c>
    </row>
    <row r="2397" spans="1:11">
      <c r="A2397" s="51">
        <v>2330</v>
      </c>
      <c r="B2397" s="51" t="s">
        <v>4801</v>
      </c>
      <c r="C2397" s="51" t="s">
        <v>6714</v>
      </c>
      <c r="D2397" s="52" t="s">
        <v>6739</v>
      </c>
      <c r="E2397" s="52" t="s">
        <v>9</v>
      </c>
      <c r="F2397" s="53" t="s">
        <v>95</v>
      </c>
      <c r="G2397" s="51" t="s">
        <v>4812</v>
      </c>
      <c r="H2397" s="54"/>
      <c r="I2397" s="55">
        <v>0</v>
      </c>
      <c r="K2397" s="51" t="s">
        <v>6714</v>
      </c>
    </row>
    <row r="2398" spans="1:11">
      <c r="A2398" s="51">
        <v>2331</v>
      </c>
      <c r="B2398" s="51" t="s">
        <v>4801</v>
      </c>
      <c r="C2398" s="51" t="s">
        <v>6714</v>
      </c>
      <c r="D2398" s="52" t="s">
        <v>124</v>
      </c>
      <c r="E2398" s="52" t="s">
        <v>10</v>
      </c>
      <c r="F2398" s="53" t="s">
        <v>97</v>
      </c>
      <c r="G2398" s="51"/>
      <c r="H2398" s="54"/>
      <c r="I2398" s="55">
        <v>98</v>
      </c>
      <c r="K2398" s="51" t="s">
        <v>6714</v>
      </c>
    </row>
    <row r="2399" spans="1:11">
      <c r="A2399" s="51">
        <v>2332</v>
      </c>
      <c r="B2399" s="51" t="s">
        <v>4801</v>
      </c>
      <c r="C2399" s="51" t="s">
        <v>6714</v>
      </c>
      <c r="D2399" s="52" t="s">
        <v>6197</v>
      </c>
      <c r="E2399" s="52"/>
      <c r="F2399" s="53"/>
      <c r="G2399" s="51"/>
      <c r="H2399" s="54"/>
      <c r="I2399" s="55">
        <v>1290</v>
      </c>
      <c r="K2399" s="51" t="s">
        <v>6714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97F11-5F94-436D-B8D3-195A97753A87}">
  <dimension ref="A1:E2716"/>
  <sheetViews>
    <sheetView workbookViewId="0">
      <pane xSplit="4" ySplit="1" topLeftCell="E2663" activePane="bottomRight" state="frozen"/>
      <selection pane="topRight" activeCell="E1" sqref="E1"/>
      <selection pane="bottomLeft" activeCell="A2" sqref="A2"/>
      <selection pane="bottomRight" activeCell="C2680" sqref="C2680"/>
    </sheetView>
  </sheetViews>
  <sheetFormatPr defaultRowHeight="14.5"/>
  <cols>
    <col min="1" max="1" width="18.6328125" customWidth="1"/>
    <col min="2" max="2" width="15.36328125" style="20" customWidth="1"/>
    <col min="3" max="3" width="23.81640625" style="20" bestFit="1" customWidth="1"/>
    <col min="4" max="4" width="31.81640625" style="20" bestFit="1" customWidth="1"/>
    <col min="5" max="5" width="49.08984375" style="20" bestFit="1" customWidth="1"/>
    <col min="6" max="13" width="7" customWidth="1"/>
  </cols>
  <sheetData>
    <row r="1" spans="1:5" ht="25.5" customHeight="1" thickBot="1">
      <c r="A1" s="8" t="s">
        <v>2</v>
      </c>
      <c r="B1" s="9" t="s">
        <v>125</v>
      </c>
      <c r="C1" s="10" t="s">
        <v>7</v>
      </c>
      <c r="D1" s="10" t="s">
        <v>4792</v>
      </c>
      <c r="E1" s="10" t="s">
        <v>3</v>
      </c>
    </row>
    <row r="2" spans="1:5" ht="17.149999999999999" customHeight="1" thickTop="1">
      <c r="A2" s="11" t="s">
        <v>126</v>
      </c>
      <c r="B2" s="12" t="s">
        <v>127</v>
      </c>
      <c r="C2" s="13" t="s">
        <v>128</v>
      </c>
      <c r="D2" s="13"/>
      <c r="E2" s="159" t="s">
        <v>8154</v>
      </c>
    </row>
    <row r="3" spans="1:5" ht="17.149999999999999" customHeight="1">
      <c r="A3" s="14" t="s">
        <v>129</v>
      </c>
      <c r="B3" s="15" t="s">
        <v>130</v>
      </c>
      <c r="C3" s="16" t="s">
        <v>128</v>
      </c>
      <c r="D3" s="16"/>
      <c r="E3" s="160" t="s">
        <v>8155</v>
      </c>
    </row>
    <row r="4" spans="1:5" ht="17.149999999999999" customHeight="1">
      <c r="A4" s="14" t="s">
        <v>131</v>
      </c>
      <c r="B4" s="15" t="s">
        <v>132</v>
      </c>
      <c r="C4" s="16" t="s">
        <v>128</v>
      </c>
      <c r="D4" s="16"/>
      <c r="E4" s="160" t="s">
        <v>8156</v>
      </c>
    </row>
    <row r="5" spans="1:5" ht="17.149999999999999" customHeight="1">
      <c r="A5" s="14" t="s">
        <v>133</v>
      </c>
      <c r="B5" s="15" t="s">
        <v>134</v>
      </c>
      <c r="C5" s="16" t="s">
        <v>128</v>
      </c>
      <c r="D5" s="16"/>
      <c r="E5" s="160" t="s">
        <v>8157</v>
      </c>
    </row>
    <row r="6" spans="1:5" ht="17.149999999999999" customHeight="1">
      <c r="A6" s="14" t="s">
        <v>135</v>
      </c>
      <c r="B6" s="15" t="s">
        <v>136</v>
      </c>
      <c r="C6" s="16" t="s">
        <v>137</v>
      </c>
      <c r="D6" s="16"/>
      <c r="E6" s="160" t="s">
        <v>8158</v>
      </c>
    </row>
    <row r="7" spans="1:5" ht="17.149999999999999" customHeight="1">
      <c r="A7" s="14" t="s">
        <v>138</v>
      </c>
      <c r="B7" s="15" t="s">
        <v>139</v>
      </c>
      <c r="C7" s="16" t="s">
        <v>137</v>
      </c>
      <c r="D7" s="16"/>
      <c r="E7" s="160" t="s">
        <v>8159</v>
      </c>
    </row>
    <row r="8" spans="1:5" ht="17.149999999999999" customHeight="1">
      <c r="A8" s="14" t="s">
        <v>140</v>
      </c>
      <c r="B8" s="15" t="s">
        <v>141</v>
      </c>
      <c r="C8" s="16" t="s">
        <v>137</v>
      </c>
      <c r="D8" s="16"/>
      <c r="E8" s="160" t="s">
        <v>8160</v>
      </c>
    </row>
    <row r="9" spans="1:5" ht="17.149999999999999" customHeight="1">
      <c r="A9" s="14" t="s">
        <v>142</v>
      </c>
      <c r="B9" s="15" t="s">
        <v>143</v>
      </c>
      <c r="C9" s="16" t="s">
        <v>137</v>
      </c>
      <c r="D9" s="16"/>
      <c r="E9" s="160" t="s">
        <v>6697</v>
      </c>
    </row>
    <row r="10" spans="1:5" ht="17.149999999999999" customHeight="1">
      <c r="A10" s="14" t="s">
        <v>144</v>
      </c>
      <c r="B10" s="15" t="s">
        <v>145</v>
      </c>
      <c r="C10" s="16" t="s">
        <v>137</v>
      </c>
      <c r="D10" s="16"/>
      <c r="E10" s="160" t="s">
        <v>6697</v>
      </c>
    </row>
    <row r="11" spans="1:5" ht="17.149999999999999" customHeight="1">
      <c r="A11" s="14" t="s">
        <v>146</v>
      </c>
      <c r="B11" s="15" t="s">
        <v>147</v>
      </c>
      <c r="C11" s="16" t="s">
        <v>128</v>
      </c>
      <c r="D11" s="16"/>
      <c r="E11" s="160" t="s">
        <v>8161</v>
      </c>
    </row>
    <row r="12" spans="1:5" ht="17.149999999999999" customHeight="1">
      <c r="A12" s="14" t="s">
        <v>148</v>
      </c>
      <c r="B12" s="15" t="s">
        <v>149</v>
      </c>
      <c r="C12" s="16" t="s">
        <v>128</v>
      </c>
      <c r="D12" s="16"/>
      <c r="E12" s="160" t="s">
        <v>8161</v>
      </c>
    </row>
    <row r="13" spans="1:5" ht="17.149999999999999" customHeight="1">
      <c r="A13" s="14" t="s">
        <v>150</v>
      </c>
      <c r="B13" s="15" t="s">
        <v>151</v>
      </c>
      <c r="C13" s="16" t="s">
        <v>128</v>
      </c>
      <c r="D13" s="16"/>
      <c r="E13" s="160" t="s">
        <v>6679</v>
      </c>
    </row>
    <row r="14" spans="1:5" ht="17.149999999999999" customHeight="1">
      <c r="A14" s="14" t="s">
        <v>152</v>
      </c>
      <c r="B14" s="15" t="s">
        <v>153</v>
      </c>
      <c r="C14" s="16" t="s">
        <v>128</v>
      </c>
      <c r="D14" s="16"/>
      <c r="E14" s="160" t="s">
        <v>8154</v>
      </c>
    </row>
    <row r="15" spans="1:5" ht="17.149999999999999" customHeight="1">
      <c r="A15" s="14" t="s">
        <v>154</v>
      </c>
      <c r="B15" s="15" t="s">
        <v>155</v>
      </c>
      <c r="C15" s="16" t="s">
        <v>90</v>
      </c>
      <c r="D15" s="16"/>
      <c r="E15" s="160" t="s">
        <v>6695</v>
      </c>
    </row>
    <row r="16" spans="1:5" ht="17.149999999999999" customHeight="1">
      <c r="A16" s="14" t="s">
        <v>156</v>
      </c>
      <c r="B16" s="15" t="s">
        <v>157</v>
      </c>
      <c r="C16" s="16">
        <v>0</v>
      </c>
      <c r="D16" s="16"/>
      <c r="E16" s="160" t="s">
        <v>8162</v>
      </c>
    </row>
    <row r="17" spans="1:5" ht="17.149999999999999" customHeight="1">
      <c r="A17" s="14" t="s">
        <v>158</v>
      </c>
      <c r="B17" s="15" t="s">
        <v>159</v>
      </c>
      <c r="C17" s="16">
        <v>0</v>
      </c>
      <c r="D17" s="16"/>
      <c r="E17" s="160" t="s">
        <v>8162</v>
      </c>
    </row>
    <row r="18" spans="1:5" ht="17.149999999999999" customHeight="1">
      <c r="A18" s="14" t="s">
        <v>160</v>
      </c>
      <c r="B18" s="15" t="s">
        <v>161</v>
      </c>
      <c r="C18" s="16" t="s">
        <v>162</v>
      </c>
      <c r="D18" s="16"/>
      <c r="E18" s="160" t="s">
        <v>6702</v>
      </c>
    </row>
    <row r="19" spans="1:5" ht="17.149999999999999" customHeight="1">
      <c r="A19" s="14" t="s">
        <v>163</v>
      </c>
      <c r="B19" s="15" t="s">
        <v>164</v>
      </c>
      <c r="C19" s="16" t="s">
        <v>162</v>
      </c>
      <c r="D19" s="16"/>
      <c r="E19" s="160" t="s">
        <v>6702</v>
      </c>
    </row>
    <row r="20" spans="1:5" ht="17.149999999999999" customHeight="1">
      <c r="A20" s="14" t="s">
        <v>165</v>
      </c>
      <c r="B20" s="15" t="s">
        <v>166</v>
      </c>
      <c r="C20" s="16" t="s">
        <v>162</v>
      </c>
      <c r="D20" s="16"/>
      <c r="E20" s="160" t="s">
        <v>6702</v>
      </c>
    </row>
    <row r="21" spans="1:5" ht="17.149999999999999" customHeight="1">
      <c r="A21" s="14" t="s">
        <v>167</v>
      </c>
      <c r="B21" s="15" t="s">
        <v>168</v>
      </c>
      <c r="C21" s="16" t="s">
        <v>162</v>
      </c>
      <c r="D21" s="16"/>
      <c r="E21" s="160" t="s">
        <v>6702</v>
      </c>
    </row>
    <row r="22" spans="1:5" ht="17.149999999999999" customHeight="1">
      <c r="A22" s="14" t="s">
        <v>169</v>
      </c>
      <c r="B22" s="15" t="s">
        <v>170</v>
      </c>
      <c r="C22" s="16" t="s">
        <v>162</v>
      </c>
      <c r="D22" s="16"/>
      <c r="E22" s="160" t="s">
        <v>6702</v>
      </c>
    </row>
    <row r="23" spans="1:5" ht="17.149999999999999" customHeight="1">
      <c r="A23" s="14" t="s">
        <v>171</v>
      </c>
      <c r="B23" s="15" t="s">
        <v>172</v>
      </c>
      <c r="C23" s="16" t="s">
        <v>162</v>
      </c>
      <c r="D23" s="16"/>
      <c r="E23" s="160" t="s">
        <v>6702</v>
      </c>
    </row>
    <row r="24" spans="1:5" ht="17.149999999999999" customHeight="1">
      <c r="A24" s="14" t="s">
        <v>173</v>
      </c>
      <c r="B24" s="15" t="s">
        <v>174</v>
      </c>
      <c r="C24" s="16" t="s">
        <v>162</v>
      </c>
      <c r="D24" s="16"/>
      <c r="E24" s="160" t="s">
        <v>6702</v>
      </c>
    </row>
    <row r="25" spans="1:5" ht="17.149999999999999" customHeight="1">
      <c r="A25" s="14" t="s">
        <v>175</v>
      </c>
      <c r="B25" s="15" t="s">
        <v>176</v>
      </c>
      <c r="C25" s="16" t="s">
        <v>162</v>
      </c>
      <c r="D25" s="16"/>
      <c r="E25" s="160" t="s">
        <v>8163</v>
      </c>
    </row>
    <row r="26" spans="1:5" ht="17.149999999999999" customHeight="1">
      <c r="A26" s="14" t="s">
        <v>177</v>
      </c>
      <c r="B26" s="15" t="s">
        <v>178</v>
      </c>
      <c r="C26" s="16" t="s">
        <v>162</v>
      </c>
      <c r="D26" s="16"/>
      <c r="E26" s="160" t="s">
        <v>8164</v>
      </c>
    </row>
    <row r="27" spans="1:5" ht="17.149999999999999" customHeight="1">
      <c r="A27" s="14" t="s">
        <v>179</v>
      </c>
      <c r="B27" s="15" t="s">
        <v>180</v>
      </c>
      <c r="C27" s="16" t="s">
        <v>162</v>
      </c>
      <c r="D27" s="16"/>
      <c r="E27" s="160" t="s">
        <v>8163</v>
      </c>
    </row>
    <row r="28" spans="1:5" ht="17.149999999999999" customHeight="1">
      <c r="A28" s="14" t="s">
        <v>181</v>
      </c>
      <c r="B28" s="15" t="s">
        <v>182</v>
      </c>
      <c r="C28" s="16" t="s">
        <v>162</v>
      </c>
      <c r="D28" s="16"/>
      <c r="E28" s="160" t="s">
        <v>8164</v>
      </c>
    </row>
    <row r="29" spans="1:5" ht="17.149999999999999" customHeight="1">
      <c r="A29" s="14" t="s">
        <v>183</v>
      </c>
      <c r="B29" s="15" t="s">
        <v>184</v>
      </c>
      <c r="C29" s="16" t="s">
        <v>89</v>
      </c>
      <c r="D29" s="16"/>
      <c r="E29" s="160" t="s">
        <v>4891</v>
      </c>
    </row>
    <row r="30" spans="1:5" ht="17.149999999999999" customHeight="1">
      <c r="A30" s="14" t="s">
        <v>185</v>
      </c>
      <c r="B30" s="15" t="s">
        <v>186</v>
      </c>
      <c r="C30" s="16" t="s">
        <v>89</v>
      </c>
      <c r="D30" s="16"/>
      <c r="E30" s="160" t="s">
        <v>4891</v>
      </c>
    </row>
    <row r="31" spans="1:5" ht="17.149999999999999" customHeight="1">
      <c r="A31" s="14" t="s">
        <v>187</v>
      </c>
      <c r="B31" s="15" t="s">
        <v>188</v>
      </c>
      <c r="C31" s="16" t="s">
        <v>189</v>
      </c>
      <c r="D31" s="16"/>
      <c r="E31" s="160" t="s">
        <v>110</v>
      </c>
    </row>
    <row r="32" spans="1:5" ht="17.149999999999999" customHeight="1">
      <c r="A32" s="14" t="s">
        <v>190</v>
      </c>
      <c r="B32" s="15" t="s">
        <v>191</v>
      </c>
      <c r="C32" s="16" t="s">
        <v>189</v>
      </c>
      <c r="D32" s="16"/>
      <c r="E32" s="160" t="s">
        <v>110</v>
      </c>
    </row>
    <row r="33" spans="1:5" ht="17.149999999999999" customHeight="1">
      <c r="A33" s="14" t="s">
        <v>192</v>
      </c>
      <c r="B33" s="15" t="s">
        <v>193</v>
      </c>
      <c r="C33" s="16" t="s">
        <v>194</v>
      </c>
      <c r="D33" s="16"/>
      <c r="E33" s="160" t="s">
        <v>110</v>
      </c>
    </row>
    <row r="34" spans="1:5" ht="17.149999999999999" customHeight="1">
      <c r="A34" s="14" t="s">
        <v>192</v>
      </c>
      <c r="B34" s="15" t="s">
        <v>193</v>
      </c>
      <c r="C34" s="16" t="s">
        <v>194</v>
      </c>
      <c r="D34" s="16"/>
      <c r="E34" s="160" t="s">
        <v>110</v>
      </c>
    </row>
    <row r="35" spans="1:5" ht="17.149999999999999" customHeight="1">
      <c r="A35" s="14" t="s">
        <v>195</v>
      </c>
      <c r="B35" s="15" t="s">
        <v>196</v>
      </c>
      <c r="C35" s="16" t="s">
        <v>194</v>
      </c>
      <c r="D35" s="16"/>
      <c r="E35" s="160" t="s">
        <v>8147</v>
      </c>
    </row>
    <row r="36" spans="1:5" ht="17.149999999999999" customHeight="1">
      <c r="A36" s="14" t="s">
        <v>195</v>
      </c>
      <c r="B36" s="15" t="s">
        <v>196</v>
      </c>
      <c r="C36" s="16" t="s">
        <v>194</v>
      </c>
      <c r="D36" s="16"/>
      <c r="E36" s="160" t="s">
        <v>8147</v>
      </c>
    </row>
    <row r="37" spans="1:5" ht="17.149999999999999" customHeight="1">
      <c r="A37" s="14" t="s">
        <v>197</v>
      </c>
      <c r="B37" s="15" t="s">
        <v>198</v>
      </c>
      <c r="C37" s="16" t="s">
        <v>194</v>
      </c>
      <c r="D37" s="16"/>
      <c r="E37" s="160" t="s">
        <v>8148</v>
      </c>
    </row>
    <row r="38" spans="1:5" ht="17.149999999999999" customHeight="1">
      <c r="A38" s="14" t="s">
        <v>197</v>
      </c>
      <c r="B38" s="15" t="s">
        <v>198</v>
      </c>
      <c r="C38" s="16" t="s">
        <v>194</v>
      </c>
      <c r="D38" s="16"/>
      <c r="E38" s="160" t="s">
        <v>8148</v>
      </c>
    </row>
    <row r="39" spans="1:5" ht="17.149999999999999" customHeight="1">
      <c r="A39" s="14" t="s">
        <v>199</v>
      </c>
      <c r="B39" s="15" t="s">
        <v>200</v>
      </c>
      <c r="C39" s="16" t="s">
        <v>93</v>
      </c>
      <c r="D39" s="16"/>
      <c r="E39" s="160" t="s">
        <v>5541</v>
      </c>
    </row>
    <row r="40" spans="1:5" ht="17.149999999999999" customHeight="1">
      <c r="A40" s="14" t="s">
        <v>201</v>
      </c>
      <c r="B40" s="15" t="s">
        <v>202</v>
      </c>
      <c r="C40" s="16" t="s">
        <v>93</v>
      </c>
      <c r="D40" s="16"/>
      <c r="E40" s="160" t="s">
        <v>5542</v>
      </c>
    </row>
    <row r="41" spans="1:5" ht="17.149999999999999" customHeight="1">
      <c r="A41" s="14" t="s">
        <v>203</v>
      </c>
      <c r="B41" s="15" t="s">
        <v>204</v>
      </c>
      <c r="C41" s="16">
        <v>0</v>
      </c>
      <c r="D41" s="16"/>
      <c r="E41" s="160" t="s">
        <v>8165</v>
      </c>
    </row>
    <row r="42" spans="1:5" ht="17.149999999999999" customHeight="1">
      <c r="A42" s="14" t="s">
        <v>205</v>
      </c>
      <c r="B42" s="15" t="s">
        <v>206</v>
      </c>
      <c r="C42" s="16">
        <v>0</v>
      </c>
      <c r="D42" s="16"/>
      <c r="E42" s="160" t="s">
        <v>8165</v>
      </c>
    </row>
    <row r="43" spans="1:5" ht="17.149999999999999" customHeight="1">
      <c r="A43" s="14" t="s">
        <v>207</v>
      </c>
      <c r="B43" s="15" t="s">
        <v>208</v>
      </c>
      <c r="C43" s="16" t="s">
        <v>93</v>
      </c>
      <c r="D43" s="16"/>
      <c r="E43" s="160" t="s">
        <v>5567</v>
      </c>
    </row>
    <row r="44" spans="1:5" ht="17.149999999999999" customHeight="1">
      <c r="A44" s="14" t="s">
        <v>209</v>
      </c>
      <c r="B44" s="15" t="s">
        <v>210</v>
      </c>
      <c r="C44" s="16" t="s">
        <v>93</v>
      </c>
      <c r="D44" s="16"/>
      <c r="E44" s="160" t="s">
        <v>5567</v>
      </c>
    </row>
    <row r="45" spans="1:5" ht="17.149999999999999" customHeight="1">
      <c r="A45" s="14" t="s">
        <v>211</v>
      </c>
      <c r="B45" s="15" t="s">
        <v>212</v>
      </c>
      <c r="C45" s="16">
        <v>0</v>
      </c>
      <c r="D45" s="16"/>
      <c r="E45" s="160" t="s">
        <v>8166</v>
      </c>
    </row>
    <row r="46" spans="1:5" ht="17.149999999999999" customHeight="1">
      <c r="A46" s="14" t="s">
        <v>213</v>
      </c>
      <c r="B46" s="15" t="s">
        <v>214</v>
      </c>
      <c r="C46" s="16">
        <v>0</v>
      </c>
      <c r="D46" s="16"/>
      <c r="E46" s="160" t="s">
        <v>8166</v>
      </c>
    </row>
    <row r="47" spans="1:5" ht="17.149999999999999" customHeight="1">
      <c r="A47" s="14" t="s">
        <v>215</v>
      </c>
      <c r="B47" s="15" t="s">
        <v>216</v>
      </c>
      <c r="C47" s="16" t="s">
        <v>93</v>
      </c>
      <c r="D47" s="16"/>
      <c r="E47" s="160" t="s">
        <v>5568</v>
      </c>
    </row>
    <row r="48" spans="1:5" ht="17.149999999999999" customHeight="1">
      <c r="A48" s="14" t="s">
        <v>217</v>
      </c>
      <c r="B48" s="15" t="s">
        <v>218</v>
      </c>
      <c r="C48" s="16" t="s">
        <v>93</v>
      </c>
      <c r="D48" s="16"/>
      <c r="E48" s="160" t="s">
        <v>5568</v>
      </c>
    </row>
    <row r="49" spans="1:5" ht="17.149999999999999" customHeight="1">
      <c r="A49" s="14" t="s">
        <v>219</v>
      </c>
      <c r="B49" s="15" t="s">
        <v>220</v>
      </c>
      <c r="C49" s="16">
        <v>0</v>
      </c>
      <c r="D49" s="16"/>
      <c r="E49" s="160" t="s">
        <v>5704</v>
      </c>
    </row>
    <row r="50" spans="1:5" ht="17.149999999999999" customHeight="1">
      <c r="A50" s="14" t="s">
        <v>221</v>
      </c>
      <c r="B50" s="15" t="s">
        <v>222</v>
      </c>
      <c r="C50" s="16">
        <v>0</v>
      </c>
      <c r="D50" s="16"/>
      <c r="E50" s="160" t="s">
        <v>5704</v>
      </c>
    </row>
    <row r="51" spans="1:5" ht="17.149999999999999" customHeight="1">
      <c r="A51" s="14" t="s">
        <v>223</v>
      </c>
      <c r="B51" s="15" t="s">
        <v>224</v>
      </c>
      <c r="C51" s="16">
        <v>0</v>
      </c>
      <c r="D51" s="16"/>
      <c r="E51" s="160" t="s">
        <v>8167</v>
      </c>
    </row>
    <row r="52" spans="1:5" ht="17.149999999999999" customHeight="1">
      <c r="A52" s="14" t="s">
        <v>225</v>
      </c>
      <c r="B52" s="15" t="s">
        <v>226</v>
      </c>
      <c r="C52" s="16">
        <v>0</v>
      </c>
      <c r="D52" s="16"/>
      <c r="E52" s="160" t="s">
        <v>5687</v>
      </c>
    </row>
    <row r="53" spans="1:5" ht="17.149999999999999" customHeight="1">
      <c r="A53" s="14" t="s">
        <v>227</v>
      </c>
      <c r="B53" s="15" t="s">
        <v>228</v>
      </c>
      <c r="C53" s="16" t="s">
        <v>88</v>
      </c>
      <c r="D53" s="16"/>
      <c r="E53" s="160" t="s">
        <v>7924</v>
      </c>
    </row>
    <row r="54" spans="1:5" ht="17.149999999999999" customHeight="1">
      <c r="A54" s="14" t="s">
        <v>229</v>
      </c>
      <c r="B54" s="15" t="s">
        <v>230</v>
      </c>
      <c r="C54" s="16" t="s">
        <v>88</v>
      </c>
      <c r="D54" s="16"/>
      <c r="E54" s="160" t="s">
        <v>5507</v>
      </c>
    </row>
    <row r="55" spans="1:5" ht="17.149999999999999" customHeight="1">
      <c r="A55" s="14" t="s">
        <v>231</v>
      </c>
      <c r="B55" s="15" t="s">
        <v>232</v>
      </c>
      <c r="C55" s="16" t="s">
        <v>88</v>
      </c>
      <c r="D55" s="16"/>
      <c r="E55" s="160" t="s">
        <v>7924</v>
      </c>
    </row>
    <row r="56" spans="1:5" ht="17.149999999999999" customHeight="1">
      <c r="A56" s="14" t="s">
        <v>233</v>
      </c>
      <c r="B56" s="15" t="s">
        <v>234</v>
      </c>
      <c r="C56" s="16" t="s">
        <v>88</v>
      </c>
      <c r="D56" s="16"/>
      <c r="E56" s="160" t="s">
        <v>7924</v>
      </c>
    </row>
    <row r="57" spans="1:5" ht="17.149999999999999" customHeight="1">
      <c r="A57" s="14" t="s">
        <v>235</v>
      </c>
      <c r="B57" s="15" t="s">
        <v>236</v>
      </c>
      <c r="C57" s="16" t="s">
        <v>88</v>
      </c>
      <c r="D57" s="16"/>
      <c r="E57" s="160" t="s">
        <v>5507</v>
      </c>
    </row>
    <row r="58" spans="1:5" ht="17.149999999999999" customHeight="1">
      <c r="A58" s="14" t="s">
        <v>237</v>
      </c>
      <c r="B58" s="15" t="s">
        <v>238</v>
      </c>
      <c r="C58" s="16" t="s">
        <v>88</v>
      </c>
      <c r="D58" s="16"/>
      <c r="E58" s="160" t="s">
        <v>7928</v>
      </c>
    </row>
    <row r="59" spans="1:5" ht="17.149999999999999" customHeight="1">
      <c r="A59" s="14" t="s">
        <v>239</v>
      </c>
      <c r="B59" s="15" t="s">
        <v>240</v>
      </c>
      <c r="C59" s="16" t="s">
        <v>88</v>
      </c>
      <c r="D59" s="16"/>
      <c r="E59" s="160" t="s">
        <v>5509</v>
      </c>
    </row>
    <row r="60" spans="1:5" ht="17.149999999999999" customHeight="1">
      <c r="A60" s="14" t="s">
        <v>241</v>
      </c>
      <c r="B60" s="15" t="s">
        <v>242</v>
      </c>
      <c r="C60" s="16" t="s">
        <v>88</v>
      </c>
      <c r="D60" s="16"/>
      <c r="E60" s="160" t="s">
        <v>5509</v>
      </c>
    </row>
    <row r="61" spans="1:5" ht="17.149999999999999" customHeight="1">
      <c r="A61" s="14" t="s">
        <v>243</v>
      </c>
      <c r="B61" s="15" t="s">
        <v>244</v>
      </c>
      <c r="C61" s="16" t="s">
        <v>194</v>
      </c>
      <c r="D61" s="16"/>
      <c r="E61" s="160" t="s">
        <v>8168</v>
      </c>
    </row>
    <row r="62" spans="1:5" ht="17.149999999999999" customHeight="1">
      <c r="A62" s="14" t="s">
        <v>245</v>
      </c>
      <c r="B62" s="15" t="s">
        <v>246</v>
      </c>
      <c r="C62" s="16" t="s">
        <v>247</v>
      </c>
      <c r="D62" s="16"/>
      <c r="E62" s="160" t="s">
        <v>8169</v>
      </c>
    </row>
    <row r="63" spans="1:5" ht="17.149999999999999" customHeight="1">
      <c r="A63" s="14" t="s">
        <v>248</v>
      </c>
      <c r="B63" s="15" t="s">
        <v>249</v>
      </c>
      <c r="C63" s="16" t="s">
        <v>194</v>
      </c>
      <c r="D63" s="16"/>
      <c r="E63" s="160" t="s">
        <v>7932</v>
      </c>
    </row>
    <row r="64" spans="1:5" ht="17.149999999999999" customHeight="1">
      <c r="A64" s="14" t="s">
        <v>250</v>
      </c>
      <c r="B64" s="15" t="s">
        <v>251</v>
      </c>
      <c r="C64" s="16" t="s">
        <v>88</v>
      </c>
      <c r="D64" s="16"/>
      <c r="E64" s="160" t="s">
        <v>7932</v>
      </c>
    </row>
    <row r="65" spans="1:5" ht="17.149999999999999" customHeight="1">
      <c r="A65" s="14" t="s">
        <v>252</v>
      </c>
      <c r="B65" s="15" t="s">
        <v>253</v>
      </c>
      <c r="C65" s="16" t="s">
        <v>254</v>
      </c>
      <c r="D65" s="16"/>
      <c r="E65" s="160" t="s">
        <v>5261</v>
      </c>
    </row>
    <row r="66" spans="1:5" ht="17.149999999999999" customHeight="1">
      <c r="A66" s="14" t="s">
        <v>255</v>
      </c>
      <c r="B66" s="15" t="s">
        <v>256</v>
      </c>
      <c r="C66" s="16" t="s">
        <v>254</v>
      </c>
      <c r="D66" s="16"/>
      <c r="E66" s="160" t="s">
        <v>5261</v>
      </c>
    </row>
    <row r="67" spans="1:5" ht="17.149999999999999" customHeight="1">
      <c r="A67" s="14" t="s">
        <v>257</v>
      </c>
      <c r="B67" s="15" t="s">
        <v>258</v>
      </c>
      <c r="C67" s="16" t="s">
        <v>259</v>
      </c>
      <c r="D67" s="16"/>
      <c r="E67" s="160" t="s">
        <v>6123</v>
      </c>
    </row>
    <row r="68" spans="1:5" ht="17.149999999999999" customHeight="1">
      <c r="A68" s="14" t="s">
        <v>260</v>
      </c>
      <c r="B68" s="15" t="s">
        <v>261</v>
      </c>
      <c r="C68" s="16" t="s">
        <v>259</v>
      </c>
      <c r="D68" s="16"/>
      <c r="E68" s="160" t="s">
        <v>8170</v>
      </c>
    </row>
    <row r="69" spans="1:5" ht="17.149999999999999" customHeight="1">
      <c r="A69" s="14" t="s">
        <v>262</v>
      </c>
      <c r="B69" s="15" t="s">
        <v>263</v>
      </c>
      <c r="C69" s="16" t="s">
        <v>259</v>
      </c>
      <c r="D69" s="16"/>
      <c r="E69" s="160" t="s">
        <v>8171</v>
      </c>
    </row>
    <row r="70" spans="1:5" ht="17.149999999999999" customHeight="1">
      <c r="A70" s="14" t="s">
        <v>264</v>
      </c>
      <c r="B70" s="15" t="s">
        <v>265</v>
      </c>
      <c r="C70" s="16" t="s">
        <v>90</v>
      </c>
      <c r="D70" s="16"/>
      <c r="E70" s="160" t="s">
        <v>8172</v>
      </c>
    </row>
    <row r="71" spans="1:5" ht="17.149999999999999" customHeight="1">
      <c r="A71" s="14" t="s">
        <v>266</v>
      </c>
      <c r="B71" s="15" t="s">
        <v>267</v>
      </c>
      <c r="C71" s="16" t="s">
        <v>259</v>
      </c>
      <c r="D71" s="16"/>
      <c r="E71" s="160" t="s">
        <v>8173</v>
      </c>
    </row>
    <row r="72" spans="1:5" ht="17.149999999999999" customHeight="1">
      <c r="A72" s="14" t="s">
        <v>268</v>
      </c>
      <c r="B72" s="15" t="s">
        <v>269</v>
      </c>
      <c r="C72" s="16" t="s">
        <v>254</v>
      </c>
      <c r="D72" s="16"/>
      <c r="E72" s="160" t="s">
        <v>6123</v>
      </c>
    </row>
    <row r="73" spans="1:5" ht="17.149999999999999" customHeight="1">
      <c r="A73" s="14" t="s">
        <v>270</v>
      </c>
      <c r="B73" s="15" t="s">
        <v>271</v>
      </c>
      <c r="C73" s="16" t="s">
        <v>93</v>
      </c>
      <c r="D73" s="16"/>
      <c r="E73" s="160" t="s">
        <v>6123</v>
      </c>
    </row>
    <row r="74" spans="1:5" ht="17.149999999999999" customHeight="1">
      <c r="A74" s="14" t="s">
        <v>272</v>
      </c>
      <c r="B74" s="15" t="s">
        <v>273</v>
      </c>
      <c r="C74" s="16" t="s">
        <v>259</v>
      </c>
      <c r="D74" s="16"/>
      <c r="E74" s="160" t="s">
        <v>113</v>
      </c>
    </row>
    <row r="75" spans="1:5" ht="17.149999999999999" customHeight="1">
      <c r="A75" s="14" t="s">
        <v>274</v>
      </c>
      <c r="B75" s="15" t="s">
        <v>275</v>
      </c>
      <c r="C75" s="16" t="s">
        <v>259</v>
      </c>
      <c r="D75" s="16"/>
      <c r="E75" s="160" t="s">
        <v>8174</v>
      </c>
    </row>
    <row r="76" spans="1:5" ht="17.149999999999999" customHeight="1">
      <c r="A76" s="14" t="s">
        <v>276</v>
      </c>
      <c r="B76" s="15" t="s">
        <v>277</v>
      </c>
      <c r="C76" s="16" t="s">
        <v>259</v>
      </c>
      <c r="D76" s="16"/>
      <c r="E76" s="160" t="s">
        <v>8175</v>
      </c>
    </row>
    <row r="77" spans="1:5" ht="17.149999999999999" customHeight="1">
      <c r="A77" s="14" t="s">
        <v>278</v>
      </c>
      <c r="B77" s="15" t="s">
        <v>279</v>
      </c>
      <c r="C77" s="16" t="s">
        <v>247</v>
      </c>
      <c r="D77" s="16"/>
      <c r="E77" s="160" t="s">
        <v>113</v>
      </c>
    </row>
    <row r="78" spans="1:5" ht="17.149999999999999" customHeight="1">
      <c r="A78" s="14" t="s">
        <v>280</v>
      </c>
      <c r="B78" s="15" t="s">
        <v>281</v>
      </c>
      <c r="C78" s="16" t="s">
        <v>247</v>
      </c>
      <c r="D78" s="16"/>
      <c r="E78" s="160" t="s">
        <v>113</v>
      </c>
    </row>
    <row r="79" spans="1:5" ht="17.149999999999999" customHeight="1">
      <c r="A79" s="14" t="s">
        <v>282</v>
      </c>
      <c r="B79" s="15" t="s">
        <v>283</v>
      </c>
      <c r="C79" s="16" t="s">
        <v>90</v>
      </c>
      <c r="D79" s="16"/>
      <c r="E79" s="160" t="s">
        <v>8176</v>
      </c>
    </row>
    <row r="80" spans="1:5" ht="17.149999999999999" customHeight="1">
      <c r="A80" s="14" t="s">
        <v>284</v>
      </c>
      <c r="B80" s="15" t="s">
        <v>285</v>
      </c>
      <c r="C80" s="16" t="s">
        <v>259</v>
      </c>
      <c r="D80" s="16"/>
      <c r="E80" s="160" t="s">
        <v>8177</v>
      </c>
    </row>
    <row r="81" spans="1:5" ht="17.149999999999999" customHeight="1">
      <c r="A81" s="14" t="s">
        <v>40</v>
      </c>
      <c r="B81" s="15" t="s">
        <v>78</v>
      </c>
      <c r="C81" s="16" t="s">
        <v>93</v>
      </c>
      <c r="D81" s="16"/>
      <c r="E81" s="160" t="s">
        <v>113</v>
      </c>
    </row>
    <row r="82" spans="1:5" ht="17.149999999999999" customHeight="1">
      <c r="A82" s="14" t="s">
        <v>286</v>
      </c>
      <c r="B82" s="15" t="s">
        <v>287</v>
      </c>
      <c r="C82" s="16">
        <v>0</v>
      </c>
      <c r="D82" s="16"/>
      <c r="E82" s="160" t="s">
        <v>5708</v>
      </c>
    </row>
    <row r="83" spans="1:5" ht="17.149999999999999" customHeight="1">
      <c r="A83" s="14" t="s">
        <v>288</v>
      </c>
      <c r="B83" s="15" t="s">
        <v>289</v>
      </c>
      <c r="C83" s="16">
        <v>0</v>
      </c>
      <c r="D83" s="16"/>
      <c r="E83" s="160" t="s">
        <v>5708</v>
      </c>
    </row>
    <row r="84" spans="1:5" ht="17.149999999999999" customHeight="1">
      <c r="A84" s="14" t="s">
        <v>290</v>
      </c>
      <c r="B84" s="15" t="s">
        <v>291</v>
      </c>
      <c r="C84" s="16" t="s">
        <v>88</v>
      </c>
      <c r="D84" s="16"/>
      <c r="E84" s="160" t="s">
        <v>5708</v>
      </c>
    </row>
    <row r="85" spans="1:5" ht="17.149999999999999" customHeight="1">
      <c r="A85" s="14" t="s">
        <v>292</v>
      </c>
      <c r="B85" s="15" t="s">
        <v>293</v>
      </c>
      <c r="C85" s="16" t="s">
        <v>88</v>
      </c>
      <c r="D85" s="16"/>
      <c r="E85" s="160" t="s">
        <v>5938</v>
      </c>
    </row>
    <row r="86" spans="1:5" ht="17.149999999999999" customHeight="1">
      <c r="A86" s="14" t="s">
        <v>294</v>
      </c>
      <c r="B86" s="15" t="s">
        <v>295</v>
      </c>
      <c r="C86" s="16" t="s">
        <v>88</v>
      </c>
      <c r="D86" s="16"/>
      <c r="E86" s="160" t="s">
        <v>5938</v>
      </c>
    </row>
    <row r="87" spans="1:5" ht="17.149999999999999" customHeight="1">
      <c r="A87" s="14" t="s">
        <v>296</v>
      </c>
      <c r="B87" s="15" t="s">
        <v>297</v>
      </c>
      <c r="C87" s="16" t="s">
        <v>88</v>
      </c>
      <c r="D87" s="16"/>
      <c r="E87" s="160" t="s">
        <v>5708</v>
      </c>
    </row>
    <row r="88" spans="1:5" ht="17.149999999999999" customHeight="1">
      <c r="A88" s="14" t="s">
        <v>298</v>
      </c>
      <c r="B88" s="15" t="s">
        <v>299</v>
      </c>
      <c r="C88" s="16" t="s">
        <v>88</v>
      </c>
      <c r="D88" s="16"/>
      <c r="E88" s="160" t="s">
        <v>5938</v>
      </c>
    </row>
    <row r="89" spans="1:5" ht="17.149999999999999" customHeight="1">
      <c r="A89" s="14" t="s">
        <v>300</v>
      </c>
      <c r="B89" s="15" t="s">
        <v>301</v>
      </c>
      <c r="C89" s="16" t="s">
        <v>88</v>
      </c>
      <c r="D89" s="16"/>
      <c r="E89" s="160" t="s">
        <v>5938</v>
      </c>
    </row>
    <row r="90" spans="1:5" ht="17.149999999999999" customHeight="1">
      <c r="A90" s="14" t="s">
        <v>302</v>
      </c>
      <c r="B90" s="15" t="s">
        <v>303</v>
      </c>
      <c r="C90" s="16" t="s">
        <v>88</v>
      </c>
      <c r="D90" s="16"/>
      <c r="E90" s="160" t="s">
        <v>5938</v>
      </c>
    </row>
    <row r="91" spans="1:5" ht="17.149999999999999" customHeight="1">
      <c r="A91" s="14" t="s">
        <v>304</v>
      </c>
      <c r="B91" s="15" t="s">
        <v>305</v>
      </c>
      <c r="C91" s="16" t="s">
        <v>90</v>
      </c>
      <c r="D91" s="16"/>
      <c r="E91" s="160" t="s">
        <v>5938</v>
      </c>
    </row>
    <row r="92" spans="1:5" ht="17.149999999999999" customHeight="1">
      <c r="A92" s="14" t="s">
        <v>306</v>
      </c>
      <c r="B92" s="15" t="s">
        <v>307</v>
      </c>
      <c r="C92" s="16" t="s">
        <v>88</v>
      </c>
      <c r="D92" s="16"/>
      <c r="E92" s="160" t="s">
        <v>5938</v>
      </c>
    </row>
    <row r="93" spans="1:5" ht="17.149999999999999" customHeight="1">
      <c r="A93" s="14" t="s">
        <v>308</v>
      </c>
      <c r="B93" s="15" t="s">
        <v>309</v>
      </c>
      <c r="C93" s="16" t="s">
        <v>88</v>
      </c>
      <c r="D93" s="16"/>
      <c r="E93" s="160" t="s">
        <v>5938</v>
      </c>
    </row>
    <row r="94" spans="1:5" ht="17.149999999999999" customHeight="1">
      <c r="A94" s="14" t="s">
        <v>310</v>
      </c>
      <c r="B94" s="15" t="s">
        <v>311</v>
      </c>
      <c r="C94" s="16">
        <v>0</v>
      </c>
      <c r="D94" s="16"/>
      <c r="E94" s="160" t="s">
        <v>5709</v>
      </c>
    </row>
    <row r="95" spans="1:5" ht="17.149999999999999" customHeight="1">
      <c r="A95" s="14" t="s">
        <v>312</v>
      </c>
      <c r="B95" s="15" t="s">
        <v>313</v>
      </c>
      <c r="C95" s="16">
        <v>0</v>
      </c>
      <c r="D95" s="16"/>
      <c r="E95" s="160" t="s">
        <v>5709</v>
      </c>
    </row>
    <row r="96" spans="1:5" ht="17.149999999999999" customHeight="1">
      <c r="A96" s="14" t="s">
        <v>314</v>
      </c>
      <c r="B96" s="15" t="s">
        <v>315</v>
      </c>
      <c r="C96" s="16" t="s">
        <v>88</v>
      </c>
      <c r="D96" s="16"/>
      <c r="E96" s="160" t="s">
        <v>5709</v>
      </c>
    </row>
    <row r="97" spans="1:5" ht="17.149999999999999" customHeight="1">
      <c r="A97" s="14" t="s">
        <v>316</v>
      </c>
      <c r="B97" s="15" t="s">
        <v>317</v>
      </c>
      <c r="C97" s="16" t="s">
        <v>88</v>
      </c>
      <c r="D97" s="16"/>
      <c r="E97" s="160" t="s">
        <v>5697</v>
      </c>
    </row>
    <row r="98" spans="1:5" ht="17.149999999999999" customHeight="1">
      <c r="A98" s="14" t="s">
        <v>318</v>
      </c>
      <c r="B98" s="15" t="s">
        <v>319</v>
      </c>
      <c r="C98" s="16" t="s">
        <v>88</v>
      </c>
      <c r="D98" s="16"/>
      <c r="E98" s="160" t="s">
        <v>5697</v>
      </c>
    </row>
    <row r="99" spans="1:5" ht="17.149999999999999" customHeight="1">
      <c r="A99" s="14" t="s">
        <v>320</v>
      </c>
      <c r="B99" s="15" t="s">
        <v>321</v>
      </c>
      <c r="C99" s="16" t="s">
        <v>88</v>
      </c>
      <c r="D99" s="16"/>
      <c r="E99" s="160" t="s">
        <v>5709</v>
      </c>
    </row>
    <row r="100" spans="1:5" ht="17.149999999999999" customHeight="1">
      <c r="A100" s="14" t="s">
        <v>322</v>
      </c>
      <c r="B100" s="15" t="s">
        <v>323</v>
      </c>
      <c r="C100" s="16" t="s">
        <v>88</v>
      </c>
      <c r="D100" s="16"/>
      <c r="E100" s="160" t="s">
        <v>5697</v>
      </c>
    </row>
    <row r="101" spans="1:5" ht="17.149999999999999" customHeight="1">
      <c r="A101" s="14" t="s">
        <v>324</v>
      </c>
      <c r="B101" s="15" t="s">
        <v>325</v>
      </c>
      <c r="C101" s="16" t="s">
        <v>88</v>
      </c>
      <c r="D101" s="16"/>
      <c r="E101" s="160" t="s">
        <v>5697</v>
      </c>
    </row>
    <row r="102" spans="1:5" ht="17.149999999999999" customHeight="1">
      <c r="A102" s="14" t="s">
        <v>326</v>
      </c>
      <c r="B102" s="15" t="s">
        <v>327</v>
      </c>
      <c r="C102" s="16" t="s">
        <v>88</v>
      </c>
      <c r="D102" s="16"/>
      <c r="E102" s="160" t="s">
        <v>5697</v>
      </c>
    </row>
    <row r="103" spans="1:5" ht="17.149999999999999" customHeight="1">
      <c r="A103" s="14" t="s">
        <v>328</v>
      </c>
      <c r="B103" s="15" t="s">
        <v>329</v>
      </c>
      <c r="C103" s="16" t="s">
        <v>90</v>
      </c>
      <c r="D103" s="16"/>
      <c r="E103" s="160" t="s">
        <v>5697</v>
      </c>
    </row>
    <row r="104" spans="1:5" ht="17.149999999999999" customHeight="1">
      <c r="A104" s="14" t="s">
        <v>330</v>
      </c>
      <c r="B104" s="15" t="s">
        <v>331</v>
      </c>
      <c r="C104" s="16" t="s">
        <v>88</v>
      </c>
      <c r="D104" s="16"/>
      <c r="E104" s="160" t="s">
        <v>5697</v>
      </c>
    </row>
    <row r="105" spans="1:5" ht="17.149999999999999" customHeight="1">
      <c r="A105" s="14" t="s">
        <v>332</v>
      </c>
      <c r="B105" s="15" t="s">
        <v>333</v>
      </c>
      <c r="C105" s="16" t="s">
        <v>88</v>
      </c>
      <c r="D105" s="16"/>
      <c r="E105" s="160" t="s">
        <v>5697</v>
      </c>
    </row>
    <row r="106" spans="1:5" ht="17.149999999999999" customHeight="1">
      <c r="A106" s="14" t="s">
        <v>334</v>
      </c>
      <c r="B106" s="15" t="s">
        <v>335</v>
      </c>
      <c r="C106" s="16" t="s">
        <v>88</v>
      </c>
      <c r="D106" s="16"/>
      <c r="E106" s="160" t="s">
        <v>6058</v>
      </c>
    </row>
    <row r="107" spans="1:5" ht="17.149999999999999" customHeight="1">
      <c r="A107" s="14" t="s">
        <v>336</v>
      </c>
      <c r="B107" s="15" t="s">
        <v>337</v>
      </c>
      <c r="C107" s="16" t="s">
        <v>88</v>
      </c>
      <c r="D107" s="16"/>
      <c r="E107" s="160" t="s">
        <v>6058</v>
      </c>
    </row>
    <row r="108" spans="1:5" ht="17.149999999999999" customHeight="1">
      <c r="A108" s="14" t="s">
        <v>338</v>
      </c>
      <c r="B108" s="15" t="s">
        <v>339</v>
      </c>
      <c r="C108" s="16" t="s">
        <v>88</v>
      </c>
      <c r="D108" s="16"/>
      <c r="E108" s="160" t="s">
        <v>8178</v>
      </c>
    </row>
    <row r="109" spans="1:5" ht="17.149999999999999" customHeight="1">
      <c r="A109" s="14" t="s">
        <v>340</v>
      </c>
      <c r="B109" s="15" t="s">
        <v>341</v>
      </c>
      <c r="C109" s="16" t="s">
        <v>88</v>
      </c>
      <c r="D109" s="16"/>
      <c r="E109" s="160" t="s">
        <v>8178</v>
      </c>
    </row>
    <row r="110" spans="1:5" ht="17.149999999999999" customHeight="1">
      <c r="A110" s="14" t="s">
        <v>342</v>
      </c>
      <c r="B110" s="15" t="s">
        <v>343</v>
      </c>
      <c r="C110" s="16" t="s">
        <v>88</v>
      </c>
      <c r="D110" s="16"/>
      <c r="E110" s="160" t="s">
        <v>7929</v>
      </c>
    </row>
    <row r="111" spans="1:5" ht="17.149999999999999" customHeight="1">
      <c r="A111" s="14" t="s">
        <v>344</v>
      </c>
      <c r="B111" s="15" t="s">
        <v>345</v>
      </c>
      <c r="C111" s="16" t="s">
        <v>88</v>
      </c>
      <c r="D111" s="16"/>
      <c r="E111" s="160" t="s">
        <v>7929</v>
      </c>
    </row>
    <row r="112" spans="1:5" ht="17.149999999999999" customHeight="1">
      <c r="A112" s="14" t="s">
        <v>346</v>
      </c>
      <c r="B112" s="15" t="s">
        <v>347</v>
      </c>
      <c r="C112" s="16" t="s">
        <v>88</v>
      </c>
      <c r="D112" s="16"/>
      <c r="E112" s="160" t="s">
        <v>7923</v>
      </c>
    </row>
    <row r="113" spans="1:5" ht="17.149999999999999" customHeight="1">
      <c r="A113" s="14" t="s">
        <v>348</v>
      </c>
      <c r="B113" s="15" t="s">
        <v>349</v>
      </c>
      <c r="C113" s="16" t="s">
        <v>88</v>
      </c>
      <c r="D113" s="16"/>
      <c r="E113" s="160" t="s">
        <v>7923</v>
      </c>
    </row>
    <row r="114" spans="1:5" ht="17.149999999999999" customHeight="1">
      <c r="A114" s="14" t="s">
        <v>350</v>
      </c>
      <c r="B114" s="15" t="s">
        <v>351</v>
      </c>
      <c r="C114" s="16" t="s">
        <v>88</v>
      </c>
      <c r="D114" s="16"/>
      <c r="E114" s="160" t="s">
        <v>7923</v>
      </c>
    </row>
    <row r="115" spans="1:5" ht="17.149999999999999" customHeight="1">
      <c r="A115" s="14" t="s">
        <v>352</v>
      </c>
      <c r="B115" s="15" t="s">
        <v>353</v>
      </c>
      <c r="C115" s="16" t="s">
        <v>254</v>
      </c>
      <c r="D115" s="16"/>
      <c r="E115" s="160" t="s">
        <v>6555</v>
      </c>
    </row>
    <row r="116" spans="1:5" ht="17.149999999999999" customHeight="1">
      <c r="A116" s="14" t="s">
        <v>354</v>
      </c>
      <c r="B116" s="15" t="s">
        <v>355</v>
      </c>
      <c r="C116" s="16" t="s">
        <v>254</v>
      </c>
      <c r="D116" s="16"/>
      <c r="E116" s="160" t="s">
        <v>8179</v>
      </c>
    </row>
    <row r="117" spans="1:5" ht="17.149999999999999" customHeight="1">
      <c r="A117" s="14" t="s">
        <v>356</v>
      </c>
      <c r="B117" s="15" t="s">
        <v>357</v>
      </c>
      <c r="C117" s="16" t="s">
        <v>194</v>
      </c>
      <c r="D117" s="16"/>
      <c r="E117" s="160" t="s">
        <v>6062</v>
      </c>
    </row>
    <row r="118" spans="1:5" ht="17.149999999999999" customHeight="1">
      <c r="A118" s="14" t="s">
        <v>358</v>
      </c>
      <c r="B118" s="15" t="s">
        <v>359</v>
      </c>
      <c r="C118" s="16" t="s">
        <v>88</v>
      </c>
      <c r="D118" s="16"/>
      <c r="E118" s="160" t="s">
        <v>7951</v>
      </c>
    </row>
    <row r="119" spans="1:5" ht="17.149999999999999" customHeight="1">
      <c r="A119" s="14" t="s">
        <v>360</v>
      </c>
      <c r="B119" s="15" t="s">
        <v>361</v>
      </c>
      <c r="C119" s="16" t="s">
        <v>88</v>
      </c>
      <c r="D119" s="16"/>
      <c r="E119" s="160" t="s">
        <v>7951</v>
      </c>
    </row>
    <row r="120" spans="1:5" ht="17.149999999999999" customHeight="1">
      <c r="A120" s="14" t="s">
        <v>362</v>
      </c>
      <c r="B120" s="15" t="s">
        <v>363</v>
      </c>
      <c r="C120" s="16" t="s">
        <v>259</v>
      </c>
      <c r="D120" s="16"/>
      <c r="E120" s="160" t="s">
        <v>8180</v>
      </c>
    </row>
    <row r="121" spans="1:5" ht="17.149999999999999" customHeight="1">
      <c r="A121" s="14" t="s">
        <v>364</v>
      </c>
      <c r="B121" s="15" t="s">
        <v>365</v>
      </c>
      <c r="C121" s="16" t="s">
        <v>259</v>
      </c>
      <c r="D121" s="16"/>
      <c r="E121" s="160" t="s">
        <v>8180</v>
      </c>
    </row>
    <row r="122" spans="1:5" ht="17.149999999999999" customHeight="1">
      <c r="A122" s="14" t="s">
        <v>366</v>
      </c>
      <c r="B122" s="15" t="s">
        <v>367</v>
      </c>
      <c r="C122" s="16" t="s">
        <v>259</v>
      </c>
      <c r="D122" s="16"/>
      <c r="E122" s="160" t="s">
        <v>8181</v>
      </c>
    </row>
    <row r="123" spans="1:5" ht="17.149999999999999" customHeight="1">
      <c r="A123" s="14" t="s">
        <v>368</v>
      </c>
      <c r="B123" s="15" t="s">
        <v>369</v>
      </c>
      <c r="C123" s="16" t="s">
        <v>259</v>
      </c>
      <c r="D123" s="16"/>
      <c r="E123" s="160" t="s">
        <v>8181</v>
      </c>
    </row>
    <row r="124" spans="1:5" ht="17.149999999999999" customHeight="1">
      <c r="A124" s="14" t="s">
        <v>370</v>
      </c>
      <c r="B124" s="15" t="s">
        <v>371</v>
      </c>
      <c r="C124" s="16" t="s">
        <v>90</v>
      </c>
      <c r="D124" s="16"/>
      <c r="E124" s="160" t="s">
        <v>8182</v>
      </c>
    </row>
    <row r="125" spans="1:5" ht="17.149999999999999" customHeight="1">
      <c r="A125" s="14" t="s">
        <v>372</v>
      </c>
      <c r="B125" s="15" t="s">
        <v>373</v>
      </c>
      <c r="C125" s="16" t="s">
        <v>90</v>
      </c>
      <c r="D125" s="16"/>
      <c r="E125" s="160" t="s">
        <v>8182</v>
      </c>
    </row>
    <row r="126" spans="1:5" ht="17.149999999999999" customHeight="1">
      <c r="A126" s="14" t="s">
        <v>374</v>
      </c>
      <c r="B126" s="15" t="s">
        <v>375</v>
      </c>
      <c r="C126" s="16" t="s">
        <v>90</v>
      </c>
      <c r="D126" s="16"/>
      <c r="E126" s="160" t="s">
        <v>8182</v>
      </c>
    </row>
    <row r="127" spans="1:5" ht="17.149999999999999" customHeight="1">
      <c r="A127" s="14" t="s">
        <v>376</v>
      </c>
      <c r="B127" s="15" t="s">
        <v>377</v>
      </c>
      <c r="C127" s="16" t="s">
        <v>259</v>
      </c>
      <c r="D127" s="16"/>
      <c r="E127" s="160" t="s">
        <v>8182</v>
      </c>
    </row>
    <row r="128" spans="1:5" ht="17.149999999999999" customHeight="1">
      <c r="A128" s="14" t="s">
        <v>378</v>
      </c>
      <c r="B128" s="15" t="s">
        <v>379</v>
      </c>
      <c r="C128" s="16" t="s">
        <v>259</v>
      </c>
      <c r="D128" s="16"/>
      <c r="E128" s="160" t="s">
        <v>8182</v>
      </c>
    </row>
    <row r="129" spans="1:5" ht="17.149999999999999" customHeight="1">
      <c r="A129" s="14" t="s">
        <v>380</v>
      </c>
      <c r="B129" s="15" t="s">
        <v>381</v>
      </c>
      <c r="C129" s="16" t="s">
        <v>259</v>
      </c>
      <c r="D129" s="16"/>
      <c r="E129" s="160" t="s">
        <v>8182</v>
      </c>
    </row>
    <row r="130" spans="1:5" ht="17.149999999999999" customHeight="1">
      <c r="A130" s="14" t="s">
        <v>382</v>
      </c>
      <c r="B130" s="15" t="s">
        <v>383</v>
      </c>
      <c r="C130" s="16" t="s">
        <v>194</v>
      </c>
      <c r="D130" s="16"/>
      <c r="E130" s="160" t="s">
        <v>5563</v>
      </c>
    </row>
    <row r="131" spans="1:5" ht="17.149999999999999" customHeight="1">
      <c r="A131" s="14" t="s">
        <v>384</v>
      </c>
      <c r="B131" s="15" t="s">
        <v>385</v>
      </c>
      <c r="C131" s="16" t="s">
        <v>194</v>
      </c>
      <c r="D131" s="16"/>
      <c r="E131" s="160" t="s">
        <v>5563</v>
      </c>
    </row>
    <row r="132" spans="1:5" ht="17.149999999999999" customHeight="1">
      <c r="A132" s="14" t="s">
        <v>386</v>
      </c>
      <c r="B132" s="15" t="s">
        <v>387</v>
      </c>
      <c r="C132" s="16" t="s">
        <v>259</v>
      </c>
      <c r="D132" s="16"/>
      <c r="E132" s="160" t="s">
        <v>8183</v>
      </c>
    </row>
    <row r="133" spans="1:5" ht="17.149999999999999" customHeight="1">
      <c r="A133" s="14" t="s">
        <v>388</v>
      </c>
      <c r="B133" s="15" t="s">
        <v>389</v>
      </c>
      <c r="C133" s="16" t="s">
        <v>259</v>
      </c>
      <c r="D133" s="16"/>
      <c r="E133" s="160" t="s">
        <v>8184</v>
      </c>
    </row>
    <row r="134" spans="1:5" ht="17.149999999999999" customHeight="1">
      <c r="A134" s="14" t="s">
        <v>390</v>
      </c>
      <c r="B134" s="15" t="s">
        <v>391</v>
      </c>
      <c r="C134" s="16" t="s">
        <v>194</v>
      </c>
      <c r="D134" s="16"/>
      <c r="E134" s="160" t="s">
        <v>5564</v>
      </c>
    </row>
    <row r="135" spans="1:5" ht="17.149999999999999" customHeight="1">
      <c r="A135" s="14" t="s">
        <v>392</v>
      </c>
      <c r="B135" s="15" t="s">
        <v>393</v>
      </c>
      <c r="C135" s="16" t="s">
        <v>194</v>
      </c>
      <c r="D135" s="16"/>
      <c r="E135" s="160" t="s">
        <v>5564</v>
      </c>
    </row>
    <row r="136" spans="1:5" ht="17.149999999999999" customHeight="1">
      <c r="A136" s="14" t="s">
        <v>394</v>
      </c>
      <c r="B136" s="15" t="s">
        <v>395</v>
      </c>
      <c r="C136" s="16" t="s">
        <v>259</v>
      </c>
      <c r="D136" s="16"/>
      <c r="E136" s="160" t="s">
        <v>8185</v>
      </c>
    </row>
    <row r="137" spans="1:5" ht="17.149999999999999" customHeight="1">
      <c r="A137" s="14" t="s">
        <v>396</v>
      </c>
      <c r="B137" s="15" t="s">
        <v>397</v>
      </c>
      <c r="C137" s="16" t="s">
        <v>259</v>
      </c>
      <c r="D137" s="16"/>
      <c r="E137" s="160" t="s">
        <v>8186</v>
      </c>
    </row>
    <row r="138" spans="1:5" ht="17.149999999999999" customHeight="1">
      <c r="A138" s="14" t="s">
        <v>398</v>
      </c>
      <c r="B138" s="15" t="s">
        <v>399</v>
      </c>
      <c r="C138" s="16" t="s">
        <v>254</v>
      </c>
      <c r="D138" s="16"/>
      <c r="E138" s="160" t="s">
        <v>5850</v>
      </c>
    </row>
    <row r="139" spans="1:5" ht="17.149999999999999" customHeight="1">
      <c r="A139" s="14" t="s">
        <v>400</v>
      </c>
      <c r="B139" s="15" t="s">
        <v>401</v>
      </c>
      <c r="C139" s="16" t="s">
        <v>194</v>
      </c>
      <c r="D139" s="16"/>
      <c r="E139" s="160" t="s">
        <v>5565</v>
      </c>
    </row>
    <row r="140" spans="1:5" ht="17.149999999999999" customHeight="1">
      <c r="A140" s="14" t="s">
        <v>402</v>
      </c>
      <c r="B140" s="15" t="s">
        <v>403</v>
      </c>
      <c r="C140" s="16" t="s">
        <v>194</v>
      </c>
      <c r="D140" s="16"/>
      <c r="E140" s="160" t="s">
        <v>5565</v>
      </c>
    </row>
    <row r="141" spans="1:5" ht="17.149999999999999" customHeight="1">
      <c r="A141" s="14" t="s">
        <v>404</v>
      </c>
      <c r="B141" s="15" t="s">
        <v>405</v>
      </c>
      <c r="C141" s="16" t="s">
        <v>194</v>
      </c>
      <c r="D141" s="16"/>
      <c r="E141" s="160" t="s">
        <v>5565</v>
      </c>
    </row>
    <row r="142" spans="1:5" ht="17.149999999999999" customHeight="1">
      <c r="A142" s="14" t="s">
        <v>406</v>
      </c>
      <c r="B142" s="15" t="s">
        <v>407</v>
      </c>
      <c r="C142" s="16" t="s">
        <v>194</v>
      </c>
      <c r="D142" s="16"/>
      <c r="E142" s="160" t="s">
        <v>5566</v>
      </c>
    </row>
    <row r="143" spans="1:5" ht="17.149999999999999" customHeight="1">
      <c r="A143" s="14" t="s">
        <v>408</v>
      </c>
      <c r="B143" s="15" t="s">
        <v>409</v>
      </c>
      <c r="C143" s="16" t="s">
        <v>194</v>
      </c>
      <c r="D143" s="16"/>
      <c r="E143" s="160" t="s">
        <v>5565</v>
      </c>
    </row>
    <row r="144" spans="1:5" ht="17.149999999999999" customHeight="1">
      <c r="A144" s="14" t="s">
        <v>410</v>
      </c>
      <c r="B144" s="15" t="s">
        <v>411</v>
      </c>
      <c r="C144" s="16" t="s">
        <v>194</v>
      </c>
      <c r="D144" s="16"/>
      <c r="E144" s="160" t="s">
        <v>5566</v>
      </c>
    </row>
    <row r="145" spans="1:5" ht="17.149999999999999" customHeight="1">
      <c r="A145" s="14" t="s">
        <v>412</v>
      </c>
      <c r="B145" s="15" t="s">
        <v>413</v>
      </c>
      <c r="C145" s="16" t="s">
        <v>414</v>
      </c>
      <c r="D145" s="16"/>
      <c r="E145" s="160" t="s">
        <v>6393</v>
      </c>
    </row>
    <row r="146" spans="1:5" ht="17.149999999999999" customHeight="1">
      <c r="A146" s="14" t="s">
        <v>415</v>
      </c>
      <c r="B146" s="15" t="s">
        <v>416</v>
      </c>
      <c r="C146" s="16" t="s">
        <v>414</v>
      </c>
      <c r="D146" s="16"/>
      <c r="E146" s="160" t="s">
        <v>6393</v>
      </c>
    </row>
    <row r="147" spans="1:5" ht="17.149999999999999" customHeight="1">
      <c r="A147" s="14" t="s">
        <v>417</v>
      </c>
      <c r="B147" s="15" t="s">
        <v>418</v>
      </c>
      <c r="C147" s="16" t="s">
        <v>88</v>
      </c>
      <c r="D147" s="16"/>
      <c r="E147" s="160" t="s">
        <v>6393</v>
      </c>
    </row>
    <row r="148" spans="1:5" ht="17.149999999999999" customHeight="1">
      <c r="A148" s="14" t="s">
        <v>419</v>
      </c>
      <c r="B148" s="15" t="s">
        <v>420</v>
      </c>
      <c r="C148" s="16" t="s">
        <v>88</v>
      </c>
      <c r="D148" s="16"/>
      <c r="E148" s="160" t="s">
        <v>6393</v>
      </c>
    </row>
    <row r="149" spans="1:5" ht="17.149999999999999" customHeight="1">
      <c r="A149" s="14" t="s">
        <v>421</v>
      </c>
      <c r="B149" s="15" t="s">
        <v>422</v>
      </c>
      <c r="C149" s="16" t="s">
        <v>88</v>
      </c>
      <c r="D149" s="16"/>
      <c r="E149" s="160" t="s">
        <v>5816</v>
      </c>
    </row>
    <row r="150" spans="1:5" ht="17.149999999999999" customHeight="1">
      <c r="A150" s="14" t="s">
        <v>423</v>
      </c>
      <c r="B150" s="15" t="s">
        <v>424</v>
      </c>
      <c r="C150" s="16" t="s">
        <v>88</v>
      </c>
      <c r="D150" s="16"/>
      <c r="E150" s="160" t="s">
        <v>5816</v>
      </c>
    </row>
    <row r="151" spans="1:5" ht="17.149999999999999" customHeight="1">
      <c r="A151" s="14" t="s">
        <v>425</v>
      </c>
      <c r="B151" s="15" t="s">
        <v>426</v>
      </c>
      <c r="C151" s="16" t="s">
        <v>88</v>
      </c>
      <c r="D151" s="16"/>
      <c r="E151" s="160" t="s">
        <v>5864</v>
      </c>
    </row>
    <row r="152" spans="1:5" ht="17.149999999999999" customHeight="1">
      <c r="A152" s="14" t="s">
        <v>427</v>
      </c>
      <c r="B152" s="15" t="s">
        <v>428</v>
      </c>
      <c r="C152" s="16" t="s">
        <v>414</v>
      </c>
      <c r="D152" s="16"/>
      <c r="E152" s="160" t="s">
        <v>5845</v>
      </c>
    </row>
    <row r="153" spans="1:5" ht="17.149999999999999" customHeight="1">
      <c r="A153" s="14" t="s">
        <v>429</v>
      </c>
      <c r="B153" s="15" t="s">
        <v>430</v>
      </c>
      <c r="C153" s="16" t="s">
        <v>414</v>
      </c>
      <c r="D153" s="16"/>
      <c r="E153" s="160" t="s">
        <v>5845</v>
      </c>
    </row>
    <row r="154" spans="1:5" ht="17.149999999999999" customHeight="1">
      <c r="A154" s="14" t="s">
        <v>431</v>
      </c>
      <c r="B154" s="15" t="s">
        <v>432</v>
      </c>
      <c r="C154" s="16" t="s">
        <v>88</v>
      </c>
      <c r="D154" s="16"/>
      <c r="E154" s="160" t="s">
        <v>5845</v>
      </c>
    </row>
    <row r="155" spans="1:5" ht="17.149999999999999" customHeight="1">
      <c r="A155" s="14" t="s">
        <v>433</v>
      </c>
      <c r="B155" s="15" t="s">
        <v>434</v>
      </c>
      <c r="C155" s="16" t="s">
        <v>88</v>
      </c>
      <c r="D155" s="16"/>
      <c r="E155" s="160" t="s">
        <v>5845</v>
      </c>
    </row>
    <row r="156" spans="1:5" ht="17.149999999999999" customHeight="1">
      <c r="A156" s="14" t="s">
        <v>435</v>
      </c>
      <c r="B156" s="15" t="s">
        <v>436</v>
      </c>
      <c r="C156" s="16" t="s">
        <v>88</v>
      </c>
      <c r="D156" s="16"/>
      <c r="E156" s="160" t="s">
        <v>5787</v>
      </c>
    </row>
    <row r="157" spans="1:5" ht="17.149999999999999" customHeight="1">
      <c r="A157" s="14" t="s">
        <v>437</v>
      </c>
      <c r="B157" s="15" t="s">
        <v>438</v>
      </c>
      <c r="C157" s="16" t="s">
        <v>88</v>
      </c>
      <c r="D157" s="16"/>
      <c r="E157" s="160" t="s">
        <v>5787</v>
      </c>
    </row>
    <row r="158" spans="1:5" ht="17.149999999999999" customHeight="1">
      <c r="A158" s="14" t="s">
        <v>439</v>
      </c>
      <c r="B158" s="15" t="s">
        <v>440</v>
      </c>
      <c r="C158" s="16" t="s">
        <v>88</v>
      </c>
      <c r="D158" s="16"/>
      <c r="E158" s="160" t="s">
        <v>5845</v>
      </c>
    </row>
    <row r="159" spans="1:5" ht="17.149999999999999" customHeight="1">
      <c r="A159" s="14" t="s">
        <v>441</v>
      </c>
      <c r="B159" s="15" t="s">
        <v>442</v>
      </c>
      <c r="C159" s="16" t="s">
        <v>194</v>
      </c>
      <c r="D159" s="16"/>
      <c r="E159" s="160" t="s">
        <v>6410</v>
      </c>
    </row>
    <row r="160" spans="1:5" ht="17.149999999999999" customHeight="1">
      <c r="A160" s="14" t="s">
        <v>443</v>
      </c>
      <c r="B160" s="15" t="s">
        <v>444</v>
      </c>
      <c r="C160" s="16">
        <v>0</v>
      </c>
      <c r="D160" s="16"/>
      <c r="E160" s="160" t="s">
        <v>8187</v>
      </c>
    </row>
    <row r="161" spans="1:5" ht="17.149999999999999" customHeight="1">
      <c r="A161" s="14" t="s">
        <v>445</v>
      </c>
      <c r="B161" s="15" t="s">
        <v>446</v>
      </c>
      <c r="C161" s="16">
        <v>0</v>
      </c>
      <c r="D161" s="16"/>
      <c r="E161" s="160" t="s">
        <v>8187</v>
      </c>
    </row>
    <row r="162" spans="1:5" ht="17.149999999999999" customHeight="1">
      <c r="A162" s="14" t="s">
        <v>447</v>
      </c>
      <c r="B162" s="15" t="s">
        <v>448</v>
      </c>
      <c r="C162" s="16">
        <v>0</v>
      </c>
      <c r="D162" s="16"/>
      <c r="E162" s="160" t="s">
        <v>8188</v>
      </c>
    </row>
    <row r="163" spans="1:5" ht="17.149999999999999" customHeight="1">
      <c r="A163" s="14" t="s">
        <v>449</v>
      </c>
      <c r="B163" s="15" t="s">
        <v>450</v>
      </c>
      <c r="C163" s="16">
        <v>0</v>
      </c>
      <c r="D163" s="16"/>
      <c r="E163" s="160" t="s">
        <v>8188</v>
      </c>
    </row>
    <row r="164" spans="1:5" ht="17.149999999999999" customHeight="1">
      <c r="A164" s="14" t="s">
        <v>451</v>
      </c>
      <c r="B164" s="15" t="s">
        <v>452</v>
      </c>
      <c r="C164" s="16" t="s">
        <v>93</v>
      </c>
      <c r="D164" s="16"/>
      <c r="E164" s="160" t="s">
        <v>5538</v>
      </c>
    </row>
    <row r="165" spans="1:5" ht="17.149999999999999" customHeight="1">
      <c r="A165" s="14" t="s">
        <v>453</v>
      </c>
      <c r="B165" s="15" t="s">
        <v>454</v>
      </c>
      <c r="C165" s="16" t="s">
        <v>93</v>
      </c>
      <c r="D165" s="16"/>
      <c r="E165" s="160" t="s">
        <v>5539</v>
      </c>
    </row>
    <row r="166" spans="1:5" ht="17.149999999999999" customHeight="1">
      <c r="A166" s="14" t="s">
        <v>455</v>
      </c>
      <c r="B166" s="15" t="s">
        <v>456</v>
      </c>
      <c r="C166" s="16">
        <v>0</v>
      </c>
      <c r="D166" s="16"/>
      <c r="E166" s="160" t="s">
        <v>8189</v>
      </c>
    </row>
    <row r="167" spans="1:5" ht="17.149999999999999" customHeight="1">
      <c r="A167" s="14" t="s">
        <v>457</v>
      </c>
      <c r="B167" s="15" t="s">
        <v>458</v>
      </c>
      <c r="C167" s="16">
        <v>0</v>
      </c>
      <c r="D167" s="16"/>
      <c r="E167" s="160" t="s">
        <v>8189</v>
      </c>
    </row>
    <row r="168" spans="1:5" ht="17.149999999999999" customHeight="1">
      <c r="A168" s="14" t="s">
        <v>459</v>
      </c>
      <c r="B168" s="15" t="s">
        <v>460</v>
      </c>
      <c r="C168" s="16">
        <v>0</v>
      </c>
      <c r="D168" s="16"/>
      <c r="E168" s="160" t="s">
        <v>8189</v>
      </c>
    </row>
    <row r="169" spans="1:5" ht="17.149999999999999" customHeight="1">
      <c r="A169" s="14" t="s">
        <v>461</v>
      </c>
      <c r="B169" s="15" t="s">
        <v>462</v>
      </c>
      <c r="C169" s="16">
        <v>0</v>
      </c>
      <c r="D169" s="16"/>
      <c r="E169" s="160" t="s">
        <v>8189</v>
      </c>
    </row>
    <row r="170" spans="1:5" ht="17.149999999999999" customHeight="1">
      <c r="A170" s="14" t="s">
        <v>463</v>
      </c>
      <c r="B170" s="15" t="s">
        <v>464</v>
      </c>
      <c r="C170" s="16">
        <v>0</v>
      </c>
      <c r="D170" s="16"/>
      <c r="E170" s="160" t="s">
        <v>8188</v>
      </c>
    </row>
    <row r="171" spans="1:5" ht="17.149999999999999" customHeight="1">
      <c r="A171" s="14" t="s">
        <v>465</v>
      </c>
      <c r="B171" s="15" t="s">
        <v>466</v>
      </c>
      <c r="C171" s="16">
        <v>0</v>
      </c>
      <c r="D171" s="16"/>
      <c r="E171" s="160" t="s">
        <v>8188</v>
      </c>
    </row>
    <row r="172" spans="1:5" ht="17.149999999999999" customHeight="1">
      <c r="A172" s="14" t="s">
        <v>467</v>
      </c>
      <c r="B172" s="15" t="s">
        <v>468</v>
      </c>
      <c r="C172" s="16" t="s">
        <v>93</v>
      </c>
      <c r="D172" s="16"/>
      <c r="E172" s="160" t="s">
        <v>5540</v>
      </c>
    </row>
    <row r="173" spans="1:5" ht="17.149999999999999" customHeight="1">
      <c r="A173" s="14" t="s">
        <v>469</v>
      </c>
      <c r="B173" s="15" t="s">
        <v>470</v>
      </c>
      <c r="C173" s="16" t="s">
        <v>93</v>
      </c>
      <c r="D173" s="16"/>
      <c r="E173" s="160" t="s">
        <v>5540</v>
      </c>
    </row>
    <row r="174" spans="1:5" ht="17.149999999999999" customHeight="1">
      <c r="A174" s="14" t="s">
        <v>471</v>
      </c>
      <c r="B174" s="15" t="s">
        <v>472</v>
      </c>
      <c r="C174" s="16">
        <v>0</v>
      </c>
      <c r="D174" s="16"/>
      <c r="E174" s="160" t="s">
        <v>6234</v>
      </c>
    </row>
    <row r="175" spans="1:5" ht="17.149999999999999" customHeight="1">
      <c r="A175" s="14" t="s">
        <v>473</v>
      </c>
      <c r="B175" s="15" t="s">
        <v>474</v>
      </c>
      <c r="C175" s="16">
        <v>0</v>
      </c>
      <c r="D175" s="16"/>
      <c r="E175" s="160" t="s">
        <v>6234</v>
      </c>
    </row>
    <row r="176" spans="1:5" ht="17.149999999999999" customHeight="1">
      <c r="A176" s="14" t="s">
        <v>475</v>
      </c>
      <c r="B176" s="15" t="s">
        <v>476</v>
      </c>
      <c r="C176" s="16">
        <v>0</v>
      </c>
      <c r="D176" s="16"/>
      <c r="E176" s="160" t="s">
        <v>6235</v>
      </c>
    </row>
    <row r="177" spans="1:5" ht="17.149999999999999" customHeight="1">
      <c r="A177" s="14" t="s">
        <v>477</v>
      </c>
      <c r="B177" s="15" t="s">
        <v>478</v>
      </c>
      <c r="C177" s="16">
        <v>0</v>
      </c>
      <c r="D177" s="16"/>
      <c r="E177" s="160" t="s">
        <v>6235</v>
      </c>
    </row>
    <row r="178" spans="1:5" ht="17.149999999999999" customHeight="1">
      <c r="A178" s="14" t="s">
        <v>479</v>
      </c>
      <c r="B178" s="15" t="s">
        <v>480</v>
      </c>
      <c r="C178" s="16">
        <v>0</v>
      </c>
      <c r="D178" s="16"/>
      <c r="E178" s="160" t="s">
        <v>8190</v>
      </c>
    </row>
    <row r="179" spans="1:5" ht="17.149999999999999" customHeight="1">
      <c r="A179" s="14" t="s">
        <v>481</v>
      </c>
      <c r="B179" s="15" t="s">
        <v>482</v>
      </c>
      <c r="C179" s="16">
        <v>0</v>
      </c>
      <c r="D179" s="16"/>
      <c r="E179" s="160" t="s">
        <v>8190</v>
      </c>
    </row>
    <row r="180" spans="1:5" ht="17.149999999999999" customHeight="1">
      <c r="A180" s="14" t="s">
        <v>483</v>
      </c>
      <c r="B180" s="15" t="s">
        <v>484</v>
      </c>
      <c r="C180" s="16" t="s">
        <v>93</v>
      </c>
      <c r="D180" s="16"/>
      <c r="E180" s="160" t="s">
        <v>5624</v>
      </c>
    </row>
    <row r="181" spans="1:5" ht="17.149999999999999" customHeight="1">
      <c r="A181" s="14" t="s">
        <v>485</v>
      </c>
      <c r="B181" s="15" t="s">
        <v>486</v>
      </c>
      <c r="C181" s="16">
        <v>0</v>
      </c>
      <c r="D181" s="16"/>
      <c r="E181" s="160" t="s">
        <v>8191</v>
      </c>
    </row>
    <row r="182" spans="1:5" ht="17.149999999999999" customHeight="1">
      <c r="A182" s="14" t="s">
        <v>487</v>
      </c>
      <c r="B182" s="15" t="s">
        <v>488</v>
      </c>
      <c r="C182" s="16">
        <v>0</v>
      </c>
      <c r="D182" s="16"/>
      <c r="E182" s="160" t="s">
        <v>8191</v>
      </c>
    </row>
    <row r="183" spans="1:5" ht="17.149999999999999" customHeight="1">
      <c r="A183" s="14" t="s">
        <v>489</v>
      </c>
      <c r="B183" s="15" t="s">
        <v>490</v>
      </c>
      <c r="C183" s="16" t="s">
        <v>93</v>
      </c>
      <c r="D183" s="16"/>
      <c r="E183" s="160" t="s">
        <v>5623</v>
      </c>
    </row>
    <row r="184" spans="1:5" ht="17.149999999999999" customHeight="1">
      <c r="A184" s="14" t="s">
        <v>491</v>
      </c>
      <c r="B184" s="15" t="s">
        <v>492</v>
      </c>
      <c r="C184" s="16" t="s">
        <v>89</v>
      </c>
      <c r="D184" s="16"/>
      <c r="E184" s="160" t="s">
        <v>5536</v>
      </c>
    </row>
    <row r="185" spans="1:5" ht="17.149999999999999" customHeight="1">
      <c r="A185" s="14" t="s">
        <v>491</v>
      </c>
      <c r="B185" s="15" t="s">
        <v>492</v>
      </c>
      <c r="C185" s="16" t="s">
        <v>89</v>
      </c>
      <c r="D185" s="16"/>
      <c r="E185" s="160" t="s">
        <v>5536</v>
      </c>
    </row>
    <row r="186" spans="1:5" ht="17.149999999999999" customHeight="1">
      <c r="A186" s="14" t="s">
        <v>493</v>
      </c>
      <c r="B186" s="15" t="s">
        <v>494</v>
      </c>
      <c r="C186" s="16" t="s">
        <v>89</v>
      </c>
      <c r="D186" s="16"/>
      <c r="E186" s="160" t="s">
        <v>5536</v>
      </c>
    </row>
    <row r="187" spans="1:5" ht="17.149999999999999" customHeight="1">
      <c r="A187" s="14" t="s">
        <v>493</v>
      </c>
      <c r="B187" s="15" t="s">
        <v>494</v>
      </c>
      <c r="C187" s="16" t="s">
        <v>89</v>
      </c>
      <c r="D187" s="16"/>
      <c r="E187" s="160" t="s">
        <v>5536</v>
      </c>
    </row>
    <row r="188" spans="1:5" ht="17.149999999999999" customHeight="1">
      <c r="A188" s="14" t="s">
        <v>495</v>
      </c>
      <c r="B188" s="15" t="s">
        <v>496</v>
      </c>
      <c r="C188" s="16" t="s">
        <v>259</v>
      </c>
      <c r="D188" s="16"/>
      <c r="E188" s="160" t="s">
        <v>8192</v>
      </c>
    </row>
    <row r="189" spans="1:5" ht="17.149999999999999" customHeight="1">
      <c r="A189" s="14" t="s">
        <v>497</v>
      </c>
      <c r="B189" s="15" t="s">
        <v>498</v>
      </c>
      <c r="C189" s="16" t="s">
        <v>194</v>
      </c>
      <c r="D189" s="16"/>
      <c r="E189" s="160" t="s">
        <v>8193</v>
      </c>
    </row>
    <row r="190" spans="1:5" ht="17.149999999999999" customHeight="1">
      <c r="A190" s="14" t="s">
        <v>499</v>
      </c>
      <c r="B190" s="15" t="s">
        <v>500</v>
      </c>
      <c r="C190" s="16">
        <v>0</v>
      </c>
      <c r="D190" s="16"/>
      <c r="E190" s="160" t="s">
        <v>8193</v>
      </c>
    </row>
    <row r="191" spans="1:5" ht="17.149999999999999" customHeight="1">
      <c r="A191" s="14" t="s">
        <v>501</v>
      </c>
      <c r="B191" s="15" t="s">
        <v>502</v>
      </c>
      <c r="C191" s="16" t="s">
        <v>194</v>
      </c>
      <c r="D191" s="16"/>
      <c r="E191" s="160" t="s">
        <v>8193</v>
      </c>
    </row>
    <row r="192" spans="1:5" ht="17.149999999999999" customHeight="1">
      <c r="A192" s="14" t="s">
        <v>503</v>
      </c>
      <c r="B192" s="15" t="s">
        <v>504</v>
      </c>
      <c r="C192" s="16">
        <v>0</v>
      </c>
      <c r="D192" s="16"/>
      <c r="E192" s="160" t="s">
        <v>8193</v>
      </c>
    </row>
    <row r="193" spans="1:5" ht="17.149999999999999" customHeight="1">
      <c r="A193" s="14" t="s">
        <v>505</v>
      </c>
      <c r="B193" s="15" t="s">
        <v>506</v>
      </c>
      <c r="C193" s="16" t="s">
        <v>93</v>
      </c>
      <c r="D193" s="16"/>
      <c r="E193" s="160" t="s">
        <v>5537</v>
      </c>
    </row>
    <row r="194" spans="1:5" ht="17.149999999999999" customHeight="1">
      <c r="A194" s="14" t="s">
        <v>507</v>
      </c>
      <c r="B194" s="15" t="s">
        <v>508</v>
      </c>
      <c r="C194" s="16" t="s">
        <v>90</v>
      </c>
      <c r="D194" s="16"/>
      <c r="E194" s="160" t="s">
        <v>8194</v>
      </c>
    </row>
    <row r="195" spans="1:5" ht="17.149999999999999" customHeight="1">
      <c r="A195" s="14" t="s">
        <v>509</v>
      </c>
      <c r="B195" s="15" t="s">
        <v>510</v>
      </c>
      <c r="C195" s="16" t="s">
        <v>90</v>
      </c>
      <c r="D195" s="16"/>
      <c r="E195" s="160" t="s">
        <v>8195</v>
      </c>
    </row>
    <row r="196" spans="1:5" ht="17.149999999999999" customHeight="1">
      <c r="A196" s="14" t="s">
        <v>511</v>
      </c>
      <c r="B196" s="15" t="s">
        <v>512</v>
      </c>
      <c r="C196" s="16" t="s">
        <v>89</v>
      </c>
      <c r="D196" s="16"/>
      <c r="E196" s="160" t="s">
        <v>5535</v>
      </c>
    </row>
    <row r="197" spans="1:5" ht="17.149999999999999" customHeight="1">
      <c r="A197" s="14" t="s">
        <v>511</v>
      </c>
      <c r="B197" s="15" t="s">
        <v>512</v>
      </c>
      <c r="C197" s="16" t="s">
        <v>89</v>
      </c>
      <c r="D197" s="16"/>
      <c r="E197" s="160" t="s">
        <v>5535</v>
      </c>
    </row>
    <row r="198" spans="1:5" ht="17.149999999999999" customHeight="1">
      <c r="A198" s="14" t="s">
        <v>513</v>
      </c>
      <c r="B198" s="15" t="s">
        <v>514</v>
      </c>
      <c r="C198" s="16" t="s">
        <v>90</v>
      </c>
      <c r="D198" s="16"/>
      <c r="E198" s="160" t="s">
        <v>8196</v>
      </c>
    </row>
    <row r="199" spans="1:5" ht="17.149999999999999" customHeight="1">
      <c r="A199" s="14" t="s">
        <v>515</v>
      </c>
      <c r="B199" s="15" t="s">
        <v>516</v>
      </c>
      <c r="C199" s="16" t="s">
        <v>90</v>
      </c>
      <c r="D199" s="16"/>
      <c r="E199" s="160" t="s">
        <v>8196</v>
      </c>
    </row>
    <row r="200" spans="1:5" ht="17.149999999999999" customHeight="1">
      <c r="A200" s="14" t="s">
        <v>517</v>
      </c>
      <c r="B200" s="15" t="s">
        <v>518</v>
      </c>
      <c r="C200" s="16" t="s">
        <v>92</v>
      </c>
      <c r="D200" s="16"/>
      <c r="E200" s="160" t="s">
        <v>5596</v>
      </c>
    </row>
    <row r="201" spans="1:5" ht="17.149999999999999" customHeight="1">
      <c r="A201" s="14" t="s">
        <v>517</v>
      </c>
      <c r="B201" s="15" t="s">
        <v>518</v>
      </c>
      <c r="C201" s="16" t="s">
        <v>92</v>
      </c>
      <c r="D201" s="16"/>
      <c r="E201" s="160" t="s">
        <v>5596</v>
      </c>
    </row>
    <row r="202" spans="1:5" ht="17.149999999999999" customHeight="1">
      <c r="A202" s="14" t="s">
        <v>519</v>
      </c>
      <c r="B202" s="15" t="s">
        <v>520</v>
      </c>
      <c r="C202" s="16" t="s">
        <v>89</v>
      </c>
      <c r="D202" s="16"/>
      <c r="E202" s="160" t="s">
        <v>5596</v>
      </c>
    </row>
    <row r="203" spans="1:5" ht="17.149999999999999" customHeight="1">
      <c r="A203" s="14" t="s">
        <v>519</v>
      </c>
      <c r="B203" s="15" t="s">
        <v>520</v>
      </c>
      <c r="C203" s="16" t="s">
        <v>89</v>
      </c>
      <c r="D203" s="16"/>
      <c r="E203" s="160" t="s">
        <v>5596</v>
      </c>
    </row>
    <row r="204" spans="1:5" ht="17.149999999999999" customHeight="1">
      <c r="A204" s="14" t="s">
        <v>521</v>
      </c>
      <c r="B204" s="15" t="s">
        <v>522</v>
      </c>
      <c r="C204" s="16" t="s">
        <v>92</v>
      </c>
      <c r="D204" s="16"/>
      <c r="E204" s="160" t="s">
        <v>8197</v>
      </c>
    </row>
    <row r="205" spans="1:5" ht="17.149999999999999" customHeight="1">
      <c r="A205" s="14" t="s">
        <v>521</v>
      </c>
      <c r="B205" s="15" t="s">
        <v>522</v>
      </c>
      <c r="C205" s="16" t="s">
        <v>92</v>
      </c>
      <c r="D205" s="16"/>
      <c r="E205" s="160" t="s">
        <v>8197</v>
      </c>
    </row>
    <row r="206" spans="1:5" ht="17.149999999999999" customHeight="1">
      <c r="A206" s="14" t="s">
        <v>523</v>
      </c>
      <c r="B206" s="15" t="s">
        <v>524</v>
      </c>
      <c r="C206" s="16">
        <v>0</v>
      </c>
      <c r="D206" s="16"/>
      <c r="E206" s="160" t="s">
        <v>8198</v>
      </c>
    </row>
    <row r="207" spans="1:5" ht="17.149999999999999" customHeight="1">
      <c r="A207" s="14" t="s">
        <v>525</v>
      </c>
      <c r="B207" s="15" t="s">
        <v>526</v>
      </c>
      <c r="C207" s="16">
        <v>0</v>
      </c>
      <c r="D207" s="16"/>
      <c r="E207" s="160" t="s">
        <v>8199</v>
      </c>
    </row>
    <row r="208" spans="1:5" ht="17.149999999999999" customHeight="1">
      <c r="A208" s="14" t="s">
        <v>527</v>
      </c>
      <c r="B208" s="15" t="s">
        <v>528</v>
      </c>
      <c r="C208" s="16">
        <v>0</v>
      </c>
      <c r="D208" s="16"/>
      <c r="E208" s="160" t="s">
        <v>8200</v>
      </c>
    </row>
    <row r="209" spans="1:5" ht="17.149999999999999" customHeight="1">
      <c r="A209" s="14" t="s">
        <v>529</v>
      </c>
      <c r="B209" s="15" t="s">
        <v>530</v>
      </c>
      <c r="C209" s="16" t="s">
        <v>259</v>
      </c>
      <c r="D209" s="16"/>
      <c r="E209" s="160" t="s">
        <v>8006</v>
      </c>
    </row>
    <row r="210" spans="1:5" ht="17.149999999999999" customHeight="1">
      <c r="A210" s="14" t="s">
        <v>529</v>
      </c>
      <c r="B210" s="15" t="s">
        <v>530</v>
      </c>
      <c r="C210" s="16" t="s">
        <v>259</v>
      </c>
      <c r="D210" s="16"/>
      <c r="E210" s="160" t="s">
        <v>8006</v>
      </c>
    </row>
    <row r="211" spans="1:5" ht="17.149999999999999" customHeight="1">
      <c r="A211" s="14" t="s">
        <v>531</v>
      </c>
      <c r="B211" s="15" t="s">
        <v>532</v>
      </c>
      <c r="C211" s="16" t="s">
        <v>259</v>
      </c>
      <c r="D211" s="16"/>
      <c r="E211" s="160" t="s">
        <v>8006</v>
      </c>
    </row>
    <row r="212" spans="1:5" ht="17.149999999999999" customHeight="1">
      <c r="A212" s="14" t="s">
        <v>531</v>
      </c>
      <c r="B212" s="15" t="s">
        <v>532</v>
      </c>
      <c r="C212" s="16" t="s">
        <v>259</v>
      </c>
      <c r="D212" s="16"/>
      <c r="E212" s="160" t="s">
        <v>8006</v>
      </c>
    </row>
    <row r="213" spans="1:5" ht="17.149999999999999" customHeight="1">
      <c r="A213" s="14" t="s">
        <v>533</v>
      </c>
      <c r="B213" s="15" t="s">
        <v>534</v>
      </c>
      <c r="C213" s="16" t="s">
        <v>259</v>
      </c>
      <c r="D213" s="16"/>
      <c r="E213" s="160" t="s">
        <v>8201</v>
      </c>
    </row>
    <row r="214" spans="1:5" ht="17.149999999999999" customHeight="1">
      <c r="A214" s="14" t="s">
        <v>535</v>
      </c>
      <c r="B214" s="15" t="s">
        <v>536</v>
      </c>
      <c r="C214" s="16" t="s">
        <v>259</v>
      </c>
      <c r="D214" s="16"/>
      <c r="E214" s="160" t="s">
        <v>5464</v>
      </c>
    </row>
    <row r="215" spans="1:5" ht="17.149999999999999" customHeight="1">
      <c r="A215" s="14" t="s">
        <v>537</v>
      </c>
      <c r="B215" s="15" t="s">
        <v>538</v>
      </c>
      <c r="C215" s="16" t="s">
        <v>194</v>
      </c>
      <c r="D215" s="16"/>
      <c r="E215" s="160" t="s">
        <v>5479</v>
      </c>
    </row>
    <row r="216" spans="1:5" ht="17.149999999999999" customHeight="1">
      <c r="A216" s="14" t="s">
        <v>539</v>
      </c>
      <c r="B216" s="15" t="s">
        <v>540</v>
      </c>
      <c r="C216" s="16" t="s">
        <v>194</v>
      </c>
      <c r="D216" s="16"/>
      <c r="E216" s="160" t="s">
        <v>4843</v>
      </c>
    </row>
    <row r="217" spans="1:5" ht="17.149999999999999" customHeight="1">
      <c r="A217" s="14" t="s">
        <v>541</v>
      </c>
      <c r="B217" s="15" t="s">
        <v>542</v>
      </c>
      <c r="C217" s="16" t="s">
        <v>194</v>
      </c>
      <c r="D217" s="16"/>
      <c r="E217" s="160" t="s">
        <v>4844</v>
      </c>
    </row>
    <row r="218" spans="1:5" ht="17.149999999999999" customHeight="1">
      <c r="A218" s="14" t="s">
        <v>543</v>
      </c>
      <c r="B218" s="15" t="s">
        <v>544</v>
      </c>
      <c r="C218" s="16" t="s">
        <v>545</v>
      </c>
      <c r="D218" s="16"/>
      <c r="E218" s="160" t="s">
        <v>8202</v>
      </c>
    </row>
    <row r="219" spans="1:5" ht="17.149999999999999" customHeight="1">
      <c r="A219" s="14" t="s">
        <v>546</v>
      </c>
      <c r="B219" s="15" t="s">
        <v>547</v>
      </c>
      <c r="C219" s="16" t="s">
        <v>545</v>
      </c>
      <c r="D219" s="16"/>
      <c r="E219" s="160" t="s">
        <v>8203</v>
      </c>
    </row>
    <row r="220" spans="1:5" ht="17.149999999999999" customHeight="1">
      <c r="A220" s="14" t="s">
        <v>548</v>
      </c>
      <c r="B220" s="15" t="s">
        <v>549</v>
      </c>
      <c r="C220" s="16" t="s">
        <v>90</v>
      </c>
      <c r="D220" s="16"/>
      <c r="E220" s="160" t="s">
        <v>97</v>
      </c>
    </row>
    <row r="221" spans="1:5" ht="17.149999999999999" customHeight="1">
      <c r="A221" s="14" t="s">
        <v>550</v>
      </c>
      <c r="B221" s="15" t="s">
        <v>124</v>
      </c>
      <c r="C221" s="16" t="s">
        <v>90</v>
      </c>
      <c r="D221" s="16"/>
      <c r="E221" s="160" t="s">
        <v>97</v>
      </c>
    </row>
    <row r="222" spans="1:5" ht="17.149999999999999" customHeight="1">
      <c r="A222" s="14" t="s">
        <v>551</v>
      </c>
      <c r="B222" s="15" t="s">
        <v>552</v>
      </c>
      <c r="C222" s="16" t="s">
        <v>254</v>
      </c>
      <c r="D222" s="16"/>
      <c r="E222" s="160" t="s">
        <v>5357</v>
      </c>
    </row>
    <row r="223" spans="1:5" ht="17.149999999999999" customHeight="1">
      <c r="A223" s="14" t="s">
        <v>553</v>
      </c>
      <c r="B223" s="15" t="s">
        <v>554</v>
      </c>
      <c r="C223" s="16" t="s">
        <v>254</v>
      </c>
      <c r="D223" s="16"/>
      <c r="E223" s="160" t="s">
        <v>8204</v>
      </c>
    </row>
    <row r="224" spans="1:5" ht="17.149999999999999" customHeight="1">
      <c r="A224" s="14" t="s">
        <v>555</v>
      </c>
      <c r="B224" s="15" t="s">
        <v>556</v>
      </c>
      <c r="C224" s="16" t="s">
        <v>254</v>
      </c>
      <c r="D224" s="16"/>
      <c r="E224" s="160" t="s">
        <v>6361</v>
      </c>
    </row>
    <row r="225" spans="1:5" ht="17.149999999999999" customHeight="1">
      <c r="A225" s="14" t="s">
        <v>557</v>
      </c>
      <c r="B225" s="15" t="s">
        <v>558</v>
      </c>
      <c r="C225" s="16" t="s">
        <v>254</v>
      </c>
      <c r="D225" s="16"/>
      <c r="E225" s="160" t="s">
        <v>5357</v>
      </c>
    </row>
    <row r="226" spans="1:5" ht="17.149999999999999" customHeight="1">
      <c r="A226" s="14" t="s">
        <v>559</v>
      </c>
      <c r="B226" s="15" t="s">
        <v>560</v>
      </c>
      <c r="C226" s="16" t="s">
        <v>90</v>
      </c>
      <c r="D226" s="16"/>
      <c r="E226" s="160" t="s">
        <v>8205</v>
      </c>
    </row>
    <row r="227" spans="1:5" ht="17.149999999999999" customHeight="1">
      <c r="A227" s="14" t="s">
        <v>561</v>
      </c>
      <c r="B227" s="15" t="s">
        <v>562</v>
      </c>
      <c r="C227" s="16" t="s">
        <v>254</v>
      </c>
      <c r="D227" s="16"/>
      <c r="E227" s="160" t="s">
        <v>8206</v>
      </c>
    </row>
    <row r="228" spans="1:5" ht="17.149999999999999" customHeight="1">
      <c r="A228" s="14" t="s">
        <v>563</v>
      </c>
      <c r="B228" s="15" t="s">
        <v>564</v>
      </c>
      <c r="C228" s="16" t="s">
        <v>90</v>
      </c>
      <c r="D228" s="16"/>
      <c r="E228" s="160" t="s">
        <v>97</v>
      </c>
    </row>
    <row r="229" spans="1:5" ht="17.149999999999999" customHeight="1">
      <c r="A229" s="14" t="s">
        <v>565</v>
      </c>
      <c r="B229" s="15" t="s">
        <v>566</v>
      </c>
      <c r="C229" s="16" t="s">
        <v>254</v>
      </c>
      <c r="D229" s="16"/>
      <c r="E229" s="160" t="s">
        <v>6543</v>
      </c>
    </row>
    <row r="230" spans="1:5" ht="17.149999999999999" customHeight="1">
      <c r="A230" s="14" t="s">
        <v>567</v>
      </c>
      <c r="B230" s="15" t="s">
        <v>568</v>
      </c>
      <c r="C230" s="16" t="s">
        <v>254</v>
      </c>
      <c r="D230" s="16"/>
      <c r="E230" s="160" t="s">
        <v>6028</v>
      </c>
    </row>
    <row r="231" spans="1:5" ht="17.149999999999999" customHeight="1">
      <c r="A231" s="14" t="s">
        <v>569</v>
      </c>
      <c r="B231" s="15" t="s">
        <v>570</v>
      </c>
      <c r="C231" s="16" t="s">
        <v>259</v>
      </c>
      <c r="D231" s="16"/>
      <c r="E231" s="160" t="s">
        <v>8207</v>
      </c>
    </row>
    <row r="232" spans="1:5" ht="17.149999999999999" customHeight="1">
      <c r="A232" s="14" t="s">
        <v>571</v>
      </c>
      <c r="B232" s="15" t="s">
        <v>572</v>
      </c>
      <c r="C232" s="16" t="s">
        <v>259</v>
      </c>
      <c r="D232" s="16"/>
      <c r="E232" s="160" t="s">
        <v>8090</v>
      </c>
    </row>
    <row r="233" spans="1:5" ht="17.149999999999999" customHeight="1">
      <c r="A233" s="14" t="s">
        <v>571</v>
      </c>
      <c r="B233" s="15" t="s">
        <v>572</v>
      </c>
      <c r="C233" s="16" t="s">
        <v>259</v>
      </c>
      <c r="D233" s="16"/>
      <c r="E233" s="160" t="s">
        <v>8090</v>
      </c>
    </row>
    <row r="234" spans="1:5" ht="17.149999999999999" customHeight="1">
      <c r="A234" s="14" t="s">
        <v>573</v>
      </c>
      <c r="B234" s="15" t="s">
        <v>574</v>
      </c>
      <c r="C234" s="16" t="s">
        <v>259</v>
      </c>
      <c r="D234" s="16"/>
      <c r="E234" s="160" t="s">
        <v>8208</v>
      </c>
    </row>
    <row r="235" spans="1:5" ht="17.149999999999999" customHeight="1">
      <c r="A235" s="14" t="s">
        <v>575</v>
      </c>
      <c r="B235" s="15" t="s">
        <v>576</v>
      </c>
      <c r="C235" s="16" t="s">
        <v>259</v>
      </c>
      <c r="D235" s="16"/>
      <c r="E235" s="160" t="s">
        <v>8090</v>
      </c>
    </row>
    <row r="236" spans="1:5" ht="17.149999999999999" customHeight="1">
      <c r="A236" s="14" t="s">
        <v>575</v>
      </c>
      <c r="B236" s="15" t="s">
        <v>576</v>
      </c>
      <c r="C236" s="16" t="s">
        <v>259</v>
      </c>
      <c r="D236" s="16"/>
      <c r="E236" s="160" t="s">
        <v>8090</v>
      </c>
    </row>
    <row r="237" spans="1:5" ht="17.149999999999999" customHeight="1">
      <c r="A237" s="14" t="s">
        <v>577</v>
      </c>
      <c r="B237" s="15" t="s">
        <v>578</v>
      </c>
      <c r="C237" s="16" t="s">
        <v>259</v>
      </c>
      <c r="D237" s="16"/>
      <c r="E237" s="160" t="s">
        <v>8209</v>
      </c>
    </row>
    <row r="238" spans="1:5" ht="17.149999999999999" customHeight="1">
      <c r="A238" s="14" t="s">
        <v>579</v>
      </c>
      <c r="B238" s="15" t="s">
        <v>580</v>
      </c>
      <c r="C238" s="16">
        <v>0</v>
      </c>
      <c r="D238" s="16"/>
      <c r="E238" s="160" t="s">
        <v>8210</v>
      </c>
    </row>
    <row r="239" spans="1:5" ht="17.149999999999999" customHeight="1">
      <c r="A239" s="14" t="s">
        <v>581</v>
      </c>
      <c r="B239" s="15" t="s">
        <v>582</v>
      </c>
      <c r="C239" s="16" t="s">
        <v>259</v>
      </c>
      <c r="D239" s="16"/>
      <c r="E239" s="160" t="s">
        <v>8091</v>
      </c>
    </row>
    <row r="240" spans="1:5" ht="17.149999999999999" customHeight="1">
      <c r="A240" s="14" t="s">
        <v>581</v>
      </c>
      <c r="B240" s="15" t="s">
        <v>582</v>
      </c>
      <c r="C240" s="16" t="s">
        <v>259</v>
      </c>
      <c r="D240" s="16"/>
      <c r="E240" s="160" t="s">
        <v>8091</v>
      </c>
    </row>
    <row r="241" spans="1:5" ht="17.149999999999999" customHeight="1">
      <c r="A241" s="14" t="s">
        <v>583</v>
      </c>
      <c r="B241" s="15" t="s">
        <v>584</v>
      </c>
      <c r="C241" s="16" t="s">
        <v>259</v>
      </c>
      <c r="D241" s="16"/>
      <c r="E241" s="160" t="s">
        <v>8211</v>
      </c>
    </row>
    <row r="242" spans="1:5" ht="17.149999999999999" customHeight="1">
      <c r="A242" s="14" t="s">
        <v>585</v>
      </c>
      <c r="B242" s="15" t="s">
        <v>586</v>
      </c>
      <c r="C242" s="16" t="s">
        <v>259</v>
      </c>
      <c r="D242" s="16"/>
      <c r="E242" s="160" t="s">
        <v>8091</v>
      </c>
    </row>
    <row r="243" spans="1:5" ht="17.149999999999999" customHeight="1">
      <c r="A243" s="14" t="s">
        <v>585</v>
      </c>
      <c r="B243" s="15" t="s">
        <v>586</v>
      </c>
      <c r="C243" s="16" t="s">
        <v>259</v>
      </c>
      <c r="D243" s="16"/>
      <c r="E243" s="160" t="s">
        <v>8091</v>
      </c>
    </row>
    <row r="244" spans="1:5" ht="17.149999999999999" customHeight="1">
      <c r="A244" s="14" t="s">
        <v>587</v>
      </c>
      <c r="B244" s="15" t="s">
        <v>588</v>
      </c>
      <c r="C244" s="16" t="s">
        <v>589</v>
      </c>
      <c r="D244" s="16"/>
      <c r="E244" s="160" t="s">
        <v>116</v>
      </c>
    </row>
    <row r="245" spans="1:5" ht="17.149999999999999" customHeight="1">
      <c r="A245" s="14" t="s">
        <v>587</v>
      </c>
      <c r="B245" s="15" t="s">
        <v>588</v>
      </c>
      <c r="C245" s="16" t="s">
        <v>589</v>
      </c>
      <c r="D245" s="16"/>
      <c r="E245" s="160" t="s">
        <v>116</v>
      </c>
    </row>
    <row r="246" spans="1:5" ht="17.149999999999999" customHeight="1">
      <c r="A246" s="14" t="s">
        <v>590</v>
      </c>
      <c r="B246" s="15" t="s">
        <v>591</v>
      </c>
      <c r="C246" s="16" t="s">
        <v>259</v>
      </c>
      <c r="D246" s="16"/>
      <c r="E246" s="160" t="s">
        <v>8212</v>
      </c>
    </row>
    <row r="247" spans="1:5" ht="17.149999999999999" customHeight="1">
      <c r="A247" s="14" t="s">
        <v>592</v>
      </c>
      <c r="B247" s="15" t="s">
        <v>593</v>
      </c>
      <c r="C247" s="16" t="s">
        <v>259</v>
      </c>
      <c r="D247" s="16"/>
      <c r="E247" s="160" t="s">
        <v>8212</v>
      </c>
    </row>
    <row r="248" spans="1:5" ht="17.149999999999999" customHeight="1">
      <c r="A248" s="14" t="s">
        <v>594</v>
      </c>
      <c r="B248" s="15" t="s">
        <v>595</v>
      </c>
      <c r="C248" s="16" t="s">
        <v>194</v>
      </c>
      <c r="D248" s="16"/>
      <c r="E248" s="160" t="s">
        <v>8213</v>
      </c>
    </row>
    <row r="249" spans="1:5" ht="17.149999999999999" customHeight="1">
      <c r="A249" s="14" t="s">
        <v>41</v>
      </c>
      <c r="B249" s="15" t="s">
        <v>79</v>
      </c>
      <c r="C249" s="16" t="s">
        <v>90</v>
      </c>
      <c r="D249" s="16"/>
      <c r="E249" s="160" t="s">
        <v>8214</v>
      </c>
    </row>
    <row r="250" spans="1:5" ht="17.149999999999999" customHeight="1">
      <c r="A250" s="14" t="s">
        <v>596</v>
      </c>
      <c r="B250" s="15" t="s">
        <v>597</v>
      </c>
      <c r="C250" s="16" t="s">
        <v>194</v>
      </c>
      <c r="D250" s="16"/>
      <c r="E250" s="160" t="s">
        <v>5850</v>
      </c>
    </row>
    <row r="251" spans="1:5" ht="17.149999999999999" customHeight="1">
      <c r="A251" s="14" t="s">
        <v>596</v>
      </c>
      <c r="B251" s="15" t="s">
        <v>597</v>
      </c>
      <c r="C251" s="16" t="s">
        <v>194</v>
      </c>
      <c r="D251" s="16"/>
      <c r="E251" s="160" t="s">
        <v>5850</v>
      </c>
    </row>
    <row r="252" spans="1:5" ht="17.149999999999999" customHeight="1">
      <c r="A252" s="14" t="s">
        <v>598</v>
      </c>
      <c r="B252" s="15" t="s">
        <v>599</v>
      </c>
      <c r="C252" s="16" t="s">
        <v>194</v>
      </c>
      <c r="D252" s="16"/>
      <c r="E252" s="160" t="s">
        <v>5850</v>
      </c>
    </row>
    <row r="253" spans="1:5" ht="17.149999999999999" customHeight="1">
      <c r="A253" s="14" t="s">
        <v>598</v>
      </c>
      <c r="B253" s="15" t="s">
        <v>599</v>
      </c>
      <c r="C253" s="16" t="s">
        <v>194</v>
      </c>
      <c r="D253" s="16"/>
      <c r="E253" s="160" t="s">
        <v>5850</v>
      </c>
    </row>
    <row r="254" spans="1:5" ht="17.149999999999999" customHeight="1">
      <c r="A254" s="14" t="s">
        <v>600</v>
      </c>
      <c r="B254" s="15" t="s">
        <v>601</v>
      </c>
      <c r="C254" s="16">
        <v>0</v>
      </c>
      <c r="D254" s="16"/>
      <c r="E254" s="160" t="s">
        <v>8215</v>
      </c>
    </row>
    <row r="255" spans="1:5" ht="17.149999999999999" customHeight="1">
      <c r="A255" s="14" t="s">
        <v>602</v>
      </c>
      <c r="B255" s="15" t="s">
        <v>603</v>
      </c>
      <c r="C255" s="16" t="s">
        <v>604</v>
      </c>
      <c r="D255" s="16"/>
      <c r="E255" s="160" t="s">
        <v>5588</v>
      </c>
    </row>
    <row r="256" spans="1:5" ht="17.149999999999999" customHeight="1">
      <c r="A256" s="14" t="s">
        <v>605</v>
      </c>
      <c r="B256" s="15" t="s">
        <v>606</v>
      </c>
      <c r="C256" s="16" t="s">
        <v>604</v>
      </c>
      <c r="D256" s="16"/>
      <c r="E256" s="160" t="s">
        <v>5588</v>
      </c>
    </row>
    <row r="257" spans="1:5" ht="17.149999999999999" customHeight="1">
      <c r="A257" s="14" t="s">
        <v>607</v>
      </c>
      <c r="B257" s="15" t="s">
        <v>608</v>
      </c>
      <c r="C257" s="16" t="s">
        <v>604</v>
      </c>
      <c r="D257" s="16"/>
      <c r="E257" s="160" t="s">
        <v>5588</v>
      </c>
    </row>
    <row r="258" spans="1:5" ht="17.149999999999999" customHeight="1">
      <c r="A258" s="14" t="s">
        <v>609</v>
      </c>
      <c r="B258" s="15" t="s">
        <v>610</v>
      </c>
      <c r="C258" s="16">
        <v>0</v>
      </c>
      <c r="D258" s="16"/>
      <c r="E258" s="160" t="s">
        <v>8216</v>
      </c>
    </row>
    <row r="259" spans="1:5" ht="17.149999999999999" customHeight="1">
      <c r="A259" s="14" t="s">
        <v>611</v>
      </c>
      <c r="B259" s="15" t="s">
        <v>612</v>
      </c>
      <c r="C259" s="16" t="s">
        <v>604</v>
      </c>
      <c r="D259" s="16"/>
      <c r="E259" s="160" t="s">
        <v>5588</v>
      </c>
    </row>
    <row r="260" spans="1:5" ht="17.149999999999999" customHeight="1">
      <c r="A260" s="14" t="s">
        <v>613</v>
      </c>
      <c r="B260" s="15" t="s">
        <v>614</v>
      </c>
      <c r="C260" s="16" t="s">
        <v>604</v>
      </c>
      <c r="D260" s="16"/>
      <c r="E260" s="160" t="s">
        <v>5589</v>
      </c>
    </row>
    <row r="261" spans="1:5" ht="17.149999999999999" customHeight="1">
      <c r="A261" s="14" t="s">
        <v>615</v>
      </c>
      <c r="B261" s="15" t="s">
        <v>616</v>
      </c>
      <c r="C261" s="16" t="s">
        <v>604</v>
      </c>
      <c r="D261" s="16"/>
      <c r="E261" s="160" t="s">
        <v>5588</v>
      </c>
    </row>
    <row r="262" spans="1:5" ht="17.149999999999999" customHeight="1">
      <c r="A262" s="14" t="s">
        <v>617</v>
      </c>
      <c r="B262" s="15" t="s">
        <v>618</v>
      </c>
      <c r="C262" s="16" t="s">
        <v>92</v>
      </c>
      <c r="D262" s="16"/>
      <c r="E262" s="160" t="s">
        <v>5598</v>
      </c>
    </row>
    <row r="263" spans="1:5" ht="17.149999999999999" customHeight="1">
      <c r="A263" s="14" t="s">
        <v>617</v>
      </c>
      <c r="B263" s="15" t="s">
        <v>618</v>
      </c>
      <c r="C263" s="16" t="s">
        <v>92</v>
      </c>
      <c r="D263" s="16"/>
      <c r="E263" s="160" t="s">
        <v>5598</v>
      </c>
    </row>
    <row r="264" spans="1:5" ht="17.149999999999999" customHeight="1">
      <c r="A264" s="14" t="s">
        <v>619</v>
      </c>
      <c r="B264" s="15" t="s">
        <v>620</v>
      </c>
      <c r="C264" s="16" t="s">
        <v>194</v>
      </c>
      <c r="D264" s="16"/>
      <c r="E264" s="160" t="s">
        <v>4888</v>
      </c>
    </row>
    <row r="265" spans="1:5" ht="17.149999999999999" customHeight="1">
      <c r="A265" s="14" t="s">
        <v>621</v>
      </c>
      <c r="B265" s="15" t="s">
        <v>622</v>
      </c>
      <c r="C265" s="16" t="s">
        <v>194</v>
      </c>
      <c r="D265" s="16"/>
      <c r="E265" s="160" t="s">
        <v>6409</v>
      </c>
    </row>
    <row r="266" spans="1:5" ht="17.149999999999999" customHeight="1">
      <c r="A266" s="14" t="s">
        <v>623</v>
      </c>
      <c r="B266" s="15" t="s">
        <v>624</v>
      </c>
      <c r="C266" s="16">
        <v>0</v>
      </c>
      <c r="D266" s="16"/>
      <c r="E266" s="160" t="s">
        <v>5580</v>
      </c>
    </row>
    <row r="267" spans="1:5" ht="17.149999999999999" customHeight="1">
      <c r="A267" s="14" t="s">
        <v>623</v>
      </c>
      <c r="B267" s="15" t="s">
        <v>624</v>
      </c>
      <c r="C267" s="16">
        <v>0</v>
      </c>
      <c r="D267" s="16"/>
      <c r="E267" s="160" t="s">
        <v>5580</v>
      </c>
    </row>
    <row r="268" spans="1:5" ht="17.149999999999999" customHeight="1">
      <c r="A268" s="14" t="s">
        <v>625</v>
      </c>
      <c r="B268" s="15" t="s">
        <v>626</v>
      </c>
      <c r="C268" s="16" t="s">
        <v>254</v>
      </c>
      <c r="D268" s="16"/>
      <c r="E268" s="160" t="s">
        <v>110</v>
      </c>
    </row>
    <row r="269" spans="1:5" ht="17.149999999999999" customHeight="1">
      <c r="A269" s="14" t="s">
        <v>627</v>
      </c>
      <c r="B269" s="15" t="s">
        <v>628</v>
      </c>
      <c r="C269" s="16" t="s">
        <v>194</v>
      </c>
      <c r="D269" s="16"/>
      <c r="E269" s="160" t="s">
        <v>5261</v>
      </c>
    </row>
    <row r="270" spans="1:5" ht="17.149999999999999" customHeight="1">
      <c r="A270" s="14" t="s">
        <v>629</v>
      </c>
      <c r="B270" s="15" t="s">
        <v>630</v>
      </c>
      <c r="C270" s="16" t="s">
        <v>259</v>
      </c>
      <c r="D270" s="16"/>
      <c r="E270" s="160" t="s">
        <v>6326</v>
      </c>
    </row>
    <row r="271" spans="1:5" ht="17.149999999999999" customHeight="1">
      <c r="A271" s="14" t="s">
        <v>631</v>
      </c>
      <c r="B271" s="15" t="s">
        <v>632</v>
      </c>
      <c r="C271" s="16" t="s">
        <v>259</v>
      </c>
      <c r="D271" s="16"/>
      <c r="E271" s="160" t="s">
        <v>6327</v>
      </c>
    </row>
    <row r="272" spans="1:5" ht="17.149999999999999" customHeight="1">
      <c r="A272" s="14" t="s">
        <v>42</v>
      </c>
      <c r="B272" s="15" t="s">
        <v>80</v>
      </c>
      <c r="C272" s="16" t="s">
        <v>90</v>
      </c>
      <c r="D272" s="16"/>
      <c r="E272" s="160" t="s">
        <v>114</v>
      </c>
    </row>
    <row r="273" spans="1:5" ht="17.149999999999999" customHeight="1">
      <c r="A273" s="14" t="s">
        <v>633</v>
      </c>
      <c r="B273" s="15" t="s">
        <v>634</v>
      </c>
      <c r="C273" s="16" t="s">
        <v>90</v>
      </c>
      <c r="D273" s="16"/>
      <c r="E273" s="160" t="s">
        <v>114</v>
      </c>
    </row>
    <row r="274" spans="1:5" ht="17.149999999999999" customHeight="1">
      <c r="A274" s="14" t="s">
        <v>635</v>
      </c>
      <c r="B274" s="15" t="s">
        <v>636</v>
      </c>
      <c r="C274" s="16" t="s">
        <v>90</v>
      </c>
      <c r="D274" s="16"/>
      <c r="E274" s="160" t="s">
        <v>114</v>
      </c>
    </row>
    <row r="275" spans="1:5" ht="17.149999999999999" customHeight="1">
      <c r="A275" s="14" t="s">
        <v>637</v>
      </c>
      <c r="B275" s="15" t="s">
        <v>638</v>
      </c>
      <c r="C275" s="16" t="s">
        <v>90</v>
      </c>
      <c r="D275" s="16"/>
      <c r="E275" s="160" t="s">
        <v>114</v>
      </c>
    </row>
    <row r="276" spans="1:5" ht="17.149999999999999" customHeight="1">
      <c r="A276" s="14" t="s">
        <v>639</v>
      </c>
      <c r="B276" s="15" t="s">
        <v>640</v>
      </c>
      <c r="C276" s="16" t="s">
        <v>90</v>
      </c>
      <c r="D276" s="16"/>
      <c r="E276" s="160" t="s">
        <v>6200</v>
      </c>
    </row>
    <row r="277" spans="1:5" ht="17.149999999999999" customHeight="1">
      <c r="A277" s="14" t="s">
        <v>641</v>
      </c>
      <c r="B277" s="15" t="s">
        <v>642</v>
      </c>
      <c r="C277" s="16" t="s">
        <v>90</v>
      </c>
      <c r="D277" s="16"/>
      <c r="E277" s="160" t="s">
        <v>6200</v>
      </c>
    </row>
    <row r="278" spans="1:5" ht="17.149999999999999" customHeight="1">
      <c r="A278" s="14" t="s">
        <v>643</v>
      </c>
      <c r="B278" s="15" t="s">
        <v>644</v>
      </c>
      <c r="C278" s="16" t="s">
        <v>90</v>
      </c>
      <c r="D278" s="16"/>
      <c r="E278" s="160" t="s">
        <v>6200</v>
      </c>
    </row>
    <row r="279" spans="1:5" ht="17.149999999999999" customHeight="1">
      <c r="A279" s="14" t="s">
        <v>645</v>
      </c>
      <c r="B279" s="15" t="s">
        <v>646</v>
      </c>
      <c r="C279" s="16" t="s">
        <v>90</v>
      </c>
      <c r="D279" s="16"/>
      <c r="E279" s="160" t="s">
        <v>6200</v>
      </c>
    </row>
    <row r="280" spans="1:5" ht="17.149999999999999" customHeight="1">
      <c r="A280" s="14" t="s">
        <v>647</v>
      </c>
      <c r="B280" s="15" t="s">
        <v>648</v>
      </c>
      <c r="C280" s="16">
        <v>0</v>
      </c>
      <c r="D280" s="16"/>
      <c r="E280" s="160" t="s">
        <v>8217</v>
      </c>
    </row>
    <row r="281" spans="1:5" ht="17.149999999999999" customHeight="1">
      <c r="A281" s="14" t="s">
        <v>649</v>
      </c>
      <c r="B281" s="15" t="s">
        <v>650</v>
      </c>
      <c r="C281" s="16">
        <v>0</v>
      </c>
      <c r="D281" s="16"/>
      <c r="E281" s="160" t="s">
        <v>8217</v>
      </c>
    </row>
    <row r="282" spans="1:5" ht="17.149999999999999" customHeight="1">
      <c r="A282" s="14" t="s">
        <v>651</v>
      </c>
      <c r="B282" s="15" t="s">
        <v>652</v>
      </c>
      <c r="C282" s="16">
        <v>0</v>
      </c>
      <c r="D282" s="16"/>
      <c r="E282" s="160" t="s">
        <v>8217</v>
      </c>
    </row>
    <row r="283" spans="1:5" ht="17.149999999999999" customHeight="1">
      <c r="A283" s="14" t="s">
        <v>653</v>
      </c>
      <c r="B283" s="15" t="s">
        <v>654</v>
      </c>
      <c r="C283" s="16">
        <v>0</v>
      </c>
      <c r="D283" s="16"/>
      <c r="E283" s="160" t="s">
        <v>8217</v>
      </c>
    </row>
    <row r="284" spans="1:5" ht="17.149999999999999" customHeight="1">
      <c r="A284" s="14" t="s">
        <v>655</v>
      </c>
      <c r="B284" s="15" t="s">
        <v>656</v>
      </c>
      <c r="C284" s="16">
        <v>0</v>
      </c>
      <c r="D284" s="16"/>
      <c r="E284" s="160" t="s">
        <v>8217</v>
      </c>
    </row>
    <row r="285" spans="1:5" ht="17.149999999999999" customHeight="1">
      <c r="A285" s="14" t="s">
        <v>657</v>
      </c>
      <c r="B285" s="15" t="s">
        <v>658</v>
      </c>
      <c r="C285" s="16" t="s">
        <v>194</v>
      </c>
      <c r="D285" s="16"/>
      <c r="E285" s="160" t="s">
        <v>8217</v>
      </c>
    </row>
    <row r="286" spans="1:5" ht="17.149999999999999" customHeight="1">
      <c r="A286" s="14" t="s">
        <v>659</v>
      </c>
      <c r="B286" s="15" t="s">
        <v>660</v>
      </c>
      <c r="C286" s="16" t="s">
        <v>194</v>
      </c>
      <c r="D286" s="16"/>
      <c r="E286" s="160" t="s">
        <v>8217</v>
      </c>
    </row>
    <row r="287" spans="1:5" ht="17.149999999999999" customHeight="1">
      <c r="A287" s="14" t="s">
        <v>661</v>
      </c>
      <c r="B287" s="15" t="s">
        <v>662</v>
      </c>
      <c r="C287" s="16" t="s">
        <v>194</v>
      </c>
      <c r="D287" s="16"/>
      <c r="E287" s="160" t="s">
        <v>8218</v>
      </c>
    </row>
    <row r="288" spans="1:5" ht="17.149999999999999" customHeight="1">
      <c r="A288" s="14" t="s">
        <v>663</v>
      </c>
      <c r="B288" s="15" t="s">
        <v>664</v>
      </c>
      <c r="C288" s="16" t="s">
        <v>194</v>
      </c>
      <c r="D288" s="16"/>
      <c r="E288" s="160" t="s">
        <v>8219</v>
      </c>
    </row>
    <row r="289" spans="1:5" ht="17.149999999999999" customHeight="1">
      <c r="A289" s="14" t="s">
        <v>121</v>
      </c>
      <c r="B289" s="15" t="s">
        <v>122</v>
      </c>
      <c r="C289" s="16" t="s">
        <v>123</v>
      </c>
      <c r="D289" s="16" t="s">
        <v>4793</v>
      </c>
      <c r="E289" s="160" t="s">
        <v>8220</v>
      </c>
    </row>
    <row r="290" spans="1:5" ht="17.149999999999999" customHeight="1">
      <c r="A290" s="14" t="s">
        <v>665</v>
      </c>
      <c r="B290" s="15" t="s">
        <v>666</v>
      </c>
      <c r="C290" s="16" t="s">
        <v>123</v>
      </c>
      <c r="D290" s="16"/>
      <c r="E290" s="160" t="s">
        <v>6201</v>
      </c>
    </row>
    <row r="291" spans="1:5" ht="17.149999999999999" customHeight="1">
      <c r="A291" s="14" t="s">
        <v>667</v>
      </c>
      <c r="B291" s="15" t="s">
        <v>668</v>
      </c>
      <c r="C291" s="16" t="s">
        <v>194</v>
      </c>
      <c r="D291" s="16"/>
      <c r="E291" s="160" t="s">
        <v>5855</v>
      </c>
    </row>
    <row r="292" spans="1:5" ht="17.149999999999999" customHeight="1">
      <c r="A292" s="14" t="s">
        <v>669</v>
      </c>
      <c r="B292" s="15" t="s">
        <v>670</v>
      </c>
      <c r="C292" s="16" t="s">
        <v>254</v>
      </c>
      <c r="D292" s="16"/>
      <c r="E292" s="160" t="s">
        <v>5855</v>
      </c>
    </row>
    <row r="293" spans="1:5" ht="17.149999999999999" customHeight="1">
      <c r="A293" s="14" t="s">
        <v>669</v>
      </c>
      <c r="B293" s="15" t="s">
        <v>670</v>
      </c>
      <c r="C293" s="16" t="s">
        <v>254</v>
      </c>
      <c r="D293" s="16"/>
      <c r="E293" s="160" t="s">
        <v>5855</v>
      </c>
    </row>
    <row r="294" spans="1:5" ht="17.149999999999999" customHeight="1">
      <c r="A294" s="14" t="s">
        <v>669</v>
      </c>
      <c r="B294" s="15" t="s">
        <v>671</v>
      </c>
      <c r="C294" s="16" t="s">
        <v>88</v>
      </c>
      <c r="D294" s="16"/>
      <c r="E294" s="160" t="s">
        <v>5855</v>
      </c>
    </row>
    <row r="295" spans="1:5" ht="17.149999999999999" customHeight="1">
      <c r="A295" s="14" t="s">
        <v>672</v>
      </c>
      <c r="B295" s="15" t="s">
        <v>673</v>
      </c>
      <c r="C295" s="16" t="s">
        <v>194</v>
      </c>
      <c r="D295" s="16"/>
      <c r="E295" s="160" t="s">
        <v>5788</v>
      </c>
    </row>
    <row r="296" spans="1:5" ht="17.149999999999999" customHeight="1">
      <c r="A296" s="14" t="s">
        <v>674</v>
      </c>
      <c r="B296" s="15" t="s">
        <v>675</v>
      </c>
      <c r="C296" s="16" t="s">
        <v>254</v>
      </c>
      <c r="D296" s="16"/>
      <c r="E296" s="160" t="s">
        <v>5788</v>
      </c>
    </row>
    <row r="297" spans="1:5" ht="17.149999999999999" customHeight="1">
      <c r="A297" s="14" t="s">
        <v>674</v>
      </c>
      <c r="B297" s="15" t="s">
        <v>675</v>
      </c>
      <c r="C297" s="16" t="s">
        <v>254</v>
      </c>
      <c r="D297" s="16"/>
      <c r="E297" s="160" t="s">
        <v>5788</v>
      </c>
    </row>
    <row r="298" spans="1:5" ht="17.149999999999999" customHeight="1">
      <c r="A298" s="14" t="s">
        <v>674</v>
      </c>
      <c r="B298" s="15" t="s">
        <v>676</v>
      </c>
      <c r="C298" s="16" t="s">
        <v>88</v>
      </c>
      <c r="D298" s="16"/>
      <c r="E298" s="160" t="s">
        <v>5788</v>
      </c>
    </row>
    <row r="299" spans="1:5" ht="17.149999999999999" customHeight="1">
      <c r="A299" s="14" t="s">
        <v>677</v>
      </c>
      <c r="B299" s="15" t="s">
        <v>678</v>
      </c>
      <c r="C299" s="16" t="s">
        <v>259</v>
      </c>
      <c r="D299" s="16"/>
      <c r="E299" s="160" t="s">
        <v>5874</v>
      </c>
    </row>
    <row r="300" spans="1:5" ht="17.149999999999999" customHeight="1">
      <c r="A300" s="14" t="s">
        <v>677</v>
      </c>
      <c r="B300" s="15" t="s">
        <v>678</v>
      </c>
      <c r="C300" s="16" t="s">
        <v>259</v>
      </c>
      <c r="D300" s="16"/>
      <c r="E300" s="160" t="s">
        <v>5874</v>
      </c>
    </row>
    <row r="301" spans="1:5" ht="17.149999999999999" customHeight="1">
      <c r="A301" s="14" t="s">
        <v>679</v>
      </c>
      <c r="B301" s="15" t="s">
        <v>680</v>
      </c>
      <c r="C301" s="16" t="s">
        <v>194</v>
      </c>
      <c r="D301" s="16"/>
      <c r="E301" s="160" t="s">
        <v>5849</v>
      </c>
    </row>
    <row r="302" spans="1:5" ht="17.149999999999999" customHeight="1">
      <c r="A302" s="14" t="s">
        <v>679</v>
      </c>
      <c r="B302" s="15" t="s">
        <v>680</v>
      </c>
      <c r="C302" s="16" t="s">
        <v>194</v>
      </c>
      <c r="D302" s="16"/>
      <c r="E302" s="160" t="s">
        <v>5849</v>
      </c>
    </row>
    <row r="303" spans="1:5" ht="17.149999999999999" customHeight="1">
      <c r="A303" s="14" t="s">
        <v>681</v>
      </c>
      <c r="B303" s="15" t="s">
        <v>682</v>
      </c>
      <c r="C303" s="16" t="s">
        <v>414</v>
      </c>
      <c r="D303" s="16"/>
      <c r="E303" s="160" t="s">
        <v>8221</v>
      </c>
    </row>
    <row r="304" spans="1:5" ht="17.149999999999999" customHeight="1">
      <c r="A304" s="14" t="s">
        <v>683</v>
      </c>
      <c r="B304" s="15" t="s">
        <v>684</v>
      </c>
      <c r="C304" s="16" t="s">
        <v>414</v>
      </c>
      <c r="D304" s="16"/>
      <c r="E304" s="160" t="s">
        <v>8221</v>
      </c>
    </row>
    <row r="305" spans="1:5" ht="17.149999999999999" customHeight="1">
      <c r="A305" s="14" t="s">
        <v>685</v>
      </c>
      <c r="B305" s="15" t="s">
        <v>686</v>
      </c>
      <c r="C305" s="16" t="s">
        <v>604</v>
      </c>
      <c r="D305" s="16"/>
      <c r="E305" s="160" t="s">
        <v>5691</v>
      </c>
    </row>
    <row r="306" spans="1:5" ht="17.149999999999999" customHeight="1">
      <c r="A306" s="14" t="s">
        <v>685</v>
      </c>
      <c r="B306" s="15" t="s">
        <v>686</v>
      </c>
      <c r="C306" s="16" t="s">
        <v>604</v>
      </c>
      <c r="D306" s="16"/>
      <c r="E306" s="160" t="s">
        <v>5691</v>
      </c>
    </row>
    <row r="307" spans="1:5" ht="17.149999999999999" customHeight="1">
      <c r="A307" s="14" t="s">
        <v>687</v>
      </c>
      <c r="B307" s="15" t="s">
        <v>688</v>
      </c>
      <c r="C307" s="16" t="s">
        <v>604</v>
      </c>
      <c r="D307" s="16"/>
      <c r="E307" s="160" t="s">
        <v>5548</v>
      </c>
    </row>
    <row r="308" spans="1:5" ht="17.149999999999999" customHeight="1">
      <c r="A308" s="14" t="s">
        <v>689</v>
      </c>
      <c r="B308" s="15" t="s">
        <v>690</v>
      </c>
      <c r="C308" s="16" t="s">
        <v>604</v>
      </c>
      <c r="D308" s="16"/>
      <c r="E308" s="160" t="s">
        <v>5548</v>
      </c>
    </row>
    <row r="309" spans="1:5" ht="17.149999999999999" customHeight="1">
      <c r="A309" s="14" t="s">
        <v>689</v>
      </c>
      <c r="B309" s="15" t="s">
        <v>690</v>
      </c>
      <c r="C309" s="16" t="s">
        <v>604</v>
      </c>
      <c r="D309" s="16"/>
      <c r="E309" s="160" t="s">
        <v>5548</v>
      </c>
    </row>
    <row r="310" spans="1:5" ht="17.149999999999999" customHeight="1">
      <c r="A310" s="14" t="s">
        <v>691</v>
      </c>
      <c r="B310" s="15" t="s">
        <v>692</v>
      </c>
      <c r="C310" s="16" t="s">
        <v>604</v>
      </c>
      <c r="D310" s="16"/>
      <c r="E310" s="160" t="s">
        <v>5548</v>
      </c>
    </row>
    <row r="311" spans="1:5" ht="17.149999999999999" customHeight="1">
      <c r="A311" s="14" t="s">
        <v>691</v>
      </c>
      <c r="B311" s="15" t="s">
        <v>692</v>
      </c>
      <c r="C311" s="16" t="s">
        <v>604</v>
      </c>
      <c r="D311" s="16"/>
      <c r="E311" s="160" t="s">
        <v>5548</v>
      </c>
    </row>
    <row r="312" spans="1:5" ht="17.149999999999999" customHeight="1">
      <c r="A312" s="14" t="s">
        <v>693</v>
      </c>
      <c r="B312" s="15" t="s">
        <v>694</v>
      </c>
      <c r="C312" s="16">
        <v>0</v>
      </c>
      <c r="D312" s="16"/>
      <c r="E312" s="160" t="s">
        <v>8222</v>
      </c>
    </row>
    <row r="313" spans="1:5" ht="17.149999999999999" customHeight="1">
      <c r="A313" s="14" t="s">
        <v>695</v>
      </c>
      <c r="B313" s="15" t="s">
        <v>696</v>
      </c>
      <c r="C313" s="16">
        <v>0</v>
      </c>
      <c r="D313" s="16"/>
      <c r="E313" s="160" t="s">
        <v>8222</v>
      </c>
    </row>
    <row r="314" spans="1:5" ht="17.149999999999999" customHeight="1">
      <c r="A314" s="14" t="s">
        <v>697</v>
      </c>
      <c r="B314" s="15" t="s">
        <v>698</v>
      </c>
      <c r="C314" s="16">
        <v>0</v>
      </c>
      <c r="D314" s="16"/>
      <c r="E314" s="160" t="s">
        <v>8222</v>
      </c>
    </row>
    <row r="315" spans="1:5" ht="17.149999999999999" customHeight="1">
      <c r="A315" s="14" t="s">
        <v>699</v>
      </c>
      <c r="B315" s="15" t="s">
        <v>700</v>
      </c>
      <c r="C315" s="16" t="s">
        <v>90</v>
      </c>
      <c r="D315" s="16"/>
      <c r="E315" s="160" t="s">
        <v>8223</v>
      </c>
    </row>
    <row r="316" spans="1:5" ht="17.149999999999999" customHeight="1">
      <c r="A316" s="14" t="s">
        <v>701</v>
      </c>
      <c r="B316" s="15" t="s">
        <v>702</v>
      </c>
      <c r="C316" s="16" t="s">
        <v>90</v>
      </c>
      <c r="D316" s="16"/>
      <c r="E316" s="160" t="s">
        <v>8223</v>
      </c>
    </row>
    <row r="317" spans="1:5" ht="17.149999999999999" customHeight="1">
      <c r="A317" s="14" t="s">
        <v>703</v>
      </c>
      <c r="B317" s="15" t="s">
        <v>704</v>
      </c>
      <c r="C317" s="16">
        <v>0</v>
      </c>
      <c r="D317" s="16"/>
      <c r="E317" s="160" t="s">
        <v>8224</v>
      </c>
    </row>
    <row r="318" spans="1:5" ht="17.149999999999999" customHeight="1">
      <c r="A318" s="14" t="s">
        <v>705</v>
      </c>
      <c r="B318" s="15" t="s">
        <v>706</v>
      </c>
      <c r="C318" s="16">
        <v>0</v>
      </c>
      <c r="D318" s="16"/>
      <c r="E318" s="160" t="s">
        <v>6567</v>
      </c>
    </row>
    <row r="319" spans="1:5" ht="17.149999999999999" customHeight="1">
      <c r="A319" s="14" t="s">
        <v>707</v>
      </c>
      <c r="B319" s="15" t="s">
        <v>708</v>
      </c>
      <c r="C319" s="16">
        <v>0</v>
      </c>
      <c r="D319" s="16"/>
      <c r="E319" s="160" t="s">
        <v>6567</v>
      </c>
    </row>
    <row r="320" spans="1:5" ht="17.149999999999999" customHeight="1">
      <c r="A320" s="14" t="s">
        <v>709</v>
      </c>
      <c r="B320" s="15" t="s">
        <v>710</v>
      </c>
      <c r="C320" s="16">
        <v>0</v>
      </c>
      <c r="D320" s="16"/>
      <c r="E320" s="160" t="s">
        <v>8225</v>
      </c>
    </row>
    <row r="321" spans="1:5" ht="17.149999999999999" customHeight="1">
      <c r="A321" s="14" t="s">
        <v>711</v>
      </c>
      <c r="B321" s="15" t="s">
        <v>712</v>
      </c>
      <c r="C321" s="16">
        <v>0</v>
      </c>
      <c r="D321" s="16"/>
      <c r="E321" s="160" t="s">
        <v>8225</v>
      </c>
    </row>
    <row r="322" spans="1:5" ht="17.149999999999999" customHeight="1">
      <c r="A322" s="14" t="s">
        <v>713</v>
      </c>
      <c r="B322" s="15" t="s">
        <v>714</v>
      </c>
      <c r="C322" s="16">
        <v>0</v>
      </c>
      <c r="D322" s="16"/>
      <c r="E322" s="160" t="s">
        <v>8225</v>
      </c>
    </row>
    <row r="323" spans="1:5" ht="17.149999999999999" customHeight="1">
      <c r="A323" s="14" t="s">
        <v>715</v>
      </c>
      <c r="B323" s="15" t="s">
        <v>716</v>
      </c>
      <c r="C323" s="16">
        <v>0</v>
      </c>
      <c r="D323" s="16"/>
      <c r="E323" s="160" t="s">
        <v>8225</v>
      </c>
    </row>
    <row r="324" spans="1:5" ht="17.149999999999999" customHeight="1">
      <c r="A324" s="14" t="s">
        <v>717</v>
      </c>
      <c r="B324" s="15" t="s">
        <v>718</v>
      </c>
      <c r="C324" s="16">
        <v>0</v>
      </c>
      <c r="D324" s="16"/>
      <c r="E324" s="160" t="s">
        <v>5677</v>
      </c>
    </row>
    <row r="325" spans="1:5" ht="17.149999999999999" customHeight="1">
      <c r="A325" s="14" t="s">
        <v>719</v>
      </c>
      <c r="B325" s="15" t="s">
        <v>720</v>
      </c>
      <c r="C325" s="16">
        <v>0</v>
      </c>
      <c r="D325" s="16"/>
      <c r="E325" s="160" t="s">
        <v>5677</v>
      </c>
    </row>
    <row r="326" spans="1:5" ht="17.149999999999999" customHeight="1">
      <c r="A326" s="14" t="s">
        <v>721</v>
      </c>
      <c r="B326" s="15" t="s">
        <v>722</v>
      </c>
      <c r="C326" s="16">
        <v>0</v>
      </c>
      <c r="D326" s="16"/>
      <c r="E326" s="160" t="s">
        <v>5677</v>
      </c>
    </row>
    <row r="327" spans="1:5" ht="17.149999999999999" customHeight="1">
      <c r="A327" s="14" t="s">
        <v>723</v>
      </c>
      <c r="B327" s="15" t="s">
        <v>724</v>
      </c>
      <c r="C327" s="16">
        <v>0</v>
      </c>
      <c r="D327" s="16"/>
      <c r="E327" s="160" t="s">
        <v>5677</v>
      </c>
    </row>
    <row r="328" spans="1:5" ht="17.149999999999999" customHeight="1">
      <c r="A328" s="14" t="s">
        <v>725</v>
      </c>
      <c r="B328" s="15" t="s">
        <v>726</v>
      </c>
      <c r="C328" s="16">
        <v>0</v>
      </c>
      <c r="D328" s="16"/>
      <c r="E328" s="160" t="s">
        <v>8226</v>
      </c>
    </row>
    <row r="329" spans="1:5" ht="17.149999999999999" customHeight="1">
      <c r="A329" s="14" t="s">
        <v>727</v>
      </c>
      <c r="B329" s="15" t="s">
        <v>728</v>
      </c>
      <c r="C329" s="16">
        <v>0</v>
      </c>
      <c r="D329" s="16"/>
      <c r="E329" s="160" t="s">
        <v>8226</v>
      </c>
    </row>
    <row r="330" spans="1:5" ht="17.149999999999999" customHeight="1">
      <c r="A330" s="14" t="s">
        <v>729</v>
      </c>
      <c r="B330" s="15" t="s">
        <v>730</v>
      </c>
      <c r="C330" s="16">
        <v>0</v>
      </c>
      <c r="D330" s="16"/>
      <c r="E330" s="160" t="s">
        <v>5678</v>
      </c>
    </row>
    <row r="331" spans="1:5" ht="17.149999999999999" customHeight="1">
      <c r="A331" s="14" t="s">
        <v>731</v>
      </c>
      <c r="B331" s="15" t="s">
        <v>732</v>
      </c>
      <c r="C331" s="16">
        <v>0</v>
      </c>
      <c r="D331" s="16"/>
      <c r="E331" s="160" t="s">
        <v>5678</v>
      </c>
    </row>
    <row r="332" spans="1:5" ht="17.149999999999999" customHeight="1">
      <c r="A332" s="14" t="s">
        <v>733</v>
      </c>
      <c r="B332" s="15" t="s">
        <v>734</v>
      </c>
      <c r="C332" s="16">
        <v>0</v>
      </c>
      <c r="D332" s="16"/>
      <c r="E332" s="160" t="s">
        <v>5678</v>
      </c>
    </row>
    <row r="333" spans="1:5" ht="17.149999999999999" customHeight="1">
      <c r="A333" s="14" t="s">
        <v>735</v>
      </c>
      <c r="B333" s="15" t="s">
        <v>736</v>
      </c>
      <c r="C333" s="16">
        <v>0</v>
      </c>
      <c r="D333" s="16"/>
      <c r="E333" s="160" t="s">
        <v>5678</v>
      </c>
    </row>
    <row r="334" spans="1:5" ht="17.149999999999999" customHeight="1">
      <c r="A334" s="14" t="s">
        <v>737</v>
      </c>
      <c r="B334" s="15" t="s">
        <v>738</v>
      </c>
      <c r="C334" s="16">
        <v>0</v>
      </c>
      <c r="D334" s="16"/>
      <c r="E334" s="160" t="s">
        <v>8227</v>
      </c>
    </row>
    <row r="335" spans="1:5" ht="17.149999999999999" customHeight="1">
      <c r="A335" s="14" t="s">
        <v>739</v>
      </c>
      <c r="B335" s="15" t="s">
        <v>740</v>
      </c>
      <c r="C335" s="16">
        <v>0</v>
      </c>
      <c r="D335" s="16"/>
      <c r="E335" s="160" t="s">
        <v>8228</v>
      </c>
    </row>
    <row r="336" spans="1:5" ht="17.149999999999999" customHeight="1">
      <c r="A336" s="14" t="s">
        <v>741</v>
      </c>
      <c r="B336" s="15" t="s">
        <v>742</v>
      </c>
      <c r="C336" s="16">
        <v>0</v>
      </c>
      <c r="D336" s="16"/>
      <c r="E336" s="160" t="s">
        <v>8228</v>
      </c>
    </row>
    <row r="337" spans="1:5" ht="17.149999999999999" customHeight="1">
      <c r="A337" s="14" t="s">
        <v>743</v>
      </c>
      <c r="B337" s="15" t="s">
        <v>744</v>
      </c>
      <c r="C337" s="16" t="s">
        <v>90</v>
      </c>
      <c r="D337" s="16"/>
      <c r="E337" s="160" t="s">
        <v>8229</v>
      </c>
    </row>
    <row r="338" spans="1:5" ht="17.149999999999999" customHeight="1">
      <c r="A338" s="14" t="s">
        <v>745</v>
      </c>
      <c r="B338" s="15" t="s">
        <v>746</v>
      </c>
      <c r="C338" s="16" t="s">
        <v>90</v>
      </c>
      <c r="D338" s="16"/>
      <c r="E338" s="160" t="s">
        <v>8229</v>
      </c>
    </row>
    <row r="339" spans="1:5" ht="17.149999999999999" customHeight="1">
      <c r="A339" s="14" t="s">
        <v>747</v>
      </c>
      <c r="B339" s="15" t="s">
        <v>748</v>
      </c>
      <c r="C339" s="16">
        <v>0</v>
      </c>
      <c r="D339" s="16"/>
      <c r="E339" s="160" t="s">
        <v>96</v>
      </c>
    </row>
    <row r="340" spans="1:5" ht="17.149999999999999" customHeight="1">
      <c r="A340" s="14" t="s">
        <v>749</v>
      </c>
      <c r="B340" s="15" t="s">
        <v>750</v>
      </c>
      <c r="C340" s="16">
        <v>0</v>
      </c>
      <c r="D340" s="16"/>
      <c r="E340" s="160" t="s">
        <v>96</v>
      </c>
    </row>
    <row r="341" spans="1:5" ht="17.149999999999999" customHeight="1">
      <c r="A341" s="14" t="s">
        <v>751</v>
      </c>
      <c r="B341" s="15" t="s">
        <v>752</v>
      </c>
      <c r="C341" s="16">
        <v>0</v>
      </c>
      <c r="D341" s="16"/>
      <c r="E341" s="160" t="s">
        <v>6753</v>
      </c>
    </row>
    <row r="342" spans="1:5" ht="17.149999999999999" customHeight="1">
      <c r="A342" s="14" t="s">
        <v>753</v>
      </c>
      <c r="B342" s="15" t="s">
        <v>754</v>
      </c>
      <c r="C342" s="16">
        <v>0</v>
      </c>
      <c r="D342" s="16"/>
      <c r="E342" s="160" t="s">
        <v>5117</v>
      </c>
    </row>
    <row r="343" spans="1:5" ht="17.149999999999999" customHeight="1">
      <c r="A343" s="14" t="s">
        <v>755</v>
      </c>
      <c r="B343" s="15" t="s">
        <v>756</v>
      </c>
      <c r="C343" s="16">
        <v>0</v>
      </c>
      <c r="D343" s="16"/>
      <c r="E343" s="160" t="s">
        <v>8230</v>
      </c>
    </row>
    <row r="344" spans="1:5" ht="17.149999999999999" customHeight="1">
      <c r="A344" s="14" t="s">
        <v>757</v>
      </c>
      <c r="B344" s="15" t="s">
        <v>758</v>
      </c>
      <c r="C344" s="16">
        <v>0</v>
      </c>
      <c r="D344" s="16"/>
      <c r="E344" s="160" t="s">
        <v>5120</v>
      </c>
    </row>
    <row r="345" spans="1:5" ht="17.149999999999999" customHeight="1">
      <c r="A345" s="14" t="s">
        <v>759</v>
      </c>
      <c r="B345" s="15" t="s">
        <v>760</v>
      </c>
      <c r="C345" s="16">
        <v>0</v>
      </c>
      <c r="D345" s="16"/>
      <c r="E345" s="160" t="s">
        <v>5120</v>
      </c>
    </row>
    <row r="346" spans="1:5" ht="17.149999999999999" customHeight="1">
      <c r="A346" s="14" t="s">
        <v>761</v>
      </c>
      <c r="B346" s="15" t="s">
        <v>762</v>
      </c>
      <c r="C346" s="16" t="s">
        <v>247</v>
      </c>
      <c r="D346" s="16"/>
      <c r="E346" s="160" t="s">
        <v>5616</v>
      </c>
    </row>
    <row r="347" spans="1:5" ht="17.149999999999999" customHeight="1">
      <c r="A347" s="14" t="s">
        <v>761</v>
      </c>
      <c r="B347" s="15" t="s">
        <v>762</v>
      </c>
      <c r="C347" s="16" t="s">
        <v>247</v>
      </c>
      <c r="D347" s="16"/>
      <c r="E347" s="160" t="s">
        <v>5616</v>
      </c>
    </row>
    <row r="348" spans="1:5" ht="17.149999999999999" customHeight="1">
      <c r="A348" s="14" t="s">
        <v>763</v>
      </c>
      <c r="B348" s="15" t="s">
        <v>764</v>
      </c>
      <c r="C348" s="16" t="s">
        <v>247</v>
      </c>
      <c r="D348" s="16"/>
      <c r="E348" s="160" t="s">
        <v>5616</v>
      </c>
    </row>
    <row r="349" spans="1:5" ht="17.149999999999999" customHeight="1">
      <c r="A349" s="14" t="s">
        <v>763</v>
      </c>
      <c r="B349" s="15" t="s">
        <v>764</v>
      </c>
      <c r="C349" s="16" t="s">
        <v>247</v>
      </c>
      <c r="D349" s="16"/>
      <c r="E349" s="160" t="s">
        <v>5616</v>
      </c>
    </row>
    <row r="350" spans="1:5" ht="17.149999999999999" customHeight="1">
      <c r="A350" s="14" t="s">
        <v>765</v>
      </c>
      <c r="B350" s="15" t="s">
        <v>766</v>
      </c>
      <c r="C350" s="16" t="s">
        <v>247</v>
      </c>
      <c r="D350" s="16"/>
      <c r="E350" s="160" t="s">
        <v>5616</v>
      </c>
    </row>
    <row r="351" spans="1:5" ht="17.149999999999999" customHeight="1">
      <c r="A351" s="14" t="s">
        <v>765</v>
      </c>
      <c r="B351" s="15" t="s">
        <v>766</v>
      </c>
      <c r="C351" s="16" t="s">
        <v>247</v>
      </c>
      <c r="D351" s="16"/>
      <c r="E351" s="160" t="s">
        <v>5616</v>
      </c>
    </row>
    <row r="352" spans="1:5" ht="17.149999999999999" customHeight="1">
      <c r="A352" s="14" t="s">
        <v>767</v>
      </c>
      <c r="B352" s="15" t="s">
        <v>768</v>
      </c>
      <c r="C352" s="16" t="s">
        <v>90</v>
      </c>
      <c r="D352" s="16"/>
      <c r="E352" s="160" t="s">
        <v>8231</v>
      </c>
    </row>
    <row r="353" spans="1:5" ht="17.149999999999999" customHeight="1">
      <c r="A353" s="14" t="s">
        <v>769</v>
      </c>
      <c r="B353" s="15" t="s">
        <v>770</v>
      </c>
      <c r="C353" s="16">
        <v>0</v>
      </c>
      <c r="D353" s="16"/>
      <c r="E353" s="160" t="s">
        <v>8108</v>
      </c>
    </row>
    <row r="354" spans="1:5" ht="17.149999999999999" customHeight="1">
      <c r="A354" s="14" t="s">
        <v>769</v>
      </c>
      <c r="B354" s="15" t="s">
        <v>770</v>
      </c>
      <c r="C354" s="16">
        <v>0</v>
      </c>
      <c r="D354" s="16"/>
      <c r="E354" s="160" t="s">
        <v>8108</v>
      </c>
    </row>
    <row r="355" spans="1:5" ht="17.149999999999999" customHeight="1">
      <c r="A355" s="14" t="s">
        <v>771</v>
      </c>
      <c r="B355" s="15" t="s">
        <v>772</v>
      </c>
      <c r="C355" s="16">
        <v>0</v>
      </c>
      <c r="D355" s="16"/>
      <c r="E355" s="160" t="s">
        <v>8108</v>
      </c>
    </row>
    <row r="356" spans="1:5" ht="17.149999999999999" customHeight="1">
      <c r="A356" s="14" t="s">
        <v>773</v>
      </c>
      <c r="B356" s="15" t="s">
        <v>774</v>
      </c>
      <c r="C356" s="16" t="s">
        <v>775</v>
      </c>
      <c r="D356" s="16"/>
      <c r="E356" s="160" t="s">
        <v>8108</v>
      </c>
    </row>
    <row r="357" spans="1:5" ht="17.149999999999999" customHeight="1">
      <c r="A357" s="14" t="s">
        <v>776</v>
      </c>
      <c r="B357" s="15" t="s">
        <v>777</v>
      </c>
      <c r="C357" s="16">
        <v>0</v>
      </c>
      <c r="D357" s="16"/>
      <c r="E357" s="160" t="s">
        <v>8109</v>
      </c>
    </row>
    <row r="358" spans="1:5" ht="17.149999999999999" customHeight="1">
      <c r="A358" s="14" t="s">
        <v>776</v>
      </c>
      <c r="B358" s="15" t="s">
        <v>777</v>
      </c>
      <c r="C358" s="16">
        <v>0</v>
      </c>
      <c r="D358" s="16"/>
      <c r="E358" s="160" t="s">
        <v>8109</v>
      </c>
    </row>
    <row r="359" spans="1:5" ht="17.149999999999999" customHeight="1">
      <c r="A359" s="14" t="s">
        <v>778</v>
      </c>
      <c r="B359" s="15" t="s">
        <v>779</v>
      </c>
      <c r="C359" s="16">
        <v>0</v>
      </c>
      <c r="D359" s="16"/>
      <c r="E359" s="160" t="s">
        <v>8109</v>
      </c>
    </row>
    <row r="360" spans="1:5" ht="17.149999999999999" customHeight="1">
      <c r="A360" s="14" t="s">
        <v>780</v>
      </c>
      <c r="B360" s="15" t="s">
        <v>781</v>
      </c>
      <c r="C360" s="16" t="s">
        <v>775</v>
      </c>
      <c r="D360" s="16"/>
      <c r="E360" s="160" t="s">
        <v>8109</v>
      </c>
    </row>
    <row r="361" spans="1:5" ht="17.149999999999999" customHeight="1">
      <c r="A361" s="14" t="s">
        <v>782</v>
      </c>
      <c r="B361" s="15" t="s">
        <v>783</v>
      </c>
      <c r="C361" s="16">
        <v>0</v>
      </c>
      <c r="D361" s="16"/>
      <c r="E361" s="160" t="s">
        <v>8232</v>
      </c>
    </row>
    <row r="362" spans="1:5" ht="17.149999999999999" customHeight="1">
      <c r="A362" s="14" t="s">
        <v>784</v>
      </c>
      <c r="B362" s="15" t="s">
        <v>785</v>
      </c>
      <c r="C362" s="16">
        <v>0</v>
      </c>
      <c r="D362" s="16"/>
      <c r="E362" s="160" t="s">
        <v>8232</v>
      </c>
    </row>
    <row r="363" spans="1:5" ht="17.149999999999999" customHeight="1">
      <c r="A363" s="14" t="s">
        <v>786</v>
      </c>
      <c r="B363" s="15" t="s">
        <v>787</v>
      </c>
      <c r="C363" s="16">
        <v>0</v>
      </c>
      <c r="D363" s="16"/>
      <c r="E363" s="160" t="s">
        <v>8232</v>
      </c>
    </row>
    <row r="364" spans="1:5" ht="17.149999999999999" customHeight="1">
      <c r="A364" s="14" t="s">
        <v>788</v>
      </c>
      <c r="B364" s="15" t="s">
        <v>789</v>
      </c>
      <c r="C364" s="16">
        <v>0</v>
      </c>
      <c r="D364" s="16"/>
      <c r="E364" s="160" t="s">
        <v>8232</v>
      </c>
    </row>
    <row r="365" spans="1:5" ht="17.149999999999999" customHeight="1">
      <c r="A365" s="14" t="s">
        <v>790</v>
      </c>
      <c r="B365" s="15" t="s">
        <v>791</v>
      </c>
      <c r="C365" s="16">
        <v>0</v>
      </c>
      <c r="D365" s="16"/>
      <c r="E365" s="160" t="s">
        <v>8232</v>
      </c>
    </row>
    <row r="366" spans="1:5" ht="17.149999999999999" customHeight="1">
      <c r="A366" s="14" t="s">
        <v>792</v>
      </c>
      <c r="B366" s="15" t="s">
        <v>793</v>
      </c>
      <c r="C366" s="16">
        <v>0</v>
      </c>
      <c r="D366" s="16"/>
      <c r="E366" s="160" t="s">
        <v>8233</v>
      </c>
    </row>
    <row r="367" spans="1:5" ht="17.149999999999999" customHeight="1">
      <c r="A367" s="14" t="s">
        <v>794</v>
      </c>
      <c r="B367" s="15" t="s">
        <v>795</v>
      </c>
      <c r="C367" s="16">
        <v>0</v>
      </c>
      <c r="D367" s="16"/>
      <c r="E367" s="160" t="s">
        <v>8233</v>
      </c>
    </row>
    <row r="368" spans="1:5" ht="17.149999999999999" customHeight="1">
      <c r="A368" s="14" t="s">
        <v>796</v>
      </c>
      <c r="B368" s="15" t="s">
        <v>797</v>
      </c>
      <c r="C368" s="16">
        <v>0</v>
      </c>
      <c r="D368" s="16"/>
      <c r="E368" s="160" t="s">
        <v>8233</v>
      </c>
    </row>
    <row r="369" spans="1:5" ht="17.149999999999999" customHeight="1">
      <c r="A369" s="14" t="s">
        <v>798</v>
      </c>
      <c r="B369" s="15" t="s">
        <v>799</v>
      </c>
      <c r="C369" s="16">
        <v>0</v>
      </c>
      <c r="D369" s="16"/>
      <c r="E369" s="160" t="s">
        <v>8233</v>
      </c>
    </row>
    <row r="370" spans="1:5" ht="17.149999999999999" customHeight="1">
      <c r="A370" s="14" t="s">
        <v>800</v>
      </c>
      <c r="B370" s="15" t="s">
        <v>801</v>
      </c>
      <c r="C370" s="16">
        <v>0</v>
      </c>
      <c r="D370" s="16"/>
      <c r="E370" s="160" t="s">
        <v>8233</v>
      </c>
    </row>
    <row r="371" spans="1:5" ht="17.149999999999999" customHeight="1">
      <c r="A371" s="14" t="s">
        <v>802</v>
      </c>
      <c r="B371" s="15" t="s">
        <v>803</v>
      </c>
      <c r="C371" s="16">
        <v>0</v>
      </c>
      <c r="D371" s="16"/>
      <c r="E371" s="160" t="s">
        <v>8234</v>
      </c>
    </row>
    <row r="372" spans="1:5" ht="17.149999999999999" customHeight="1">
      <c r="A372" s="14" t="s">
        <v>804</v>
      </c>
      <c r="B372" s="15" t="s">
        <v>805</v>
      </c>
      <c r="C372" s="16">
        <v>0</v>
      </c>
      <c r="D372" s="16"/>
      <c r="E372" s="160" t="s">
        <v>8234</v>
      </c>
    </row>
    <row r="373" spans="1:5" ht="17.149999999999999" customHeight="1">
      <c r="A373" s="14" t="s">
        <v>806</v>
      </c>
      <c r="B373" s="15" t="s">
        <v>807</v>
      </c>
      <c r="C373" s="16">
        <v>0</v>
      </c>
      <c r="D373" s="16"/>
      <c r="E373" s="160" t="s">
        <v>8233</v>
      </c>
    </row>
    <row r="374" spans="1:5" ht="17.149999999999999" customHeight="1">
      <c r="A374" s="14" t="s">
        <v>808</v>
      </c>
      <c r="B374" s="15" t="s">
        <v>809</v>
      </c>
      <c r="C374" s="16">
        <v>0</v>
      </c>
      <c r="D374" s="16"/>
      <c r="E374" s="160" t="s">
        <v>8233</v>
      </c>
    </row>
    <row r="375" spans="1:5" ht="17.149999999999999" customHeight="1">
      <c r="A375" s="14" t="s">
        <v>810</v>
      </c>
      <c r="B375" s="15" t="s">
        <v>811</v>
      </c>
      <c r="C375" s="16">
        <v>0</v>
      </c>
      <c r="D375" s="16"/>
      <c r="E375" s="160" t="s">
        <v>4879</v>
      </c>
    </row>
    <row r="376" spans="1:5" ht="17.149999999999999" customHeight="1">
      <c r="A376" s="14" t="s">
        <v>812</v>
      </c>
      <c r="B376" s="15" t="s">
        <v>813</v>
      </c>
      <c r="C376" s="16">
        <v>0</v>
      </c>
      <c r="D376" s="16"/>
      <c r="E376" s="160" t="s">
        <v>4879</v>
      </c>
    </row>
    <row r="377" spans="1:5" ht="17.149999999999999" customHeight="1">
      <c r="A377" s="14" t="s">
        <v>814</v>
      </c>
      <c r="B377" s="15" t="s">
        <v>815</v>
      </c>
      <c r="C377" s="16">
        <v>0</v>
      </c>
      <c r="D377" s="16"/>
      <c r="E377" s="160" t="s">
        <v>4881</v>
      </c>
    </row>
    <row r="378" spans="1:5" ht="17.149999999999999" customHeight="1">
      <c r="A378" s="14" t="s">
        <v>816</v>
      </c>
      <c r="B378" s="15" t="s">
        <v>817</v>
      </c>
      <c r="C378" s="16">
        <v>0</v>
      </c>
      <c r="D378" s="16"/>
      <c r="E378" s="160" t="s">
        <v>4881</v>
      </c>
    </row>
    <row r="379" spans="1:5" ht="17.149999999999999" customHeight="1">
      <c r="A379" s="14" t="s">
        <v>818</v>
      </c>
      <c r="B379" s="15" t="s">
        <v>819</v>
      </c>
      <c r="C379" s="16">
        <v>0</v>
      </c>
      <c r="D379" s="16"/>
      <c r="E379" s="160" t="s">
        <v>8233</v>
      </c>
    </row>
    <row r="380" spans="1:5" ht="17.149999999999999" customHeight="1">
      <c r="A380" s="14" t="s">
        <v>820</v>
      </c>
      <c r="B380" s="15" t="s">
        <v>821</v>
      </c>
      <c r="C380" s="16">
        <v>0</v>
      </c>
      <c r="D380" s="16"/>
      <c r="E380" s="160" t="s">
        <v>8233</v>
      </c>
    </row>
    <row r="381" spans="1:5" ht="17.149999999999999" customHeight="1">
      <c r="A381" s="14" t="s">
        <v>822</v>
      </c>
      <c r="B381" s="15" t="s">
        <v>823</v>
      </c>
      <c r="C381" s="16">
        <v>0</v>
      </c>
      <c r="D381" s="16"/>
      <c r="E381" s="160" t="s">
        <v>4867</v>
      </c>
    </row>
    <row r="382" spans="1:5" ht="17.149999999999999" customHeight="1">
      <c r="A382" s="14" t="s">
        <v>824</v>
      </c>
      <c r="B382" s="15" t="s">
        <v>825</v>
      </c>
      <c r="C382" s="16">
        <v>0</v>
      </c>
      <c r="D382" s="16"/>
      <c r="E382" s="160" t="s">
        <v>4867</v>
      </c>
    </row>
    <row r="383" spans="1:5" ht="17.149999999999999" customHeight="1">
      <c r="A383" s="14" t="s">
        <v>826</v>
      </c>
      <c r="B383" s="15" t="s">
        <v>827</v>
      </c>
      <c r="C383" s="16">
        <v>0</v>
      </c>
      <c r="D383" s="16"/>
      <c r="E383" s="160" t="s">
        <v>4871</v>
      </c>
    </row>
    <row r="384" spans="1:5" ht="17.149999999999999" customHeight="1">
      <c r="A384" s="14" t="s">
        <v>828</v>
      </c>
      <c r="B384" s="15" t="s">
        <v>829</v>
      </c>
      <c r="C384" s="16">
        <v>0</v>
      </c>
      <c r="D384" s="16"/>
      <c r="E384" s="160" t="s">
        <v>4871</v>
      </c>
    </row>
    <row r="385" spans="1:5" ht="17.149999999999999" customHeight="1">
      <c r="A385" s="14" t="s">
        <v>830</v>
      </c>
      <c r="B385" s="15" t="s">
        <v>831</v>
      </c>
      <c r="C385" s="16">
        <v>0</v>
      </c>
      <c r="D385" s="16"/>
      <c r="E385" s="160" t="s">
        <v>8235</v>
      </c>
    </row>
    <row r="386" spans="1:5" ht="17.149999999999999" customHeight="1">
      <c r="A386" s="14" t="s">
        <v>832</v>
      </c>
      <c r="B386" s="15" t="s">
        <v>833</v>
      </c>
      <c r="C386" s="16">
        <v>0</v>
      </c>
      <c r="D386" s="16"/>
      <c r="E386" s="160" t="s">
        <v>8235</v>
      </c>
    </row>
    <row r="387" spans="1:5" ht="17.149999999999999" customHeight="1">
      <c r="A387" s="14" t="s">
        <v>834</v>
      </c>
      <c r="B387" s="15" t="s">
        <v>835</v>
      </c>
      <c r="C387" s="16">
        <v>0</v>
      </c>
      <c r="D387" s="16"/>
      <c r="E387" s="160" t="s">
        <v>8235</v>
      </c>
    </row>
    <row r="388" spans="1:5" ht="17.149999999999999" customHeight="1">
      <c r="A388" s="14" t="s">
        <v>836</v>
      </c>
      <c r="B388" s="15" t="s">
        <v>837</v>
      </c>
      <c r="C388" s="16">
        <v>0</v>
      </c>
      <c r="D388" s="16"/>
      <c r="E388" s="160" t="s">
        <v>8235</v>
      </c>
    </row>
    <row r="389" spans="1:5" ht="17.149999999999999" customHeight="1">
      <c r="A389" s="14" t="s">
        <v>838</v>
      </c>
      <c r="B389" s="15" t="s">
        <v>839</v>
      </c>
      <c r="C389" s="16">
        <v>0</v>
      </c>
      <c r="D389" s="16"/>
      <c r="E389" s="160" t="s">
        <v>8235</v>
      </c>
    </row>
    <row r="390" spans="1:5" ht="17.149999999999999" customHeight="1">
      <c r="A390" s="14" t="s">
        <v>840</v>
      </c>
      <c r="B390" s="15" t="s">
        <v>841</v>
      </c>
      <c r="C390" s="16">
        <v>0</v>
      </c>
      <c r="D390" s="16"/>
      <c r="E390" s="160" t="s">
        <v>8235</v>
      </c>
    </row>
    <row r="391" spans="1:5" ht="17.149999999999999" customHeight="1">
      <c r="A391" s="14" t="s">
        <v>842</v>
      </c>
      <c r="B391" s="15" t="s">
        <v>843</v>
      </c>
      <c r="C391" s="16">
        <v>0</v>
      </c>
      <c r="D391" s="16"/>
      <c r="E391" s="160" t="s">
        <v>8235</v>
      </c>
    </row>
    <row r="392" spans="1:5" ht="17.149999999999999" customHeight="1">
      <c r="A392" s="14" t="s">
        <v>844</v>
      </c>
      <c r="B392" s="15" t="s">
        <v>845</v>
      </c>
      <c r="C392" s="16">
        <v>0</v>
      </c>
      <c r="D392" s="16"/>
      <c r="E392" s="160" t="s">
        <v>8235</v>
      </c>
    </row>
    <row r="393" spans="1:5" ht="17.149999999999999" customHeight="1">
      <c r="A393" s="14" t="s">
        <v>846</v>
      </c>
      <c r="B393" s="15" t="s">
        <v>847</v>
      </c>
      <c r="C393" s="16">
        <v>0</v>
      </c>
      <c r="D393" s="16"/>
      <c r="E393" s="160" t="s">
        <v>5203</v>
      </c>
    </row>
    <row r="394" spans="1:5" ht="17.149999999999999" customHeight="1">
      <c r="A394" s="14" t="s">
        <v>848</v>
      </c>
      <c r="B394" s="15" t="s">
        <v>849</v>
      </c>
      <c r="C394" s="16" t="s">
        <v>93</v>
      </c>
      <c r="D394" s="16"/>
      <c r="E394" s="160" t="s">
        <v>5203</v>
      </c>
    </row>
    <row r="395" spans="1:5" ht="17.149999999999999" customHeight="1">
      <c r="A395" s="14" t="s">
        <v>850</v>
      </c>
      <c r="B395" s="15" t="s">
        <v>851</v>
      </c>
      <c r="C395" s="16" t="s">
        <v>93</v>
      </c>
      <c r="D395" s="16"/>
      <c r="E395" s="160" t="s">
        <v>5203</v>
      </c>
    </row>
    <row r="396" spans="1:5" ht="17.149999999999999" customHeight="1">
      <c r="A396" s="14" t="s">
        <v>852</v>
      </c>
      <c r="B396" s="15" t="s">
        <v>853</v>
      </c>
      <c r="C396" s="16">
        <v>0</v>
      </c>
      <c r="D396" s="16"/>
      <c r="E396" s="160" t="s">
        <v>8232</v>
      </c>
    </row>
    <row r="397" spans="1:5" ht="17.149999999999999" customHeight="1">
      <c r="A397" s="14" t="s">
        <v>854</v>
      </c>
      <c r="B397" s="15" t="s">
        <v>855</v>
      </c>
      <c r="C397" s="16">
        <v>0</v>
      </c>
      <c r="D397" s="16"/>
      <c r="E397" s="160" t="s">
        <v>8232</v>
      </c>
    </row>
    <row r="398" spans="1:5" ht="17.149999999999999" customHeight="1">
      <c r="A398" s="14" t="s">
        <v>856</v>
      </c>
      <c r="B398" s="15" t="s">
        <v>857</v>
      </c>
      <c r="C398" s="16">
        <v>0</v>
      </c>
      <c r="D398" s="16"/>
      <c r="E398" s="160" t="s">
        <v>8232</v>
      </c>
    </row>
    <row r="399" spans="1:5" ht="17.149999999999999" customHeight="1">
      <c r="A399" s="14" t="s">
        <v>858</v>
      </c>
      <c r="B399" s="15" t="s">
        <v>859</v>
      </c>
      <c r="C399" s="16">
        <v>0</v>
      </c>
      <c r="D399" s="16"/>
      <c r="E399" s="160" t="s">
        <v>8232</v>
      </c>
    </row>
    <row r="400" spans="1:5" ht="17.149999999999999" customHeight="1">
      <c r="A400" s="14" t="s">
        <v>860</v>
      </c>
      <c r="B400" s="15" t="s">
        <v>861</v>
      </c>
      <c r="C400" s="16">
        <v>0</v>
      </c>
      <c r="D400" s="16"/>
      <c r="E400" s="160" t="s">
        <v>8232</v>
      </c>
    </row>
    <row r="401" spans="1:5" ht="17.149999999999999" customHeight="1">
      <c r="A401" s="14" t="s">
        <v>862</v>
      </c>
      <c r="B401" s="15" t="s">
        <v>863</v>
      </c>
      <c r="C401" s="16">
        <v>0</v>
      </c>
      <c r="D401" s="16"/>
      <c r="E401" s="160" t="s">
        <v>8234</v>
      </c>
    </row>
    <row r="402" spans="1:5" ht="17.149999999999999" customHeight="1">
      <c r="A402" s="14" t="s">
        <v>864</v>
      </c>
      <c r="B402" s="15" t="s">
        <v>865</v>
      </c>
      <c r="C402" s="16">
        <v>0</v>
      </c>
      <c r="D402" s="16"/>
      <c r="E402" s="160" t="s">
        <v>8234</v>
      </c>
    </row>
    <row r="403" spans="1:5" ht="17.149999999999999" customHeight="1">
      <c r="A403" s="14" t="s">
        <v>866</v>
      </c>
      <c r="B403" s="15" t="s">
        <v>867</v>
      </c>
      <c r="C403" s="16">
        <v>0</v>
      </c>
      <c r="D403" s="16"/>
      <c r="E403" s="160" t="s">
        <v>8234</v>
      </c>
    </row>
    <row r="404" spans="1:5" ht="17.149999999999999" customHeight="1">
      <c r="A404" s="14" t="s">
        <v>868</v>
      </c>
      <c r="B404" s="15" t="s">
        <v>869</v>
      </c>
      <c r="C404" s="16">
        <v>0</v>
      </c>
      <c r="D404" s="16"/>
      <c r="E404" s="160" t="s">
        <v>8234</v>
      </c>
    </row>
    <row r="405" spans="1:5" ht="17.149999999999999" customHeight="1">
      <c r="A405" s="14" t="s">
        <v>870</v>
      </c>
      <c r="B405" s="15" t="s">
        <v>871</v>
      </c>
      <c r="C405" s="16">
        <v>0</v>
      </c>
      <c r="D405" s="16"/>
      <c r="E405" s="160" t="s">
        <v>8234</v>
      </c>
    </row>
    <row r="406" spans="1:5" ht="17.149999999999999" customHeight="1">
      <c r="A406" s="14" t="s">
        <v>872</v>
      </c>
      <c r="B406" s="15" t="s">
        <v>873</v>
      </c>
      <c r="C406" s="16">
        <v>0</v>
      </c>
      <c r="D406" s="16"/>
      <c r="E406" s="160" t="s">
        <v>4883</v>
      </c>
    </row>
    <row r="407" spans="1:5" ht="17.149999999999999" customHeight="1">
      <c r="A407" s="14" t="s">
        <v>874</v>
      </c>
      <c r="B407" s="15" t="s">
        <v>875</v>
      </c>
      <c r="C407" s="16">
        <v>0</v>
      </c>
      <c r="D407" s="16"/>
      <c r="E407" s="160" t="s">
        <v>4883</v>
      </c>
    </row>
    <row r="408" spans="1:5" ht="17.149999999999999" customHeight="1">
      <c r="A408" s="14" t="s">
        <v>876</v>
      </c>
      <c r="B408" s="15" t="s">
        <v>877</v>
      </c>
      <c r="C408" s="16">
        <v>0</v>
      </c>
      <c r="D408" s="16"/>
      <c r="E408" s="160" t="s">
        <v>4885</v>
      </c>
    </row>
    <row r="409" spans="1:5" ht="17.149999999999999" customHeight="1">
      <c r="A409" s="14" t="s">
        <v>878</v>
      </c>
      <c r="B409" s="15" t="s">
        <v>879</v>
      </c>
      <c r="C409" s="16">
        <v>0</v>
      </c>
      <c r="D409" s="16"/>
      <c r="E409" s="160" t="s">
        <v>4885</v>
      </c>
    </row>
    <row r="410" spans="1:5" ht="17.149999999999999" customHeight="1">
      <c r="A410" s="14" t="s">
        <v>880</v>
      </c>
      <c r="B410" s="15" t="s">
        <v>881</v>
      </c>
      <c r="C410" s="16">
        <v>0</v>
      </c>
      <c r="D410" s="16"/>
      <c r="E410" s="160" t="s">
        <v>8236</v>
      </c>
    </row>
    <row r="411" spans="1:5" ht="17.149999999999999" customHeight="1">
      <c r="A411" s="14" t="s">
        <v>882</v>
      </c>
      <c r="B411" s="15" t="s">
        <v>883</v>
      </c>
      <c r="C411" s="16">
        <v>0</v>
      </c>
      <c r="D411" s="16"/>
      <c r="E411" s="160" t="s">
        <v>8236</v>
      </c>
    </row>
    <row r="412" spans="1:5" ht="17.149999999999999" customHeight="1">
      <c r="A412" s="14" t="s">
        <v>884</v>
      </c>
      <c r="B412" s="15" t="s">
        <v>885</v>
      </c>
      <c r="C412" s="16">
        <v>0</v>
      </c>
      <c r="D412" s="16"/>
      <c r="E412" s="160" t="s">
        <v>4869</v>
      </c>
    </row>
    <row r="413" spans="1:5" ht="17.149999999999999" customHeight="1">
      <c r="A413" s="14" t="s">
        <v>886</v>
      </c>
      <c r="B413" s="15" t="s">
        <v>887</v>
      </c>
      <c r="C413" s="16">
        <v>0</v>
      </c>
      <c r="D413" s="16"/>
      <c r="E413" s="160" t="s">
        <v>4869</v>
      </c>
    </row>
    <row r="414" spans="1:5" ht="17.149999999999999" customHeight="1">
      <c r="A414" s="14" t="s">
        <v>888</v>
      </c>
      <c r="B414" s="15" t="s">
        <v>889</v>
      </c>
      <c r="C414" s="16">
        <v>0</v>
      </c>
      <c r="D414" s="16"/>
      <c r="E414" s="160" t="s">
        <v>4873</v>
      </c>
    </row>
    <row r="415" spans="1:5" ht="17.149999999999999" customHeight="1">
      <c r="A415" s="14" t="s">
        <v>890</v>
      </c>
      <c r="B415" s="15" t="s">
        <v>891</v>
      </c>
      <c r="C415" s="16">
        <v>0</v>
      </c>
      <c r="D415" s="16"/>
      <c r="E415" s="160" t="s">
        <v>4873</v>
      </c>
    </row>
    <row r="416" spans="1:5" ht="17.149999999999999" customHeight="1">
      <c r="A416" s="14" t="s">
        <v>892</v>
      </c>
      <c r="B416" s="15" t="s">
        <v>893</v>
      </c>
      <c r="C416" s="16">
        <v>0</v>
      </c>
      <c r="D416" s="16"/>
      <c r="E416" s="160" t="s">
        <v>8237</v>
      </c>
    </row>
    <row r="417" spans="1:5" ht="17.149999999999999" customHeight="1">
      <c r="A417" s="14" t="s">
        <v>894</v>
      </c>
      <c r="B417" s="15" t="s">
        <v>895</v>
      </c>
      <c r="C417" s="16">
        <v>0</v>
      </c>
      <c r="D417" s="16"/>
      <c r="E417" s="160" t="s">
        <v>8237</v>
      </c>
    </row>
    <row r="418" spans="1:5" ht="17.149999999999999" customHeight="1">
      <c r="A418" s="14" t="s">
        <v>896</v>
      </c>
      <c r="B418" s="15" t="s">
        <v>897</v>
      </c>
      <c r="C418" s="16">
        <v>0</v>
      </c>
      <c r="D418" s="16"/>
      <c r="E418" s="160" t="s">
        <v>8237</v>
      </c>
    </row>
    <row r="419" spans="1:5" ht="17.149999999999999" customHeight="1">
      <c r="A419" s="14" t="s">
        <v>898</v>
      </c>
      <c r="B419" s="15" t="s">
        <v>899</v>
      </c>
      <c r="C419" s="16">
        <v>0</v>
      </c>
      <c r="D419" s="16"/>
      <c r="E419" s="160" t="s">
        <v>8237</v>
      </c>
    </row>
    <row r="420" spans="1:5" ht="17.149999999999999" customHeight="1">
      <c r="A420" s="14" t="s">
        <v>900</v>
      </c>
      <c r="B420" s="15" t="s">
        <v>901</v>
      </c>
      <c r="C420" s="16">
        <v>0</v>
      </c>
      <c r="D420" s="16"/>
      <c r="E420" s="160" t="s">
        <v>8237</v>
      </c>
    </row>
    <row r="421" spans="1:5" ht="17.149999999999999" customHeight="1">
      <c r="A421" s="14" t="s">
        <v>902</v>
      </c>
      <c r="B421" s="15" t="s">
        <v>903</v>
      </c>
      <c r="C421" s="16">
        <v>0</v>
      </c>
      <c r="D421" s="16"/>
      <c r="E421" s="160" t="s">
        <v>8237</v>
      </c>
    </row>
    <row r="422" spans="1:5" ht="17.149999999999999" customHeight="1">
      <c r="A422" s="14" t="s">
        <v>904</v>
      </c>
      <c r="B422" s="15" t="s">
        <v>905</v>
      </c>
      <c r="C422" s="16" t="s">
        <v>93</v>
      </c>
      <c r="D422" s="16"/>
      <c r="E422" s="160" t="s">
        <v>6567</v>
      </c>
    </row>
    <row r="423" spans="1:5" ht="17.149999999999999" customHeight="1">
      <c r="A423" s="14" t="s">
        <v>906</v>
      </c>
      <c r="B423" s="15" t="s">
        <v>907</v>
      </c>
      <c r="C423" s="16" t="s">
        <v>93</v>
      </c>
      <c r="D423" s="16"/>
      <c r="E423" s="160" t="s">
        <v>8238</v>
      </c>
    </row>
    <row r="424" spans="1:5" ht="17.149999999999999" customHeight="1">
      <c r="A424" s="14" t="s">
        <v>908</v>
      </c>
      <c r="B424" s="15" t="s">
        <v>909</v>
      </c>
      <c r="C424" s="16" t="s">
        <v>93</v>
      </c>
      <c r="D424" s="16"/>
      <c r="E424" s="160" t="s">
        <v>8238</v>
      </c>
    </row>
    <row r="425" spans="1:5" ht="17.149999999999999" customHeight="1">
      <c r="A425" s="14" t="s">
        <v>910</v>
      </c>
      <c r="B425" s="15" t="s">
        <v>911</v>
      </c>
      <c r="C425" s="16">
        <v>0</v>
      </c>
      <c r="D425" s="16"/>
      <c r="E425" s="160" t="s">
        <v>8232</v>
      </c>
    </row>
    <row r="426" spans="1:5" ht="17.149999999999999" customHeight="1">
      <c r="A426" s="14" t="s">
        <v>912</v>
      </c>
      <c r="B426" s="15" t="s">
        <v>913</v>
      </c>
      <c r="C426" s="16">
        <v>0</v>
      </c>
      <c r="D426" s="16"/>
      <c r="E426" s="160" t="s">
        <v>8232</v>
      </c>
    </row>
    <row r="427" spans="1:5" ht="17.149999999999999" customHeight="1">
      <c r="A427" s="14" t="s">
        <v>914</v>
      </c>
      <c r="B427" s="15" t="s">
        <v>915</v>
      </c>
      <c r="C427" s="16">
        <v>0</v>
      </c>
      <c r="D427" s="16"/>
      <c r="E427" s="160" t="s">
        <v>8232</v>
      </c>
    </row>
    <row r="428" spans="1:5" ht="17.149999999999999" customHeight="1">
      <c r="A428" s="14" t="s">
        <v>916</v>
      </c>
      <c r="B428" s="15" t="s">
        <v>917</v>
      </c>
      <c r="C428" s="16">
        <v>0</v>
      </c>
      <c r="D428" s="16"/>
      <c r="E428" s="160" t="s">
        <v>8232</v>
      </c>
    </row>
    <row r="429" spans="1:5" ht="17.149999999999999" customHeight="1">
      <c r="A429" s="14" t="s">
        <v>918</v>
      </c>
      <c r="B429" s="15" t="s">
        <v>919</v>
      </c>
      <c r="C429" s="16">
        <v>0</v>
      </c>
      <c r="D429" s="16"/>
      <c r="E429" s="160" t="s">
        <v>8232</v>
      </c>
    </row>
    <row r="430" spans="1:5" ht="17.149999999999999" customHeight="1">
      <c r="A430" s="14" t="s">
        <v>920</v>
      </c>
      <c r="B430" s="15" t="s">
        <v>921</v>
      </c>
      <c r="C430" s="16">
        <v>0</v>
      </c>
      <c r="D430" s="16"/>
      <c r="E430" s="160" t="s">
        <v>6112</v>
      </c>
    </row>
    <row r="431" spans="1:5" ht="17.149999999999999" customHeight="1">
      <c r="A431" s="14" t="s">
        <v>922</v>
      </c>
      <c r="B431" s="15" t="s">
        <v>923</v>
      </c>
      <c r="C431" s="16">
        <v>0</v>
      </c>
      <c r="D431" s="16"/>
      <c r="E431" s="160" t="s">
        <v>6112</v>
      </c>
    </row>
    <row r="432" spans="1:5" ht="17.149999999999999" customHeight="1">
      <c r="A432" s="14" t="s">
        <v>924</v>
      </c>
      <c r="B432" s="15" t="s">
        <v>925</v>
      </c>
      <c r="C432" s="16">
        <v>0</v>
      </c>
      <c r="D432" s="16"/>
      <c r="E432" s="160" t="s">
        <v>6112</v>
      </c>
    </row>
    <row r="433" spans="1:5" ht="17.149999999999999" customHeight="1">
      <c r="A433" s="14" t="s">
        <v>926</v>
      </c>
      <c r="B433" s="15" t="s">
        <v>927</v>
      </c>
      <c r="C433" s="16">
        <v>0</v>
      </c>
      <c r="D433" s="16"/>
      <c r="E433" s="160" t="s">
        <v>6112</v>
      </c>
    </row>
    <row r="434" spans="1:5" ht="17.149999999999999" customHeight="1">
      <c r="A434" s="14" t="s">
        <v>928</v>
      </c>
      <c r="B434" s="15" t="s">
        <v>929</v>
      </c>
      <c r="C434" s="16">
        <v>0</v>
      </c>
      <c r="D434" s="16"/>
      <c r="E434" s="160" t="s">
        <v>6112</v>
      </c>
    </row>
    <row r="435" spans="1:5" ht="17.149999999999999" customHeight="1">
      <c r="A435" s="14" t="s">
        <v>930</v>
      </c>
      <c r="B435" s="15" t="s">
        <v>931</v>
      </c>
      <c r="C435" s="16">
        <v>0</v>
      </c>
      <c r="D435" s="16"/>
      <c r="E435" s="160" t="s">
        <v>5059</v>
      </c>
    </row>
    <row r="436" spans="1:5" ht="17.149999999999999" customHeight="1">
      <c r="A436" s="14" t="s">
        <v>932</v>
      </c>
      <c r="B436" s="15" t="s">
        <v>933</v>
      </c>
      <c r="C436" s="16">
        <v>0</v>
      </c>
      <c r="D436" s="16"/>
      <c r="E436" s="160" t="s">
        <v>5059</v>
      </c>
    </row>
    <row r="437" spans="1:5" ht="17.149999999999999" customHeight="1">
      <c r="A437" s="14" t="s">
        <v>934</v>
      </c>
      <c r="B437" s="15" t="s">
        <v>935</v>
      </c>
      <c r="C437" s="16">
        <v>0</v>
      </c>
      <c r="D437" s="16"/>
      <c r="E437" s="160" t="s">
        <v>8239</v>
      </c>
    </row>
    <row r="438" spans="1:5" ht="17.149999999999999" customHeight="1">
      <c r="A438" s="14" t="s">
        <v>936</v>
      </c>
      <c r="B438" s="15" t="s">
        <v>937</v>
      </c>
      <c r="C438" s="16">
        <v>0</v>
      </c>
      <c r="D438" s="16"/>
      <c r="E438" s="160" t="s">
        <v>8239</v>
      </c>
    </row>
    <row r="439" spans="1:5" ht="17.149999999999999" customHeight="1">
      <c r="A439" s="14" t="s">
        <v>938</v>
      </c>
      <c r="B439" s="15" t="s">
        <v>939</v>
      </c>
      <c r="C439" s="16">
        <v>0</v>
      </c>
      <c r="D439" s="16"/>
      <c r="E439" s="160" t="s">
        <v>8240</v>
      </c>
    </row>
    <row r="440" spans="1:5" ht="17.149999999999999" customHeight="1">
      <c r="A440" s="14" t="s">
        <v>940</v>
      </c>
      <c r="B440" s="15" t="s">
        <v>941</v>
      </c>
      <c r="C440" s="16">
        <v>0</v>
      </c>
      <c r="D440" s="16"/>
      <c r="E440" s="160" t="s">
        <v>8240</v>
      </c>
    </row>
    <row r="441" spans="1:5" ht="17.149999999999999" customHeight="1">
      <c r="A441" s="14" t="s">
        <v>942</v>
      </c>
      <c r="B441" s="15" t="s">
        <v>943</v>
      </c>
      <c r="C441" s="16">
        <v>0</v>
      </c>
      <c r="D441" s="16"/>
      <c r="E441" s="160" t="s">
        <v>8240</v>
      </c>
    </row>
    <row r="442" spans="1:5" ht="17.149999999999999" customHeight="1">
      <c r="A442" s="14" t="s">
        <v>944</v>
      </c>
      <c r="B442" s="15" t="s">
        <v>945</v>
      </c>
      <c r="C442" s="16">
        <v>0</v>
      </c>
      <c r="D442" s="16"/>
      <c r="E442" s="160" t="s">
        <v>8240</v>
      </c>
    </row>
    <row r="443" spans="1:5" ht="17.149999999999999" customHeight="1">
      <c r="A443" s="14" t="s">
        <v>946</v>
      </c>
      <c r="B443" s="15" t="s">
        <v>947</v>
      </c>
      <c r="C443" s="16">
        <v>0</v>
      </c>
      <c r="D443" s="16"/>
      <c r="E443" s="160" t="s">
        <v>8240</v>
      </c>
    </row>
    <row r="444" spans="1:5" ht="17.149999999999999" customHeight="1">
      <c r="A444" s="14" t="s">
        <v>948</v>
      </c>
      <c r="B444" s="15" t="s">
        <v>949</v>
      </c>
      <c r="C444" s="16">
        <v>0</v>
      </c>
      <c r="D444" s="16"/>
      <c r="E444" s="160" t="s">
        <v>8240</v>
      </c>
    </row>
    <row r="445" spans="1:5" ht="17.149999999999999" customHeight="1">
      <c r="A445" s="14" t="s">
        <v>950</v>
      </c>
      <c r="B445" s="15" t="s">
        <v>951</v>
      </c>
      <c r="C445" s="16">
        <v>0</v>
      </c>
      <c r="D445" s="16"/>
      <c r="E445" s="160" t="s">
        <v>8240</v>
      </c>
    </row>
    <row r="446" spans="1:5" ht="17.149999999999999" customHeight="1">
      <c r="A446" s="14" t="s">
        <v>952</v>
      </c>
      <c r="B446" s="15" t="s">
        <v>953</v>
      </c>
      <c r="C446" s="16">
        <v>0</v>
      </c>
      <c r="D446" s="16"/>
      <c r="E446" s="160" t="s">
        <v>8240</v>
      </c>
    </row>
    <row r="447" spans="1:5" ht="17.149999999999999" customHeight="1">
      <c r="A447" s="14" t="s">
        <v>954</v>
      </c>
      <c r="B447" s="15" t="s">
        <v>955</v>
      </c>
      <c r="C447" s="16">
        <v>0</v>
      </c>
      <c r="D447" s="16"/>
      <c r="E447" s="160" t="s">
        <v>5044</v>
      </c>
    </row>
    <row r="448" spans="1:5" ht="17.149999999999999" customHeight="1">
      <c r="A448" s="14" t="s">
        <v>956</v>
      </c>
      <c r="B448" s="15" t="s">
        <v>957</v>
      </c>
      <c r="C448" s="16">
        <v>0</v>
      </c>
      <c r="D448" s="16"/>
      <c r="E448" s="160" t="s">
        <v>5044</v>
      </c>
    </row>
    <row r="449" spans="1:5" ht="17.149999999999999" customHeight="1">
      <c r="A449" s="14" t="s">
        <v>958</v>
      </c>
      <c r="B449" s="15" t="s">
        <v>959</v>
      </c>
      <c r="C449" s="16">
        <v>0</v>
      </c>
      <c r="D449" s="16"/>
      <c r="E449" s="160" t="s">
        <v>5057</v>
      </c>
    </row>
    <row r="450" spans="1:5" ht="17.149999999999999" customHeight="1">
      <c r="A450" s="14" t="s">
        <v>960</v>
      </c>
      <c r="B450" s="15" t="s">
        <v>961</v>
      </c>
      <c r="C450" s="16">
        <v>0</v>
      </c>
      <c r="D450" s="16"/>
      <c r="E450" s="160" t="s">
        <v>5057</v>
      </c>
    </row>
    <row r="451" spans="1:5" ht="17.149999999999999" customHeight="1">
      <c r="A451" s="14" t="s">
        <v>962</v>
      </c>
      <c r="B451" s="15" t="s">
        <v>963</v>
      </c>
      <c r="C451" s="16">
        <v>0</v>
      </c>
      <c r="D451" s="16"/>
      <c r="E451" s="160" t="s">
        <v>5044</v>
      </c>
    </row>
    <row r="452" spans="1:5" ht="17.149999999999999" customHeight="1">
      <c r="A452" s="14" t="s">
        <v>964</v>
      </c>
      <c r="B452" s="15" t="s">
        <v>965</v>
      </c>
      <c r="C452" s="16">
        <v>0</v>
      </c>
      <c r="D452" s="16"/>
      <c r="E452" s="160" t="s">
        <v>5044</v>
      </c>
    </row>
    <row r="453" spans="1:5" ht="17.149999999999999" customHeight="1">
      <c r="A453" s="14" t="s">
        <v>966</v>
      </c>
      <c r="B453" s="15" t="s">
        <v>967</v>
      </c>
      <c r="C453" s="16">
        <v>0</v>
      </c>
      <c r="D453" s="16"/>
      <c r="E453" s="160" t="s">
        <v>5044</v>
      </c>
    </row>
    <row r="454" spans="1:5" ht="17.149999999999999" customHeight="1">
      <c r="A454" s="14" t="s">
        <v>968</v>
      </c>
      <c r="B454" s="15" t="s">
        <v>969</v>
      </c>
      <c r="C454" s="16">
        <v>0</v>
      </c>
      <c r="D454" s="16"/>
      <c r="E454" s="160" t="s">
        <v>5044</v>
      </c>
    </row>
    <row r="455" spans="1:5" ht="17.149999999999999" customHeight="1">
      <c r="A455" s="14" t="s">
        <v>970</v>
      </c>
      <c r="B455" s="15" t="s">
        <v>971</v>
      </c>
      <c r="C455" s="16" t="s">
        <v>93</v>
      </c>
      <c r="D455" s="16"/>
      <c r="E455" s="160" t="s">
        <v>5057</v>
      </c>
    </row>
    <row r="456" spans="1:5" ht="17.149999999999999" customHeight="1">
      <c r="A456" s="14" t="s">
        <v>972</v>
      </c>
      <c r="B456" s="15" t="s">
        <v>973</v>
      </c>
      <c r="C456" s="16">
        <v>0</v>
      </c>
      <c r="D456" s="16"/>
      <c r="E456" s="160" t="s">
        <v>5057</v>
      </c>
    </row>
    <row r="457" spans="1:5" ht="17.149999999999999" customHeight="1">
      <c r="A457" s="14" t="s">
        <v>974</v>
      </c>
      <c r="B457" s="15" t="s">
        <v>975</v>
      </c>
      <c r="C457" s="16">
        <v>0</v>
      </c>
      <c r="D457" s="16"/>
      <c r="E457" s="160" t="s">
        <v>5057</v>
      </c>
    </row>
    <row r="458" spans="1:5" ht="17.149999999999999" customHeight="1">
      <c r="A458" s="14" t="s">
        <v>976</v>
      </c>
      <c r="B458" s="15" t="s">
        <v>977</v>
      </c>
      <c r="C458" s="16">
        <v>0</v>
      </c>
      <c r="D458" s="16"/>
      <c r="E458" s="160" t="s">
        <v>5059</v>
      </c>
    </row>
    <row r="459" spans="1:5" ht="17.149999999999999" customHeight="1">
      <c r="A459" s="14" t="s">
        <v>978</v>
      </c>
      <c r="B459" s="15" t="s">
        <v>979</v>
      </c>
      <c r="C459" s="16">
        <v>0</v>
      </c>
      <c r="D459" s="16"/>
      <c r="E459" s="160" t="s">
        <v>5059</v>
      </c>
    </row>
    <row r="460" spans="1:5" ht="17.149999999999999" customHeight="1">
      <c r="A460" s="14" t="s">
        <v>980</v>
      </c>
      <c r="B460" s="15" t="s">
        <v>981</v>
      </c>
      <c r="C460" s="16">
        <v>0</v>
      </c>
      <c r="D460" s="16"/>
      <c r="E460" s="160" t="s">
        <v>98</v>
      </c>
    </row>
    <row r="461" spans="1:5" ht="17.149999999999999" customHeight="1">
      <c r="A461" s="14" t="s">
        <v>982</v>
      </c>
      <c r="B461" s="15" t="s">
        <v>983</v>
      </c>
      <c r="C461" s="16">
        <v>0</v>
      </c>
      <c r="D461" s="16"/>
      <c r="E461" s="160" t="s">
        <v>98</v>
      </c>
    </row>
    <row r="462" spans="1:5" ht="17.149999999999999" customHeight="1">
      <c r="A462" s="14" t="s">
        <v>984</v>
      </c>
      <c r="B462" s="15" t="s">
        <v>985</v>
      </c>
      <c r="C462" s="16">
        <v>0</v>
      </c>
      <c r="D462" s="16"/>
      <c r="E462" s="160" t="s">
        <v>5059</v>
      </c>
    </row>
    <row r="463" spans="1:5" ht="17.149999999999999" customHeight="1">
      <c r="A463" s="14" t="s">
        <v>986</v>
      </c>
      <c r="B463" s="15" t="s">
        <v>987</v>
      </c>
      <c r="C463" s="16">
        <v>0</v>
      </c>
      <c r="D463" s="16"/>
      <c r="E463" s="160" t="s">
        <v>5059</v>
      </c>
    </row>
    <row r="464" spans="1:5" ht="17.149999999999999" customHeight="1">
      <c r="A464" s="14" t="s">
        <v>988</v>
      </c>
      <c r="B464" s="15" t="s">
        <v>989</v>
      </c>
      <c r="C464" s="16" t="s">
        <v>88</v>
      </c>
      <c r="D464" s="16"/>
      <c r="E464" s="160" t="s">
        <v>5057</v>
      </c>
    </row>
    <row r="465" spans="1:5" ht="17.149999999999999" customHeight="1">
      <c r="A465" s="14" t="s">
        <v>990</v>
      </c>
      <c r="B465" s="15" t="s">
        <v>991</v>
      </c>
      <c r="C465" s="16" t="s">
        <v>88</v>
      </c>
      <c r="D465" s="16"/>
      <c r="E465" s="160" t="s">
        <v>5057</v>
      </c>
    </row>
    <row r="466" spans="1:5" ht="17.149999999999999" customHeight="1">
      <c r="A466" s="14" t="s">
        <v>992</v>
      </c>
      <c r="B466" s="15" t="s">
        <v>993</v>
      </c>
      <c r="C466" s="16" t="s">
        <v>88</v>
      </c>
      <c r="D466" s="16"/>
      <c r="E466" s="160" t="s">
        <v>8241</v>
      </c>
    </row>
    <row r="467" spans="1:5" ht="17.149999999999999" customHeight="1">
      <c r="A467" s="14" t="s">
        <v>994</v>
      </c>
      <c r="B467" s="15" t="s">
        <v>995</v>
      </c>
      <c r="C467" s="16" t="s">
        <v>88</v>
      </c>
      <c r="D467" s="16"/>
      <c r="E467" s="160" t="s">
        <v>8241</v>
      </c>
    </row>
    <row r="468" spans="1:5" ht="17.149999999999999" customHeight="1">
      <c r="A468" s="14" t="s">
        <v>996</v>
      </c>
      <c r="B468" s="15" t="s">
        <v>997</v>
      </c>
      <c r="C468" s="16">
        <v>0</v>
      </c>
      <c r="D468" s="16"/>
      <c r="E468" s="160" t="s">
        <v>5057</v>
      </c>
    </row>
    <row r="469" spans="1:5" ht="17.149999999999999" customHeight="1">
      <c r="A469" s="14" t="s">
        <v>998</v>
      </c>
      <c r="B469" s="15" t="s">
        <v>999</v>
      </c>
      <c r="C469" s="16">
        <v>0</v>
      </c>
      <c r="D469" s="16"/>
      <c r="E469" s="160" t="s">
        <v>8232</v>
      </c>
    </row>
    <row r="470" spans="1:5" ht="17.149999999999999" customHeight="1">
      <c r="A470" s="14" t="s">
        <v>1000</v>
      </c>
      <c r="B470" s="15" t="s">
        <v>1001</v>
      </c>
      <c r="C470" s="16">
        <v>0</v>
      </c>
      <c r="D470" s="16"/>
      <c r="E470" s="160" t="s">
        <v>8232</v>
      </c>
    </row>
    <row r="471" spans="1:5" ht="17.149999999999999" customHeight="1">
      <c r="A471" s="14" t="s">
        <v>1002</v>
      </c>
      <c r="B471" s="15" t="s">
        <v>1003</v>
      </c>
      <c r="C471" s="16">
        <v>0</v>
      </c>
      <c r="D471" s="16"/>
      <c r="E471" s="160" t="s">
        <v>8232</v>
      </c>
    </row>
    <row r="472" spans="1:5" ht="17.149999999999999" customHeight="1">
      <c r="A472" s="14" t="s">
        <v>1004</v>
      </c>
      <c r="B472" s="15" t="s">
        <v>1005</v>
      </c>
      <c r="C472" s="16">
        <v>0</v>
      </c>
      <c r="D472" s="16"/>
      <c r="E472" s="160" t="s">
        <v>8232</v>
      </c>
    </row>
    <row r="473" spans="1:5" ht="17.149999999999999" customHeight="1">
      <c r="A473" s="14" t="s">
        <v>1006</v>
      </c>
      <c r="B473" s="15" t="s">
        <v>1007</v>
      </c>
      <c r="C473" s="16">
        <v>0</v>
      </c>
      <c r="D473" s="16"/>
      <c r="E473" s="160" t="s">
        <v>8232</v>
      </c>
    </row>
    <row r="474" spans="1:5" ht="17.149999999999999" customHeight="1">
      <c r="A474" s="14" t="s">
        <v>1008</v>
      </c>
      <c r="B474" s="15" t="s">
        <v>1009</v>
      </c>
      <c r="C474" s="16">
        <v>0</v>
      </c>
      <c r="D474" s="16"/>
      <c r="E474" s="160" t="s">
        <v>5061</v>
      </c>
    </row>
    <row r="475" spans="1:5" ht="17.149999999999999" customHeight="1">
      <c r="A475" s="14" t="s">
        <v>1010</v>
      </c>
      <c r="B475" s="15" t="s">
        <v>1011</v>
      </c>
      <c r="C475" s="16">
        <v>0</v>
      </c>
      <c r="D475" s="16"/>
      <c r="E475" s="160" t="s">
        <v>5061</v>
      </c>
    </row>
    <row r="476" spans="1:5" ht="17.149999999999999" customHeight="1">
      <c r="A476" s="14" t="s">
        <v>1012</v>
      </c>
      <c r="B476" s="15" t="s">
        <v>1013</v>
      </c>
      <c r="C476" s="16">
        <v>0</v>
      </c>
      <c r="D476" s="16"/>
      <c r="E476" s="160" t="s">
        <v>5061</v>
      </c>
    </row>
    <row r="477" spans="1:5" ht="17.149999999999999" customHeight="1">
      <c r="A477" s="14" t="s">
        <v>1014</v>
      </c>
      <c r="B477" s="15" t="s">
        <v>1015</v>
      </c>
      <c r="C477" s="16">
        <v>0</v>
      </c>
      <c r="D477" s="16"/>
      <c r="E477" s="160" t="s">
        <v>5061</v>
      </c>
    </row>
    <row r="478" spans="1:5" ht="17.149999999999999" customHeight="1">
      <c r="A478" s="14" t="s">
        <v>1016</v>
      </c>
      <c r="B478" s="15" t="s">
        <v>1017</v>
      </c>
      <c r="C478" s="16">
        <v>0</v>
      </c>
      <c r="D478" s="16"/>
      <c r="E478" s="160" t="s">
        <v>5061</v>
      </c>
    </row>
    <row r="479" spans="1:5" ht="17.149999999999999" customHeight="1">
      <c r="A479" s="14" t="s">
        <v>1018</v>
      </c>
      <c r="B479" s="15" t="s">
        <v>1019</v>
      </c>
      <c r="C479" s="16">
        <v>0</v>
      </c>
      <c r="D479" s="16"/>
      <c r="E479" s="160" t="s">
        <v>5061</v>
      </c>
    </row>
    <row r="480" spans="1:5" ht="17.149999999999999" customHeight="1">
      <c r="A480" s="14" t="s">
        <v>1020</v>
      </c>
      <c r="B480" s="15" t="s">
        <v>1021</v>
      </c>
      <c r="C480" s="16">
        <v>0</v>
      </c>
      <c r="D480" s="16"/>
      <c r="E480" s="160" t="s">
        <v>5061</v>
      </c>
    </row>
    <row r="481" spans="1:5" ht="17.149999999999999" customHeight="1">
      <c r="A481" s="14" t="s">
        <v>1022</v>
      </c>
      <c r="B481" s="15" t="s">
        <v>1023</v>
      </c>
      <c r="C481" s="16">
        <v>0</v>
      </c>
      <c r="D481" s="16"/>
      <c r="E481" s="160" t="s">
        <v>8242</v>
      </c>
    </row>
    <row r="482" spans="1:5" ht="17.149999999999999" customHeight="1">
      <c r="A482" s="14" t="s">
        <v>1024</v>
      </c>
      <c r="B482" s="15" t="s">
        <v>1025</v>
      </c>
      <c r="C482" s="16">
        <v>0</v>
      </c>
      <c r="D482" s="16"/>
      <c r="E482" s="160" t="s">
        <v>8242</v>
      </c>
    </row>
    <row r="483" spans="1:5" ht="17.149999999999999" customHeight="1">
      <c r="A483" s="14" t="s">
        <v>1026</v>
      </c>
      <c r="B483" s="15" t="s">
        <v>1027</v>
      </c>
      <c r="C483" s="16">
        <v>0</v>
      </c>
      <c r="D483" s="16"/>
      <c r="E483" s="160" t="s">
        <v>4859</v>
      </c>
    </row>
    <row r="484" spans="1:5" ht="17.149999999999999" customHeight="1">
      <c r="A484" s="14" t="s">
        <v>1028</v>
      </c>
      <c r="B484" s="15" t="s">
        <v>1029</v>
      </c>
      <c r="C484" s="16">
        <v>0</v>
      </c>
      <c r="D484" s="16"/>
      <c r="E484" s="160" t="s">
        <v>4859</v>
      </c>
    </row>
    <row r="485" spans="1:5" ht="17.149999999999999" customHeight="1">
      <c r="A485" s="14" t="s">
        <v>1030</v>
      </c>
      <c r="B485" s="15" t="s">
        <v>1031</v>
      </c>
      <c r="C485" s="16">
        <v>0</v>
      </c>
      <c r="D485" s="16"/>
      <c r="E485" s="160" t="s">
        <v>8243</v>
      </c>
    </row>
    <row r="486" spans="1:5" ht="17.149999999999999" customHeight="1">
      <c r="A486" s="14" t="s">
        <v>1032</v>
      </c>
      <c r="B486" s="15" t="s">
        <v>1033</v>
      </c>
      <c r="C486" s="16">
        <v>0</v>
      </c>
      <c r="D486" s="16"/>
      <c r="E486" s="160" t="s">
        <v>8243</v>
      </c>
    </row>
    <row r="487" spans="1:5" ht="17.149999999999999" customHeight="1">
      <c r="A487" s="14" t="s">
        <v>1034</v>
      </c>
      <c r="B487" s="15" t="s">
        <v>1035</v>
      </c>
      <c r="C487" s="16">
        <v>0</v>
      </c>
      <c r="D487" s="16"/>
      <c r="E487" s="160" t="s">
        <v>8243</v>
      </c>
    </row>
    <row r="488" spans="1:5" ht="17.149999999999999" customHeight="1">
      <c r="A488" s="14" t="s">
        <v>1036</v>
      </c>
      <c r="B488" s="15" t="s">
        <v>1037</v>
      </c>
      <c r="C488" s="16">
        <v>0</v>
      </c>
      <c r="D488" s="16"/>
      <c r="E488" s="160" t="s">
        <v>8243</v>
      </c>
    </row>
    <row r="489" spans="1:5" ht="17.149999999999999" customHeight="1">
      <c r="A489" s="14" t="s">
        <v>1038</v>
      </c>
      <c r="B489" s="15" t="s">
        <v>1039</v>
      </c>
      <c r="C489" s="16">
        <v>0</v>
      </c>
      <c r="D489" s="16"/>
      <c r="E489" s="160" t="s">
        <v>8243</v>
      </c>
    </row>
    <row r="490" spans="1:5" ht="17.149999999999999" customHeight="1">
      <c r="A490" s="14" t="s">
        <v>1040</v>
      </c>
      <c r="B490" s="15" t="s">
        <v>1041</v>
      </c>
      <c r="C490" s="16">
        <v>0</v>
      </c>
      <c r="D490" s="16"/>
      <c r="E490" s="160" t="s">
        <v>8243</v>
      </c>
    </row>
    <row r="491" spans="1:5" ht="17.149999999999999" customHeight="1">
      <c r="A491" s="14" t="s">
        <v>1042</v>
      </c>
      <c r="B491" s="15" t="s">
        <v>1043</v>
      </c>
      <c r="C491" s="16">
        <v>0</v>
      </c>
      <c r="D491" s="16"/>
      <c r="E491" s="160" t="s">
        <v>8243</v>
      </c>
    </row>
    <row r="492" spans="1:5" ht="17.149999999999999" customHeight="1">
      <c r="A492" s="14" t="s">
        <v>1044</v>
      </c>
      <c r="B492" s="15" t="s">
        <v>1045</v>
      </c>
      <c r="C492" s="16">
        <v>0</v>
      </c>
      <c r="D492" s="16"/>
      <c r="E492" s="160" t="s">
        <v>8243</v>
      </c>
    </row>
    <row r="493" spans="1:5" ht="17.149999999999999" customHeight="1">
      <c r="A493" s="14" t="s">
        <v>1046</v>
      </c>
      <c r="B493" s="15" t="s">
        <v>1047</v>
      </c>
      <c r="C493" s="16">
        <v>0</v>
      </c>
      <c r="D493" s="16"/>
      <c r="E493" s="160" t="s">
        <v>5213</v>
      </c>
    </row>
    <row r="494" spans="1:5" ht="17.149999999999999" customHeight="1">
      <c r="A494" s="14" t="s">
        <v>1048</v>
      </c>
      <c r="B494" s="15" t="s">
        <v>1049</v>
      </c>
      <c r="C494" s="16">
        <v>0</v>
      </c>
      <c r="D494" s="16"/>
      <c r="E494" s="160" t="s">
        <v>5213</v>
      </c>
    </row>
    <row r="495" spans="1:5" ht="17.149999999999999" customHeight="1">
      <c r="A495" s="14" t="s">
        <v>1050</v>
      </c>
      <c r="B495" s="15" t="s">
        <v>1051</v>
      </c>
      <c r="C495" s="16">
        <v>0</v>
      </c>
      <c r="D495" s="16"/>
      <c r="E495" s="160" t="s">
        <v>5213</v>
      </c>
    </row>
    <row r="496" spans="1:5" ht="17.149999999999999" customHeight="1">
      <c r="A496" s="14" t="s">
        <v>1052</v>
      </c>
      <c r="B496" s="15" t="s">
        <v>1053</v>
      </c>
      <c r="C496" s="16">
        <v>0</v>
      </c>
      <c r="D496" s="16"/>
      <c r="E496" s="160" t="s">
        <v>5213</v>
      </c>
    </row>
    <row r="497" spans="1:5" ht="17.149999999999999" customHeight="1">
      <c r="A497" s="14" t="s">
        <v>1054</v>
      </c>
      <c r="B497" s="15" t="s">
        <v>1055</v>
      </c>
      <c r="C497" s="16">
        <v>0</v>
      </c>
      <c r="D497" s="16"/>
      <c r="E497" s="160" t="s">
        <v>4859</v>
      </c>
    </row>
    <row r="498" spans="1:5" ht="17.149999999999999" customHeight="1">
      <c r="A498" s="14" t="s">
        <v>1056</v>
      </c>
      <c r="B498" s="15" t="s">
        <v>1057</v>
      </c>
      <c r="C498" s="16">
        <v>0</v>
      </c>
      <c r="D498" s="16"/>
      <c r="E498" s="160" t="s">
        <v>4859</v>
      </c>
    </row>
    <row r="499" spans="1:5" ht="17.149999999999999" customHeight="1">
      <c r="A499" s="14" t="s">
        <v>1058</v>
      </c>
      <c r="B499" s="15" t="s">
        <v>1059</v>
      </c>
      <c r="C499" s="16">
        <v>0</v>
      </c>
      <c r="D499" s="16"/>
      <c r="E499" s="160" t="s">
        <v>4859</v>
      </c>
    </row>
    <row r="500" spans="1:5" ht="17.149999999999999" customHeight="1">
      <c r="A500" s="14" t="s">
        <v>1060</v>
      </c>
      <c r="B500" s="15" t="s">
        <v>1061</v>
      </c>
      <c r="C500" s="16">
        <v>0</v>
      </c>
      <c r="D500" s="16"/>
      <c r="E500" s="160" t="s">
        <v>4859</v>
      </c>
    </row>
    <row r="501" spans="1:5" ht="17.149999999999999" customHeight="1">
      <c r="A501" s="14" t="s">
        <v>1062</v>
      </c>
      <c r="B501" s="15" t="s">
        <v>1063</v>
      </c>
      <c r="C501" s="16">
        <v>0</v>
      </c>
      <c r="D501" s="16"/>
      <c r="E501" s="160" t="s">
        <v>5213</v>
      </c>
    </row>
    <row r="502" spans="1:5" ht="17.149999999999999" customHeight="1">
      <c r="A502" s="14" t="s">
        <v>1064</v>
      </c>
      <c r="B502" s="15" t="s">
        <v>1065</v>
      </c>
      <c r="C502" s="16">
        <v>0</v>
      </c>
      <c r="D502" s="16"/>
      <c r="E502" s="160" t="s">
        <v>5213</v>
      </c>
    </row>
    <row r="503" spans="1:5" ht="17.149999999999999" customHeight="1">
      <c r="A503" s="14" t="s">
        <v>1066</v>
      </c>
      <c r="B503" s="15" t="s">
        <v>1067</v>
      </c>
      <c r="C503" s="16">
        <v>0</v>
      </c>
      <c r="D503" s="16"/>
      <c r="E503" s="160" t="s">
        <v>5213</v>
      </c>
    </row>
    <row r="504" spans="1:5" ht="17.149999999999999" customHeight="1">
      <c r="A504" s="14" t="s">
        <v>1068</v>
      </c>
      <c r="B504" s="15" t="s">
        <v>1069</v>
      </c>
      <c r="C504" s="16">
        <v>0</v>
      </c>
      <c r="D504" s="16"/>
      <c r="E504" s="160" t="s">
        <v>5213</v>
      </c>
    </row>
    <row r="505" spans="1:5" ht="17.149999999999999" customHeight="1">
      <c r="A505" s="14" t="s">
        <v>1070</v>
      </c>
      <c r="B505" s="15" t="s">
        <v>1071</v>
      </c>
      <c r="C505" s="16" t="s">
        <v>93</v>
      </c>
      <c r="D505" s="16"/>
      <c r="E505" s="160" t="s">
        <v>5061</v>
      </c>
    </row>
    <row r="506" spans="1:5" ht="17.149999999999999" customHeight="1">
      <c r="A506" s="14" t="s">
        <v>1072</v>
      </c>
      <c r="B506" s="15" t="s">
        <v>1073</v>
      </c>
      <c r="C506" s="16">
        <v>0</v>
      </c>
      <c r="D506" s="16"/>
      <c r="E506" s="160" t="s">
        <v>5061</v>
      </c>
    </row>
    <row r="507" spans="1:5" ht="17.149999999999999" customHeight="1">
      <c r="A507" s="14" t="s">
        <v>1074</v>
      </c>
      <c r="B507" s="15" t="s">
        <v>1075</v>
      </c>
      <c r="C507" s="16">
        <v>0</v>
      </c>
      <c r="D507" s="16"/>
      <c r="E507" s="160" t="s">
        <v>5061</v>
      </c>
    </row>
    <row r="508" spans="1:5" ht="17.149999999999999" customHeight="1">
      <c r="A508" s="14" t="s">
        <v>1076</v>
      </c>
      <c r="B508" s="15" t="s">
        <v>1077</v>
      </c>
      <c r="C508" s="16">
        <v>0</v>
      </c>
      <c r="D508" s="16"/>
      <c r="E508" s="160" t="s">
        <v>5061</v>
      </c>
    </row>
    <row r="509" spans="1:5" ht="17.149999999999999" customHeight="1">
      <c r="A509" s="14" t="s">
        <v>1078</v>
      </c>
      <c r="B509" s="15" t="s">
        <v>1079</v>
      </c>
      <c r="C509" s="16">
        <v>0</v>
      </c>
      <c r="D509" s="16"/>
      <c r="E509" s="160" t="s">
        <v>5061</v>
      </c>
    </row>
    <row r="510" spans="1:5" ht="17.149999999999999" customHeight="1">
      <c r="A510" s="14" t="s">
        <v>1080</v>
      </c>
      <c r="B510" s="15" t="s">
        <v>1081</v>
      </c>
      <c r="C510" s="16">
        <v>0</v>
      </c>
      <c r="D510" s="16"/>
      <c r="E510" s="160" t="s">
        <v>6542</v>
      </c>
    </row>
    <row r="511" spans="1:5" ht="17.149999999999999" customHeight="1">
      <c r="A511" s="14" t="s">
        <v>1082</v>
      </c>
      <c r="B511" s="15" t="s">
        <v>1083</v>
      </c>
      <c r="C511" s="16">
        <v>0</v>
      </c>
      <c r="D511" s="16"/>
      <c r="E511" s="160" t="s">
        <v>8224</v>
      </c>
    </row>
    <row r="512" spans="1:5" ht="17.149999999999999" customHeight="1">
      <c r="A512" s="14" t="s">
        <v>1084</v>
      </c>
      <c r="B512" s="15" t="s">
        <v>1085</v>
      </c>
      <c r="C512" s="16">
        <v>0</v>
      </c>
      <c r="D512" s="16"/>
      <c r="E512" s="160" t="s">
        <v>8224</v>
      </c>
    </row>
    <row r="513" spans="1:5" ht="17.149999999999999" customHeight="1">
      <c r="A513" s="14" t="s">
        <v>1086</v>
      </c>
      <c r="B513" s="15" t="s">
        <v>1087</v>
      </c>
      <c r="C513" s="16">
        <v>0</v>
      </c>
      <c r="D513" s="16"/>
      <c r="E513" s="160" t="s">
        <v>4936</v>
      </c>
    </row>
    <row r="514" spans="1:5" ht="17.149999999999999" customHeight="1">
      <c r="A514" s="14" t="s">
        <v>1088</v>
      </c>
      <c r="B514" s="15" t="s">
        <v>1089</v>
      </c>
      <c r="C514" s="16">
        <v>0</v>
      </c>
      <c r="D514" s="16"/>
      <c r="E514" s="160" t="s">
        <v>4936</v>
      </c>
    </row>
    <row r="515" spans="1:5" ht="17.149999999999999" customHeight="1">
      <c r="A515" s="17" t="s">
        <v>1090</v>
      </c>
      <c r="B515" s="18" t="s">
        <v>1091</v>
      </c>
      <c r="C515" s="19">
        <v>0</v>
      </c>
      <c r="D515" s="19"/>
      <c r="E515" s="161" t="s">
        <v>8224</v>
      </c>
    </row>
    <row r="516" spans="1:5" ht="17.149999999999999" customHeight="1">
      <c r="A516" s="14" t="s">
        <v>1092</v>
      </c>
      <c r="B516" s="15" t="s">
        <v>1093</v>
      </c>
      <c r="C516" s="16">
        <v>0</v>
      </c>
      <c r="D516" s="16"/>
      <c r="E516" s="160" t="s">
        <v>4936</v>
      </c>
    </row>
    <row r="517" spans="1:5" ht="17.149999999999999" customHeight="1">
      <c r="A517" s="14" t="s">
        <v>1094</v>
      </c>
      <c r="B517" s="15" t="s">
        <v>1095</v>
      </c>
      <c r="C517" s="16">
        <v>0</v>
      </c>
      <c r="D517" s="16"/>
      <c r="E517" s="160" t="s">
        <v>4936</v>
      </c>
    </row>
    <row r="518" spans="1:5" ht="17.149999999999999" customHeight="1">
      <c r="A518" s="14" t="s">
        <v>1096</v>
      </c>
      <c r="B518" s="15" t="s">
        <v>1097</v>
      </c>
      <c r="C518" s="16">
        <v>0</v>
      </c>
      <c r="D518" s="16"/>
      <c r="E518" s="160" t="s">
        <v>8224</v>
      </c>
    </row>
    <row r="519" spans="1:5" ht="17.149999999999999" customHeight="1">
      <c r="A519" s="14" t="s">
        <v>1098</v>
      </c>
      <c r="B519" s="15" t="s">
        <v>1099</v>
      </c>
      <c r="C519" s="16">
        <v>0</v>
      </c>
      <c r="D519" s="16"/>
      <c r="E519" s="160" t="s">
        <v>4936</v>
      </c>
    </row>
    <row r="520" spans="1:5" ht="17.149999999999999" customHeight="1">
      <c r="A520" s="14" t="s">
        <v>1100</v>
      </c>
      <c r="B520" s="15" t="s">
        <v>1101</v>
      </c>
      <c r="C520" s="16">
        <v>0</v>
      </c>
      <c r="D520" s="16"/>
      <c r="E520" s="160" t="s">
        <v>4936</v>
      </c>
    </row>
    <row r="521" spans="1:5" ht="17.149999999999999" customHeight="1">
      <c r="A521" s="14" t="s">
        <v>1102</v>
      </c>
      <c r="B521" s="15" t="s">
        <v>1103</v>
      </c>
      <c r="C521" s="16">
        <v>0</v>
      </c>
      <c r="D521" s="16"/>
      <c r="E521" s="160" t="s">
        <v>4936</v>
      </c>
    </row>
    <row r="522" spans="1:5" ht="17.149999999999999" customHeight="1">
      <c r="A522" s="14" t="s">
        <v>1104</v>
      </c>
      <c r="B522" s="15" t="s">
        <v>1105</v>
      </c>
      <c r="C522" s="16">
        <v>0</v>
      </c>
      <c r="D522" s="16"/>
      <c r="E522" s="160" t="s">
        <v>4936</v>
      </c>
    </row>
    <row r="523" spans="1:5" ht="17.149999999999999" customHeight="1">
      <c r="A523" s="14" t="s">
        <v>1106</v>
      </c>
      <c r="B523" s="15" t="s">
        <v>1107</v>
      </c>
      <c r="C523" s="16">
        <v>0</v>
      </c>
      <c r="D523" s="16"/>
      <c r="E523" s="160" t="s">
        <v>8224</v>
      </c>
    </row>
    <row r="524" spans="1:5" ht="17.149999999999999" customHeight="1">
      <c r="A524" s="14" t="s">
        <v>1108</v>
      </c>
      <c r="B524" s="15" t="s">
        <v>1109</v>
      </c>
      <c r="C524" s="16">
        <v>0</v>
      </c>
      <c r="D524" s="16"/>
      <c r="E524" s="160" t="s">
        <v>8244</v>
      </c>
    </row>
    <row r="525" spans="1:5" ht="17.149999999999999" customHeight="1">
      <c r="A525" s="14" t="s">
        <v>1110</v>
      </c>
      <c r="B525" s="15" t="s">
        <v>1111</v>
      </c>
      <c r="C525" s="16">
        <v>0</v>
      </c>
      <c r="D525" s="16"/>
      <c r="E525" s="160" t="s">
        <v>4936</v>
      </c>
    </row>
    <row r="526" spans="1:5" ht="17.149999999999999" customHeight="1">
      <c r="A526" s="14" t="s">
        <v>1112</v>
      </c>
      <c r="B526" s="15" t="s">
        <v>1113</v>
      </c>
      <c r="C526" s="16">
        <v>0</v>
      </c>
      <c r="D526" s="16"/>
      <c r="E526" s="160" t="s">
        <v>8245</v>
      </c>
    </row>
    <row r="527" spans="1:5" ht="17.149999999999999" customHeight="1">
      <c r="A527" s="14" t="s">
        <v>1114</v>
      </c>
      <c r="B527" s="15" t="s">
        <v>1115</v>
      </c>
      <c r="C527" s="16">
        <v>0</v>
      </c>
      <c r="D527" s="16"/>
      <c r="E527" s="160" t="s">
        <v>8245</v>
      </c>
    </row>
    <row r="528" spans="1:5" ht="17.149999999999999" customHeight="1">
      <c r="A528" s="14" t="s">
        <v>1116</v>
      </c>
      <c r="B528" s="15" t="s">
        <v>1117</v>
      </c>
      <c r="C528" s="16">
        <v>0</v>
      </c>
      <c r="D528" s="16"/>
      <c r="E528" s="160" t="s">
        <v>4938</v>
      </c>
    </row>
    <row r="529" spans="1:5" ht="17.149999999999999" customHeight="1">
      <c r="A529" s="14" t="s">
        <v>1118</v>
      </c>
      <c r="B529" s="15" t="s">
        <v>1119</v>
      </c>
      <c r="C529" s="16">
        <v>0</v>
      </c>
      <c r="D529" s="16"/>
      <c r="E529" s="160" t="s">
        <v>4938</v>
      </c>
    </row>
    <row r="530" spans="1:5" ht="17.149999999999999" customHeight="1">
      <c r="A530" s="14" t="s">
        <v>1120</v>
      </c>
      <c r="B530" s="15" t="s">
        <v>1121</v>
      </c>
      <c r="C530" s="16">
        <v>0</v>
      </c>
      <c r="D530" s="16"/>
      <c r="E530" s="160" t="s">
        <v>4936</v>
      </c>
    </row>
    <row r="531" spans="1:5" ht="17.149999999999999" customHeight="1">
      <c r="A531" s="14" t="s">
        <v>1122</v>
      </c>
      <c r="B531" s="15" t="s">
        <v>1123</v>
      </c>
      <c r="C531" s="16">
        <v>0</v>
      </c>
      <c r="D531" s="16"/>
      <c r="E531" s="160" t="s">
        <v>4936</v>
      </c>
    </row>
    <row r="532" spans="1:5" ht="17.149999999999999" customHeight="1">
      <c r="A532" s="14" t="s">
        <v>1124</v>
      </c>
      <c r="B532" s="15" t="s">
        <v>1125</v>
      </c>
      <c r="C532" s="16">
        <v>0</v>
      </c>
      <c r="D532" s="16"/>
      <c r="E532" s="160" t="s">
        <v>8246</v>
      </c>
    </row>
    <row r="533" spans="1:5" ht="17.149999999999999" customHeight="1">
      <c r="A533" s="14" t="s">
        <v>1126</v>
      </c>
      <c r="B533" s="15" t="s">
        <v>1127</v>
      </c>
      <c r="C533" s="16">
        <v>0</v>
      </c>
      <c r="D533" s="16"/>
      <c r="E533" s="160" t="s">
        <v>8246</v>
      </c>
    </row>
    <row r="534" spans="1:5" ht="17.149999999999999" customHeight="1">
      <c r="A534" s="14" t="s">
        <v>1128</v>
      </c>
      <c r="B534" s="15" t="s">
        <v>1129</v>
      </c>
      <c r="C534" s="16">
        <v>0</v>
      </c>
      <c r="D534" s="16"/>
      <c r="E534" s="160" t="s">
        <v>8246</v>
      </c>
    </row>
    <row r="535" spans="1:5" ht="17.149999999999999" customHeight="1">
      <c r="A535" s="14" t="s">
        <v>1130</v>
      </c>
      <c r="B535" s="15" t="s">
        <v>1131</v>
      </c>
      <c r="C535" s="16">
        <v>0</v>
      </c>
      <c r="D535" s="16"/>
      <c r="E535" s="160" t="s">
        <v>8246</v>
      </c>
    </row>
    <row r="536" spans="1:5" ht="17.149999999999999" customHeight="1">
      <c r="A536" s="14" t="s">
        <v>1132</v>
      </c>
      <c r="B536" s="15" t="s">
        <v>1133</v>
      </c>
      <c r="C536" s="16">
        <v>0</v>
      </c>
      <c r="D536" s="16"/>
      <c r="E536" s="160" t="s">
        <v>8247</v>
      </c>
    </row>
    <row r="537" spans="1:5" ht="17.149999999999999" customHeight="1">
      <c r="A537" s="14" t="s">
        <v>1134</v>
      </c>
      <c r="B537" s="15" t="s">
        <v>1135</v>
      </c>
      <c r="C537" s="16">
        <v>0</v>
      </c>
      <c r="D537" s="16"/>
      <c r="E537" s="160" t="s">
        <v>4936</v>
      </c>
    </row>
    <row r="538" spans="1:5" ht="17.149999999999999" customHeight="1">
      <c r="A538" s="14" t="s">
        <v>1136</v>
      </c>
      <c r="B538" s="15" t="s">
        <v>1137</v>
      </c>
      <c r="C538" s="16" t="s">
        <v>1138</v>
      </c>
      <c r="D538" s="16"/>
      <c r="E538" s="160" t="s">
        <v>8248</v>
      </c>
    </row>
    <row r="539" spans="1:5" ht="17.149999999999999" customHeight="1">
      <c r="A539" s="14" t="s">
        <v>1139</v>
      </c>
      <c r="B539" s="15" t="s">
        <v>1140</v>
      </c>
      <c r="C539" s="16" t="s">
        <v>93</v>
      </c>
      <c r="D539" s="16"/>
      <c r="E539" s="160" t="s">
        <v>4936</v>
      </c>
    </row>
    <row r="540" spans="1:5" ht="17.149999999999999" customHeight="1">
      <c r="A540" s="14" t="s">
        <v>1141</v>
      </c>
      <c r="B540" s="15" t="s">
        <v>1142</v>
      </c>
      <c r="C540" s="16" t="s">
        <v>1138</v>
      </c>
      <c r="D540" s="16"/>
      <c r="E540" s="160" t="s">
        <v>8248</v>
      </c>
    </row>
    <row r="541" spans="1:5" ht="17.149999999999999" customHeight="1">
      <c r="A541" s="14" t="s">
        <v>1143</v>
      </c>
      <c r="B541" s="15" t="s">
        <v>1144</v>
      </c>
      <c r="C541" s="16" t="s">
        <v>88</v>
      </c>
      <c r="D541" s="16"/>
      <c r="E541" s="160" t="s">
        <v>99</v>
      </c>
    </row>
    <row r="542" spans="1:5" ht="17.149999999999999" customHeight="1">
      <c r="A542" s="14" t="s">
        <v>1145</v>
      </c>
      <c r="B542" s="15" t="s">
        <v>1146</v>
      </c>
      <c r="C542" s="16" t="s">
        <v>88</v>
      </c>
      <c r="D542" s="16"/>
      <c r="E542" s="160" t="s">
        <v>99</v>
      </c>
    </row>
    <row r="543" spans="1:5" ht="17.149999999999999" customHeight="1">
      <c r="A543" s="14" t="s">
        <v>1147</v>
      </c>
      <c r="B543" s="15" t="s">
        <v>1148</v>
      </c>
      <c r="C543" s="16" t="s">
        <v>88</v>
      </c>
      <c r="D543" s="16"/>
      <c r="E543" s="160" t="s">
        <v>99</v>
      </c>
    </row>
    <row r="544" spans="1:5" ht="17.149999999999999" customHeight="1">
      <c r="A544" s="14" t="s">
        <v>1149</v>
      </c>
      <c r="B544" s="15" t="s">
        <v>1150</v>
      </c>
      <c r="C544" s="16" t="s">
        <v>88</v>
      </c>
      <c r="D544" s="16"/>
      <c r="E544" s="160" t="s">
        <v>99</v>
      </c>
    </row>
    <row r="545" spans="1:5" ht="17.149999999999999" customHeight="1">
      <c r="A545" s="14" t="s">
        <v>1151</v>
      </c>
      <c r="B545" s="15" t="s">
        <v>1152</v>
      </c>
      <c r="C545" s="16">
        <v>0</v>
      </c>
      <c r="D545" s="16"/>
      <c r="E545" s="160" t="s">
        <v>8249</v>
      </c>
    </row>
    <row r="546" spans="1:5" ht="17.149999999999999" customHeight="1">
      <c r="A546" s="14" t="s">
        <v>1153</v>
      </c>
      <c r="B546" s="15" t="s">
        <v>1154</v>
      </c>
      <c r="C546" s="16">
        <v>0</v>
      </c>
      <c r="D546" s="16"/>
      <c r="E546" s="160" t="s">
        <v>8249</v>
      </c>
    </row>
    <row r="547" spans="1:5" ht="17.149999999999999" customHeight="1">
      <c r="A547" s="14" t="s">
        <v>1155</v>
      </c>
      <c r="B547" s="15" t="s">
        <v>1156</v>
      </c>
      <c r="C547" s="16">
        <v>0</v>
      </c>
      <c r="D547" s="16"/>
      <c r="E547" s="160" t="s">
        <v>8249</v>
      </c>
    </row>
    <row r="548" spans="1:5" ht="17.149999999999999" customHeight="1">
      <c r="A548" s="14" t="s">
        <v>1157</v>
      </c>
      <c r="B548" s="15" t="s">
        <v>1158</v>
      </c>
      <c r="C548" s="16">
        <v>0</v>
      </c>
      <c r="D548" s="16"/>
      <c r="E548" s="160" t="s">
        <v>8249</v>
      </c>
    </row>
    <row r="549" spans="1:5" ht="17.149999999999999" customHeight="1">
      <c r="A549" s="14" t="s">
        <v>1159</v>
      </c>
      <c r="B549" s="15" t="s">
        <v>1160</v>
      </c>
      <c r="C549" s="16">
        <v>0</v>
      </c>
      <c r="D549" s="16"/>
      <c r="E549" s="160" t="s">
        <v>8224</v>
      </c>
    </row>
    <row r="550" spans="1:5" ht="17.149999999999999" customHeight="1">
      <c r="A550" s="14" t="s">
        <v>1161</v>
      </c>
      <c r="B550" s="15" t="s">
        <v>1162</v>
      </c>
      <c r="C550" s="16">
        <v>0</v>
      </c>
      <c r="D550" s="16"/>
      <c r="E550" s="160" t="s">
        <v>8224</v>
      </c>
    </row>
    <row r="551" spans="1:5" ht="17.149999999999999" customHeight="1">
      <c r="A551" s="14" t="s">
        <v>1163</v>
      </c>
      <c r="B551" s="15" t="s">
        <v>1164</v>
      </c>
      <c r="C551" s="16">
        <v>0</v>
      </c>
      <c r="D551" s="16"/>
      <c r="E551" s="160" t="s">
        <v>8250</v>
      </c>
    </row>
    <row r="552" spans="1:5" ht="17.149999999999999" customHeight="1">
      <c r="A552" s="14" t="s">
        <v>1165</v>
      </c>
      <c r="B552" s="15" t="s">
        <v>1166</v>
      </c>
      <c r="C552" s="16">
        <v>0</v>
      </c>
      <c r="D552" s="16"/>
      <c r="E552" s="160" t="s">
        <v>8251</v>
      </c>
    </row>
    <row r="553" spans="1:5" ht="17.149999999999999" customHeight="1">
      <c r="A553" s="14" t="s">
        <v>1167</v>
      </c>
      <c r="B553" s="15" t="s">
        <v>1168</v>
      </c>
      <c r="C553" s="16">
        <v>0</v>
      </c>
      <c r="D553" s="16"/>
      <c r="E553" s="160" t="s">
        <v>8252</v>
      </c>
    </row>
    <row r="554" spans="1:5" ht="17.149999999999999" customHeight="1">
      <c r="A554" s="14" t="s">
        <v>1169</v>
      </c>
      <c r="B554" s="15" t="s">
        <v>1170</v>
      </c>
      <c r="C554" s="16">
        <v>0</v>
      </c>
      <c r="D554" s="16"/>
      <c r="E554" s="160" t="s">
        <v>8251</v>
      </c>
    </row>
    <row r="555" spans="1:5" ht="17.149999999999999" customHeight="1">
      <c r="A555" s="14" t="s">
        <v>1171</v>
      </c>
      <c r="B555" s="15" t="s">
        <v>1172</v>
      </c>
      <c r="C555" s="16">
        <v>0</v>
      </c>
      <c r="D555" s="16"/>
      <c r="E555" s="160" t="s">
        <v>8252</v>
      </c>
    </row>
    <row r="556" spans="1:5" ht="17.149999999999999" customHeight="1">
      <c r="A556" s="14" t="s">
        <v>1173</v>
      </c>
      <c r="B556" s="15" t="s">
        <v>1174</v>
      </c>
      <c r="C556" s="16">
        <v>0</v>
      </c>
      <c r="D556" s="16"/>
      <c r="E556" s="160" t="s">
        <v>8251</v>
      </c>
    </row>
    <row r="557" spans="1:5" ht="17.149999999999999" customHeight="1">
      <c r="A557" s="14" t="s">
        <v>1175</v>
      </c>
      <c r="B557" s="15" t="s">
        <v>1176</v>
      </c>
      <c r="C557" s="16">
        <v>0</v>
      </c>
      <c r="D557" s="16"/>
      <c r="E557" s="160" t="s">
        <v>8252</v>
      </c>
    </row>
    <row r="558" spans="1:5" ht="17.149999999999999" customHeight="1">
      <c r="A558" s="14" t="s">
        <v>1177</v>
      </c>
      <c r="B558" s="15" t="s">
        <v>1178</v>
      </c>
      <c r="C558" s="16">
        <v>0</v>
      </c>
      <c r="D558" s="16"/>
      <c r="E558" s="160" t="s">
        <v>8251</v>
      </c>
    </row>
    <row r="559" spans="1:5" ht="17.149999999999999" customHeight="1">
      <c r="A559" s="14" t="s">
        <v>1179</v>
      </c>
      <c r="B559" s="15" t="s">
        <v>1180</v>
      </c>
      <c r="C559" s="16">
        <v>0</v>
      </c>
      <c r="D559" s="16"/>
      <c r="E559" s="160" t="s">
        <v>8252</v>
      </c>
    </row>
    <row r="560" spans="1:5" ht="17.149999999999999" customHeight="1">
      <c r="A560" s="14" t="s">
        <v>1181</v>
      </c>
      <c r="B560" s="15" t="s">
        <v>1182</v>
      </c>
      <c r="C560" s="16">
        <v>0</v>
      </c>
      <c r="D560" s="16"/>
      <c r="E560" s="160" t="s">
        <v>4936</v>
      </c>
    </row>
    <row r="561" spans="1:5" ht="17.149999999999999" customHeight="1">
      <c r="A561" s="14" t="s">
        <v>1183</v>
      </c>
      <c r="B561" s="15" t="s">
        <v>1184</v>
      </c>
      <c r="C561" s="16">
        <v>0</v>
      </c>
      <c r="D561" s="16"/>
      <c r="E561" s="160" t="s">
        <v>4936</v>
      </c>
    </row>
    <row r="562" spans="1:5" ht="17.149999999999999" customHeight="1">
      <c r="A562" s="14" t="s">
        <v>1185</v>
      </c>
      <c r="B562" s="15" t="s">
        <v>1186</v>
      </c>
      <c r="C562" s="16">
        <v>0</v>
      </c>
      <c r="D562" s="16"/>
      <c r="E562" s="160" t="s">
        <v>4938</v>
      </c>
    </row>
    <row r="563" spans="1:5" ht="17.149999999999999" customHeight="1">
      <c r="A563" s="14" t="s">
        <v>1187</v>
      </c>
      <c r="B563" s="15" t="s">
        <v>1188</v>
      </c>
      <c r="C563" s="16">
        <v>0</v>
      </c>
      <c r="D563" s="16"/>
      <c r="E563" s="160" t="s">
        <v>4938</v>
      </c>
    </row>
    <row r="564" spans="1:5" ht="17.149999999999999" customHeight="1">
      <c r="A564" s="14" t="s">
        <v>1189</v>
      </c>
      <c r="B564" s="15" t="s">
        <v>1190</v>
      </c>
      <c r="C564" s="16">
        <v>0</v>
      </c>
      <c r="D564" s="16"/>
      <c r="E564" s="160" t="s">
        <v>8250</v>
      </c>
    </row>
    <row r="565" spans="1:5" ht="17.149999999999999" customHeight="1">
      <c r="A565" s="14" t="s">
        <v>1191</v>
      </c>
      <c r="B565" s="15" t="s">
        <v>1192</v>
      </c>
      <c r="C565" s="16">
        <v>0</v>
      </c>
      <c r="D565" s="16"/>
      <c r="E565" s="160" t="s">
        <v>8250</v>
      </c>
    </row>
    <row r="566" spans="1:5" ht="17.149999999999999" customHeight="1">
      <c r="A566" s="14" t="s">
        <v>1193</v>
      </c>
      <c r="B566" s="15" t="s">
        <v>1194</v>
      </c>
      <c r="C566" s="16">
        <v>0</v>
      </c>
      <c r="D566" s="16"/>
      <c r="E566" s="160" t="s">
        <v>8250</v>
      </c>
    </row>
    <row r="567" spans="1:5" ht="17.149999999999999" customHeight="1">
      <c r="A567" s="14" t="s">
        <v>1195</v>
      </c>
      <c r="B567" s="15" t="s">
        <v>1196</v>
      </c>
      <c r="C567" s="16">
        <v>0</v>
      </c>
      <c r="D567" s="16"/>
      <c r="E567" s="160" t="s">
        <v>8250</v>
      </c>
    </row>
    <row r="568" spans="1:5" ht="17.149999999999999" customHeight="1">
      <c r="A568" s="14" t="s">
        <v>1197</v>
      </c>
      <c r="B568" s="15" t="s">
        <v>1198</v>
      </c>
      <c r="C568" s="16">
        <v>0</v>
      </c>
      <c r="D568" s="16"/>
      <c r="E568" s="160" t="s">
        <v>8253</v>
      </c>
    </row>
    <row r="569" spans="1:5" ht="17.149999999999999" customHeight="1">
      <c r="A569" s="14" t="s">
        <v>1199</v>
      </c>
      <c r="B569" s="15" t="s">
        <v>1200</v>
      </c>
      <c r="C569" s="16">
        <v>0</v>
      </c>
      <c r="D569" s="16"/>
      <c r="E569" s="160" t="s">
        <v>4938</v>
      </c>
    </row>
    <row r="570" spans="1:5" ht="17.149999999999999" customHeight="1">
      <c r="A570" s="14" t="s">
        <v>1201</v>
      </c>
      <c r="B570" s="15" t="s">
        <v>1202</v>
      </c>
      <c r="C570" s="16">
        <v>0</v>
      </c>
      <c r="D570" s="16"/>
      <c r="E570" s="160" t="s">
        <v>8224</v>
      </c>
    </row>
    <row r="571" spans="1:5" ht="17.149999999999999" customHeight="1">
      <c r="A571" s="14" t="s">
        <v>1203</v>
      </c>
      <c r="B571" s="15" t="s">
        <v>1204</v>
      </c>
      <c r="C571" s="16">
        <v>0</v>
      </c>
      <c r="D571" s="16"/>
      <c r="E571" s="160" t="s">
        <v>8224</v>
      </c>
    </row>
    <row r="572" spans="1:5" ht="17.149999999999999" customHeight="1">
      <c r="A572" s="14" t="s">
        <v>1205</v>
      </c>
      <c r="B572" s="15" t="s">
        <v>1206</v>
      </c>
      <c r="C572" s="16">
        <v>0</v>
      </c>
      <c r="D572" s="16"/>
      <c r="E572" s="160" t="s">
        <v>4899</v>
      </c>
    </row>
    <row r="573" spans="1:5" ht="17.149999999999999" customHeight="1">
      <c r="A573" s="14" t="s">
        <v>1207</v>
      </c>
      <c r="B573" s="15" t="s">
        <v>1208</v>
      </c>
      <c r="C573" s="16">
        <v>0</v>
      </c>
      <c r="D573" s="16"/>
      <c r="E573" s="160" t="s">
        <v>4899</v>
      </c>
    </row>
    <row r="574" spans="1:5" ht="17.149999999999999" customHeight="1">
      <c r="A574" s="14" t="s">
        <v>1209</v>
      </c>
      <c r="B574" s="15" t="s">
        <v>1210</v>
      </c>
      <c r="C574" s="16">
        <v>0</v>
      </c>
      <c r="D574" s="16"/>
      <c r="E574" s="160" t="s">
        <v>8224</v>
      </c>
    </row>
    <row r="575" spans="1:5" ht="17.149999999999999" customHeight="1">
      <c r="A575" s="14" t="s">
        <v>1211</v>
      </c>
      <c r="B575" s="15" t="s">
        <v>1212</v>
      </c>
      <c r="C575" s="16">
        <v>0</v>
      </c>
      <c r="D575" s="16"/>
      <c r="E575" s="160" t="s">
        <v>4899</v>
      </c>
    </row>
    <row r="576" spans="1:5" ht="17.149999999999999" customHeight="1">
      <c r="A576" s="14" t="s">
        <v>1213</v>
      </c>
      <c r="B576" s="15" t="s">
        <v>1214</v>
      </c>
      <c r="C576" s="16">
        <v>0</v>
      </c>
      <c r="D576" s="16"/>
      <c r="E576" s="160" t="s">
        <v>4899</v>
      </c>
    </row>
    <row r="577" spans="1:5" ht="17.149999999999999" customHeight="1">
      <c r="A577" s="14" t="s">
        <v>1215</v>
      </c>
      <c r="B577" s="15" t="s">
        <v>1216</v>
      </c>
      <c r="C577" s="16">
        <v>0</v>
      </c>
      <c r="D577" s="16"/>
      <c r="E577" s="160" t="s">
        <v>8224</v>
      </c>
    </row>
    <row r="578" spans="1:5" ht="17.149999999999999" customHeight="1">
      <c r="A578" s="14" t="s">
        <v>1217</v>
      </c>
      <c r="B578" s="15" t="s">
        <v>1218</v>
      </c>
      <c r="C578" s="16">
        <v>0</v>
      </c>
      <c r="D578" s="16"/>
      <c r="E578" s="160" t="s">
        <v>4899</v>
      </c>
    </row>
    <row r="579" spans="1:5" ht="17.149999999999999" customHeight="1">
      <c r="A579" s="14" t="s">
        <v>1219</v>
      </c>
      <c r="B579" s="15" t="s">
        <v>1220</v>
      </c>
      <c r="C579" s="16">
        <v>0</v>
      </c>
      <c r="D579" s="16"/>
      <c r="E579" s="160" t="s">
        <v>4899</v>
      </c>
    </row>
    <row r="580" spans="1:5" ht="17.149999999999999" customHeight="1">
      <c r="A580" s="14" t="s">
        <v>1221</v>
      </c>
      <c r="B580" s="15" t="s">
        <v>1222</v>
      </c>
      <c r="C580" s="16">
        <v>0</v>
      </c>
      <c r="D580" s="16"/>
      <c r="E580" s="160" t="s">
        <v>8224</v>
      </c>
    </row>
    <row r="581" spans="1:5" ht="17.149999999999999" customHeight="1">
      <c r="A581" s="14" t="s">
        <v>1223</v>
      </c>
      <c r="B581" s="15" t="s">
        <v>1224</v>
      </c>
      <c r="C581" s="16">
        <v>0</v>
      </c>
      <c r="D581" s="16"/>
      <c r="E581" s="160" t="s">
        <v>4899</v>
      </c>
    </row>
    <row r="582" spans="1:5" ht="17.149999999999999" customHeight="1">
      <c r="A582" s="14" t="s">
        <v>1225</v>
      </c>
      <c r="B582" s="15" t="s">
        <v>1226</v>
      </c>
      <c r="C582" s="16">
        <v>0</v>
      </c>
      <c r="D582" s="16"/>
      <c r="E582" s="160" t="s">
        <v>4899</v>
      </c>
    </row>
    <row r="583" spans="1:5" ht="17.149999999999999" customHeight="1">
      <c r="A583" s="14" t="s">
        <v>1227</v>
      </c>
      <c r="B583" s="15" t="s">
        <v>1228</v>
      </c>
      <c r="C583" s="16">
        <v>0</v>
      </c>
      <c r="D583" s="16"/>
      <c r="E583" s="160" t="s">
        <v>8224</v>
      </c>
    </row>
    <row r="584" spans="1:5" ht="17.149999999999999" customHeight="1">
      <c r="A584" s="14" t="s">
        <v>1229</v>
      </c>
      <c r="B584" s="15" t="s">
        <v>1230</v>
      </c>
      <c r="C584" s="16">
        <v>0</v>
      </c>
      <c r="D584" s="16"/>
      <c r="E584" s="160" t="s">
        <v>4899</v>
      </c>
    </row>
    <row r="585" spans="1:5" ht="17.149999999999999" customHeight="1">
      <c r="A585" s="14" t="s">
        <v>1231</v>
      </c>
      <c r="B585" s="15" t="s">
        <v>1232</v>
      </c>
      <c r="C585" s="16">
        <v>0</v>
      </c>
      <c r="D585" s="16"/>
      <c r="E585" s="160" t="s">
        <v>8245</v>
      </c>
    </row>
    <row r="586" spans="1:5" ht="17.149999999999999" customHeight="1">
      <c r="A586" s="14" t="s">
        <v>1233</v>
      </c>
      <c r="B586" s="15" t="s">
        <v>1234</v>
      </c>
      <c r="C586" s="16">
        <v>0</v>
      </c>
      <c r="D586" s="16"/>
      <c r="E586" s="160" t="s">
        <v>8245</v>
      </c>
    </row>
    <row r="587" spans="1:5" ht="17.149999999999999" customHeight="1">
      <c r="A587" s="14" t="s">
        <v>1235</v>
      </c>
      <c r="B587" s="15" t="s">
        <v>1236</v>
      </c>
      <c r="C587" s="16">
        <v>0</v>
      </c>
      <c r="D587" s="16"/>
      <c r="E587" s="160" t="s">
        <v>8245</v>
      </c>
    </row>
    <row r="588" spans="1:5" ht="17.149999999999999" customHeight="1">
      <c r="A588" s="14" t="s">
        <v>1237</v>
      </c>
      <c r="B588" s="15" t="s">
        <v>1238</v>
      </c>
      <c r="C588" s="16">
        <v>0</v>
      </c>
      <c r="D588" s="16"/>
      <c r="E588" s="160" t="s">
        <v>4899</v>
      </c>
    </row>
    <row r="589" spans="1:5" ht="17.149999999999999" customHeight="1">
      <c r="A589" s="14" t="s">
        <v>1239</v>
      </c>
      <c r="B589" s="15" t="s">
        <v>1240</v>
      </c>
      <c r="C589" s="16">
        <v>0</v>
      </c>
      <c r="D589" s="16"/>
      <c r="E589" s="160" t="s">
        <v>4899</v>
      </c>
    </row>
    <row r="590" spans="1:5" ht="17.149999999999999" customHeight="1">
      <c r="A590" s="14" t="s">
        <v>1241</v>
      </c>
      <c r="B590" s="15" t="s">
        <v>1242</v>
      </c>
      <c r="C590" s="16">
        <v>0</v>
      </c>
      <c r="D590" s="16"/>
      <c r="E590" s="160" t="s">
        <v>4899</v>
      </c>
    </row>
    <row r="591" spans="1:5" ht="17.149999999999999" customHeight="1">
      <c r="A591" s="14" t="s">
        <v>1243</v>
      </c>
      <c r="B591" s="15" t="s">
        <v>1244</v>
      </c>
      <c r="C591" s="16">
        <v>0</v>
      </c>
      <c r="D591" s="16"/>
      <c r="E591" s="160" t="s">
        <v>4899</v>
      </c>
    </row>
    <row r="592" spans="1:5" ht="17.149999999999999" customHeight="1">
      <c r="A592" s="14" t="s">
        <v>1245</v>
      </c>
      <c r="B592" s="15" t="s">
        <v>1246</v>
      </c>
      <c r="C592" s="16">
        <v>0</v>
      </c>
      <c r="D592" s="16"/>
      <c r="E592" s="160" t="s">
        <v>8254</v>
      </c>
    </row>
    <row r="593" spans="1:5" ht="17.149999999999999" customHeight="1">
      <c r="A593" s="14" t="s">
        <v>1247</v>
      </c>
      <c r="B593" s="15" t="s">
        <v>1248</v>
      </c>
      <c r="C593" s="16">
        <v>0</v>
      </c>
      <c r="D593" s="16"/>
      <c r="E593" s="160" t="s">
        <v>8254</v>
      </c>
    </row>
    <row r="594" spans="1:5" ht="17.149999999999999" customHeight="1">
      <c r="A594" s="14" t="s">
        <v>1249</v>
      </c>
      <c r="B594" s="15" t="s">
        <v>1250</v>
      </c>
      <c r="C594" s="16">
        <v>0</v>
      </c>
      <c r="D594" s="16"/>
      <c r="E594" s="160" t="s">
        <v>8254</v>
      </c>
    </row>
    <row r="595" spans="1:5" ht="17.149999999999999" customHeight="1">
      <c r="A595" s="14" t="s">
        <v>1251</v>
      </c>
      <c r="B595" s="15" t="s">
        <v>1252</v>
      </c>
      <c r="C595" s="16">
        <v>0</v>
      </c>
      <c r="D595" s="16"/>
      <c r="E595" s="160" t="s">
        <v>8254</v>
      </c>
    </row>
    <row r="596" spans="1:5" ht="17.149999999999999" customHeight="1">
      <c r="A596" s="14" t="s">
        <v>1253</v>
      </c>
      <c r="B596" s="15" t="s">
        <v>1254</v>
      </c>
      <c r="C596" s="16">
        <v>0</v>
      </c>
      <c r="D596" s="16"/>
      <c r="E596" s="160" t="s">
        <v>8255</v>
      </c>
    </row>
    <row r="597" spans="1:5" ht="17.149999999999999" customHeight="1">
      <c r="A597" s="14" t="s">
        <v>1255</v>
      </c>
      <c r="B597" s="15" t="s">
        <v>1256</v>
      </c>
      <c r="C597" s="16">
        <v>0</v>
      </c>
      <c r="D597" s="16"/>
      <c r="E597" s="160" t="s">
        <v>8255</v>
      </c>
    </row>
    <row r="598" spans="1:5" ht="17.149999999999999" customHeight="1">
      <c r="A598" s="14" t="s">
        <v>1257</v>
      </c>
      <c r="B598" s="15" t="s">
        <v>1258</v>
      </c>
      <c r="C598" s="16">
        <v>0</v>
      </c>
      <c r="D598" s="16"/>
      <c r="E598" s="160" t="s">
        <v>8245</v>
      </c>
    </row>
    <row r="599" spans="1:5" ht="17.149999999999999" customHeight="1">
      <c r="A599" s="14" t="s">
        <v>1259</v>
      </c>
      <c r="B599" s="15" t="s">
        <v>1260</v>
      </c>
      <c r="C599" s="16">
        <v>0</v>
      </c>
      <c r="D599" s="16"/>
      <c r="E599" s="160" t="s">
        <v>8245</v>
      </c>
    </row>
    <row r="600" spans="1:5" ht="17.149999999999999" customHeight="1">
      <c r="A600" s="14" t="s">
        <v>1261</v>
      </c>
      <c r="B600" s="15" t="s">
        <v>1262</v>
      </c>
      <c r="C600" s="16">
        <v>0</v>
      </c>
      <c r="D600" s="16"/>
      <c r="E600" s="160" t="s">
        <v>4899</v>
      </c>
    </row>
    <row r="601" spans="1:5" ht="17.149999999999999" customHeight="1">
      <c r="A601" s="14" t="s">
        <v>1263</v>
      </c>
      <c r="B601" s="15" t="s">
        <v>1264</v>
      </c>
      <c r="C601" s="16">
        <v>0</v>
      </c>
      <c r="D601" s="16"/>
      <c r="E601" s="160" t="s">
        <v>4899</v>
      </c>
    </row>
    <row r="602" spans="1:5" ht="17.149999999999999" customHeight="1">
      <c r="A602" s="14" t="s">
        <v>1265</v>
      </c>
      <c r="B602" s="15" t="s">
        <v>1266</v>
      </c>
      <c r="C602" s="16">
        <v>0</v>
      </c>
      <c r="D602" s="16"/>
      <c r="E602" s="160" t="s">
        <v>8245</v>
      </c>
    </row>
    <row r="603" spans="1:5" ht="17.149999999999999" customHeight="1">
      <c r="A603" s="14" t="s">
        <v>1267</v>
      </c>
      <c r="B603" s="15" t="s">
        <v>1268</v>
      </c>
      <c r="C603" s="16" t="s">
        <v>93</v>
      </c>
      <c r="D603" s="16"/>
      <c r="E603" s="160" t="s">
        <v>4899</v>
      </c>
    </row>
    <row r="604" spans="1:5" ht="17.149999999999999" customHeight="1">
      <c r="A604" s="14" t="s">
        <v>1269</v>
      </c>
      <c r="B604" s="15" t="s">
        <v>1270</v>
      </c>
      <c r="C604" s="16" t="s">
        <v>1138</v>
      </c>
      <c r="D604" s="16"/>
      <c r="E604" s="160" t="s">
        <v>8248</v>
      </c>
    </row>
    <row r="605" spans="1:5" ht="17.149999999999999" customHeight="1">
      <c r="A605" s="14" t="s">
        <v>1271</v>
      </c>
      <c r="B605" s="15" t="s">
        <v>1272</v>
      </c>
      <c r="C605" s="16" t="s">
        <v>1138</v>
      </c>
      <c r="D605" s="16"/>
      <c r="E605" s="160" t="s">
        <v>8248</v>
      </c>
    </row>
    <row r="606" spans="1:5" ht="17.149999999999999" customHeight="1">
      <c r="A606" s="14" t="s">
        <v>1273</v>
      </c>
      <c r="B606" s="15" t="s">
        <v>1274</v>
      </c>
      <c r="C606" s="16">
        <v>0</v>
      </c>
      <c r="D606" s="16"/>
      <c r="E606" s="160" t="s">
        <v>8224</v>
      </c>
    </row>
    <row r="607" spans="1:5" ht="17.149999999999999" customHeight="1">
      <c r="A607" s="14" t="s">
        <v>1275</v>
      </c>
      <c r="B607" s="15" t="s">
        <v>1276</v>
      </c>
      <c r="C607" s="16">
        <v>0</v>
      </c>
      <c r="D607" s="16"/>
      <c r="E607" s="160" t="s">
        <v>8256</v>
      </c>
    </row>
    <row r="608" spans="1:5" ht="17.149999999999999" customHeight="1">
      <c r="A608" s="14" t="s">
        <v>1277</v>
      </c>
      <c r="B608" s="15" t="s">
        <v>1278</v>
      </c>
      <c r="C608" s="16">
        <v>0</v>
      </c>
      <c r="D608" s="16"/>
      <c r="E608" s="160" t="s">
        <v>8224</v>
      </c>
    </row>
    <row r="609" spans="1:5" ht="17.149999999999999" customHeight="1">
      <c r="A609" s="14" t="s">
        <v>1279</v>
      </c>
      <c r="B609" s="15" t="s">
        <v>1280</v>
      </c>
      <c r="C609" s="16">
        <v>0</v>
      </c>
      <c r="D609" s="16"/>
      <c r="E609" s="160" t="s">
        <v>7994</v>
      </c>
    </row>
    <row r="610" spans="1:5" ht="17.149999999999999" customHeight="1">
      <c r="A610" s="14" t="s">
        <v>1281</v>
      </c>
      <c r="B610" s="15" t="s">
        <v>1282</v>
      </c>
      <c r="C610" s="16">
        <v>0</v>
      </c>
      <c r="D610" s="16"/>
      <c r="E610" s="160" t="s">
        <v>8257</v>
      </c>
    </row>
    <row r="611" spans="1:5" ht="17.149999999999999" customHeight="1">
      <c r="A611" s="14" t="s">
        <v>1283</v>
      </c>
      <c r="B611" s="15" t="s">
        <v>1284</v>
      </c>
      <c r="C611" s="16">
        <v>0</v>
      </c>
      <c r="D611" s="16"/>
      <c r="E611" s="160" t="s">
        <v>7994</v>
      </c>
    </row>
    <row r="612" spans="1:5" ht="17.149999999999999" customHeight="1">
      <c r="A612" s="14" t="s">
        <v>1285</v>
      </c>
      <c r="B612" s="15" t="s">
        <v>1286</v>
      </c>
      <c r="C612" s="16">
        <v>0</v>
      </c>
      <c r="D612" s="16"/>
      <c r="E612" s="160" t="s">
        <v>8257</v>
      </c>
    </row>
    <row r="613" spans="1:5" ht="17.149999999999999" customHeight="1">
      <c r="A613" s="14" t="s">
        <v>1287</v>
      </c>
      <c r="B613" s="15" t="s">
        <v>1288</v>
      </c>
      <c r="C613" s="16">
        <v>0</v>
      </c>
      <c r="D613" s="16"/>
      <c r="E613" s="160" t="s">
        <v>7994</v>
      </c>
    </row>
    <row r="614" spans="1:5" ht="17.149999999999999" customHeight="1">
      <c r="A614" s="14" t="s">
        <v>1289</v>
      </c>
      <c r="B614" s="15" t="s">
        <v>1290</v>
      </c>
      <c r="C614" s="16">
        <v>0</v>
      </c>
      <c r="D614" s="16"/>
      <c r="E614" s="160" t="s">
        <v>8257</v>
      </c>
    </row>
    <row r="615" spans="1:5" ht="17.149999999999999" customHeight="1">
      <c r="A615" s="14" t="s">
        <v>1291</v>
      </c>
      <c r="B615" s="15" t="s">
        <v>1292</v>
      </c>
      <c r="C615" s="16">
        <v>0</v>
      </c>
      <c r="D615" s="16"/>
      <c r="E615" s="160" t="s">
        <v>7994</v>
      </c>
    </row>
    <row r="616" spans="1:5" ht="17.149999999999999" customHeight="1">
      <c r="A616" s="14" t="s">
        <v>1293</v>
      </c>
      <c r="B616" s="15" t="s">
        <v>1294</v>
      </c>
      <c r="C616" s="16">
        <v>0</v>
      </c>
      <c r="D616" s="16"/>
      <c r="E616" s="160" t="s">
        <v>8257</v>
      </c>
    </row>
    <row r="617" spans="1:5" ht="17.149999999999999" customHeight="1">
      <c r="A617" s="14" t="s">
        <v>1295</v>
      </c>
      <c r="B617" s="15" t="s">
        <v>1296</v>
      </c>
      <c r="C617" s="16">
        <v>0</v>
      </c>
      <c r="D617" s="16"/>
      <c r="E617" s="160" t="s">
        <v>8256</v>
      </c>
    </row>
    <row r="618" spans="1:5" ht="17.149999999999999" customHeight="1">
      <c r="A618" s="14" t="s">
        <v>1297</v>
      </c>
      <c r="B618" s="15" t="s">
        <v>1298</v>
      </c>
      <c r="C618" s="16">
        <v>0</v>
      </c>
      <c r="D618" s="16"/>
      <c r="E618" s="160" t="s">
        <v>8258</v>
      </c>
    </row>
    <row r="619" spans="1:5" ht="17.149999999999999" customHeight="1">
      <c r="A619" s="14" t="s">
        <v>1299</v>
      </c>
      <c r="B619" s="15" t="s">
        <v>1300</v>
      </c>
      <c r="C619" s="16">
        <v>0</v>
      </c>
      <c r="D619" s="16"/>
      <c r="E619" s="160" t="s">
        <v>8258</v>
      </c>
    </row>
    <row r="620" spans="1:5" ht="17.149999999999999" customHeight="1">
      <c r="A620" s="14" t="s">
        <v>1301</v>
      </c>
      <c r="B620" s="15" t="s">
        <v>1302</v>
      </c>
      <c r="C620" s="16">
        <v>0</v>
      </c>
      <c r="D620" s="16"/>
      <c r="E620" s="160" t="s">
        <v>8258</v>
      </c>
    </row>
    <row r="621" spans="1:5" ht="17.149999999999999" customHeight="1">
      <c r="A621" s="14" t="s">
        <v>1303</v>
      </c>
      <c r="B621" s="15" t="s">
        <v>1304</v>
      </c>
      <c r="C621" s="16">
        <v>0</v>
      </c>
      <c r="D621" s="16"/>
      <c r="E621" s="160" t="s">
        <v>8258</v>
      </c>
    </row>
    <row r="622" spans="1:5" ht="17.149999999999999" customHeight="1">
      <c r="A622" s="14" t="s">
        <v>1305</v>
      </c>
      <c r="B622" s="15" t="s">
        <v>1306</v>
      </c>
      <c r="C622" s="16">
        <v>0</v>
      </c>
      <c r="D622" s="16"/>
      <c r="E622" s="160" t="s">
        <v>8259</v>
      </c>
    </row>
    <row r="623" spans="1:5" ht="17.149999999999999" customHeight="1">
      <c r="A623" s="14" t="s">
        <v>1307</v>
      </c>
      <c r="B623" s="15" t="s">
        <v>1308</v>
      </c>
      <c r="C623" s="16">
        <v>0</v>
      </c>
      <c r="D623" s="16"/>
      <c r="E623" s="160" t="s">
        <v>8259</v>
      </c>
    </row>
    <row r="624" spans="1:5" ht="17.149999999999999" customHeight="1">
      <c r="A624" s="14" t="s">
        <v>1309</v>
      </c>
      <c r="B624" s="15" t="s">
        <v>1310</v>
      </c>
      <c r="C624" s="16">
        <v>0</v>
      </c>
      <c r="D624" s="16"/>
      <c r="E624" s="160" t="s">
        <v>8259</v>
      </c>
    </row>
    <row r="625" spans="1:5" ht="17.149999999999999" customHeight="1">
      <c r="A625" s="14" t="s">
        <v>1311</v>
      </c>
      <c r="B625" s="15" t="s">
        <v>1312</v>
      </c>
      <c r="C625" s="16">
        <v>0</v>
      </c>
      <c r="D625" s="16"/>
      <c r="E625" s="160" t="s">
        <v>8259</v>
      </c>
    </row>
    <row r="626" spans="1:5" ht="17.149999999999999" customHeight="1">
      <c r="A626" s="14" t="s">
        <v>1313</v>
      </c>
      <c r="B626" s="15" t="s">
        <v>1314</v>
      </c>
      <c r="C626" s="16">
        <v>0</v>
      </c>
      <c r="D626" s="16"/>
      <c r="E626" s="160" t="s">
        <v>8258</v>
      </c>
    </row>
    <row r="627" spans="1:5" ht="17.149999999999999" customHeight="1">
      <c r="A627" s="14" t="s">
        <v>1315</v>
      </c>
      <c r="B627" s="15" t="s">
        <v>1316</v>
      </c>
      <c r="C627" s="16" t="s">
        <v>88</v>
      </c>
      <c r="D627" s="16"/>
      <c r="E627" s="160" t="s">
        <v>8260</v>
      </c>
    </row>
    <row r="628" spans="1:5" ht="17.149999999999999" customHeight="1">
      <c r="A628" s="14" t="s">
        <v>1317</v>
      </c>
      <c r="B628" s="15" t="s">
        <v>1318</v>
      </c>
      <c r="C628" s="16" t="s">
        <v>88</v>
      </c>
      <c r="D628" s="16"/>
      <c r="E628" s="160" t="s">
        <v>8261</v>
      </c>
    </row>
    <row r="629" spans="1:5" ht="17.149999999999999" customHeight="1">
      <c r="A629" s="14" t="s">
        <v>1319</v>
      </c>
      <c r="B629" s="15" t="s">
        <v>1320</v>
      </c>
      <c r="C629" s="16" t="s">
        <v>88</v>
      </c>
      <c r="D629" s="16"/>
      <c r="E629" s="160" t="s">
        <v>99</v>
      </c>
    </row>
    <row r="630" spans="1:5" ht="17.149999999999999" customHeight="1">
      <c r="A630" s="14" t="s">
        <v>1321</v>
      </c>
      <c r="B630" s="15" t="s">
        <v>1322</v>
      </c>
      <c r="C630" s="16" t="s">
        <v>88</v>
      </c>
      <c r="D630" s="16"/>
      <c r="E630" s="160" t="s">
        <v>99</v>
      </c>
    </row>
    <row r="631" spans="1:5" ht="17.149999999999999" customHeight="1">
      <c r="A631" s="14" t="s">
        <v>1323</v>
      </c>
      <c r="B631" s="15" t="s">
        <v>1324</v>
      </c>
      <c r="C631" s="16" t="s">
        <v>88</v>
      </c>
      <c r="D631" s="16"/>
      <c r="E631" s="160" t="s">
        <v>8262</v>
      </c>
    </row>
    <row r="632" spans="1:5" ht="17.149999999999999" customHeight="1">
      <c r="A632" s="14" t="s">
        <v>1325</v>
      </c>
      <c r="B632" s="15" t="s">
        <v>1326</v>
      </c>
      <c r="C632" s="16" t="s">
        <v>88</v>
      </c>
      <c r="D632" s="16"/>
      <c r="E632" s="160" t="s">
        <v>8263</v>
      </c>
    </row>
    <row r="633" spans="1:5" ht="17.149999999999999" customHeight="1">
      <c r="A633" s="14" t="s">
        <v>1327</v>
      </c>
      <c r="B633" s="15" t="s">
        <v>1328</v>
      </c>
      <c r="C633" s="16" t="s">
        <v>88</v>
      </c>
      <c r="D633" s="16"/>
      <c r="E633" s="160" t="s">
        <v>99</v>
      </c>
    </row>
    <row r="634" spans="1:5" ht="17.149999999999999" customHeight="1">
      <c r="A634" s="14" t="s">
        <v>1329</v>
      </c>
      <c r="B634" s="15" t="s">
        <v>1330</v>
      </c>
      <c r="C634" s="16" t="s">
        <v>88</v>
      </c>
      <c r="D634" s="16"/>
      <c r="E634" s="160" t="s">
        <v>99</v>
      </c>
    </row>
    <row r="635" spans="1:5" ht="17.149999999999999" customHeight="1">
      <c r="A635" s="14" t="s">
        <v>12</v>
      </c>
      <c r="B635" s="15" t="s">
        <v>50</v>
      </c>
      <c r="C635" s="16" t="s">
        <v>88</v>
      </c>
      <c r="D635" s="16"/>
      <c r="E635" s="160" t="s">
        <v>99</v>
      </c>
    </row>
    <row r="636" spans="1:5" ht="17.149999999999999" customHeight="1">
      <c r="A636" s="14" t="s">
        <v>1331</v>
      </c>
      <c r="B636" s="15" t="s">
        <v>1332</v>
      </c>
      <c r="C636" s="16" t="s">
        <v>88</v>
      </c>
      <c r="D636" s="16"/>
      <c r="E636" s="160" t="s">
        <v>99</v>
      </c>
    </row>
    <row r="637" spans="1:5" ht="17.149999999999999" customHeight="1">
      <c r="A637" s="14" t="s">
        <v>1333</v>
      </c>
      <c r="B637" s="15" t="s">
        <v>1334</v>
      </c>
      <c r="C637" s="16" t="s">
        <v>88</v>
      </c>
      <c r="D637" s="16"/>
      <c r="E637" s="160" t="s">
        <v>99</v>
      </c>
    </row>
    <row r="638" spans="1:5" ht="17.149999999999999" customHeight="1">
      <c r="A638" s="14" t="s">
        <v>1335</v>
      </c>
      <c r="B638" s="15" t="s">
        <v>1336</v>
      </c>
      <c r="C638" s="16" t="s">
        <v>88</v>
      </c>
      <c r="D638" s="16"/>
      <c r="E638" s="160" t="s">
        <v>8264</v>
      </c>
    </row>
    <row r="639" spans="1:5" ht="17.149999999999999" customHeight="1">
      <c r="A639" s="14" t="s">
        <v>1337</v>
      </c>
      <c r="B639" s="15" t="s">
        <v>1338</v>
      </c>
      <c r="C639" s="16" t="s">
        <v>88</v>
      </c>
      <c r="D639" s="16"/>
      <c r="E639" s="160" t="s">
        <v>5180</v>
      </c>
    </row>
    <row r="640" spans="1:5" ht="17.149999999999999" customHeight="1">
      <c r="A640" s="14" t="s">
        <v>1339</v>
      </c>
      <c r="B640" s="15" t="s">
        <v>1340</v>
      </c>
      <c r="C640" s="16" t="s">
        <v>88</v>
      </c>
      <c r="D640" s="16"/>
      <c r="E640" s="160" t="s">
        <v>5180</v>
      </c>
    </row>
    <row r="641" spans="1:5" ht="17.149999999999999" customHeight="1">
      <c r="A641" s="14" t="s">
        <v>1341</v>
      </c>
      <c r="B641" s="15" t="s">
        <v>1342</v>
      </c>
      <c r="C641" s="16" t="s">
        <v>88</v>
      </c>
      <c r="D641" s="16"/>
      <c r="E641" s="160" t="s">
        <v>8265</v>
      </c>
    </row>
    <row r="642" spans="1:5" ht="17.149999999999999" customHeight="1">
      <c r="A642" s="14" t="s">
        <v>1343</v>
      </c>
      <c r="B642" s="15" t="s">
        <v>1344</v>
      </c>
      <c r="C642" s="16" t="s">
        <v>88</v>
      </c>
      <c r="D642" s="16"/>
      <c r="E642" s="160" t="s">
        <v>5180</v>
      </c>
    </row>
    <row r="643" spans="1:5" ht="17.149999999999999" customHeight="1">
      <c r="A643" s="14" t="s">
        <v>1345</v>
      </c>
      <c r="B643" s="15" t="s">
        <v>1346</v>
      </c>
      <c r="C643" s="16" t="s">
        <v>88</v>
      </c>
      <c r="D643" s="16"/>
      <c r="E643" s="160" t="s">
        <v>5179</v>
      </c>
    </row>
    <row r="644" spans="1:5" ht="17.149999999999999" customHeight="1">
      <c r="A644" s="14" t="s">
        <v>1347</v>
      </c>
      <c r="B644" s="15" t="s">
        <v>1348</v>
      </c>
      <c r="C644" s="16" t="s">
        <v>88</v>
      </c>
      <c r="D644" s="16"/>
      <c r="E644" s="160" t="s">
        <v>5179</v>
      </c>
    </row>
    <row r="645" spans="1:5" ht="17.149999999999999" customHeight="1">
      <c r="A645" s="14" t="s">
        <v>1349</v>
      </c>
      <c r="B645" s="15" t="s">
        <v>1350</v>
      </c>
      <c r="C645" s="16" t="s">
        <v>88</v>
      </c>
      <c r="D645" s="16"/>
      <c r="E645" s="160" t="s">
        <v>8266</v>
      </c>
    </row>
    <row r="646" spans="1:5" ht="17.149999999999999" customHeight="1">
      <c r="A646" s="14" t="s">
        <v>1351</v>
      </c>
      <c r="B646" s="15" t="s">
        <v>1352</v>
      </c>
      <c r="C646" s="16" t="s">
        <v>88</v>
      </c>
      <c r="D646" s="16"/>
      <c r="E646" s="160" t="s">
        <v>5179</v>
      </c>
    </row>
    <row r="647" spans="1:5" ht="17.149999999999999" customHeight="1">
      <c r="A647" s="14" t="s">
        <v>1353</v>
      </c>
      <c r="B647" s="15" t="s">
        <v>1354</v>
      </c>
      <c r="C647" s="16" t="s">
        <v>88</v>
      </c>
      <c r="D647" s="16"/>
      <c r="E647" s="160" t="s">
        <v>6189</v>
      </c>
    </row>
    <row r="648" spans="1:5" ht="17.149999999999999" customHeight="1">
      <c r="A648" s="14" t="s">
        <v>1355</v>
      </c>
      <c r="B648" s="15" t="s">
        <v>1356</v>
      </c>
      <c r="C648" s="16" t="s">
        <v>88</v>
      </c>
      <c r="D648" s="16"/>
      <c r="E648" s="160" t="s">
        <v>101</v>
      </c>
    </row>
    <row r="649" spans="1:5" ht="17.149999999999999" customHeight="1">
      <c r="A649" s="14" t="s">
        <v>1357</v>
      </c>
      <c r="B649" s="15" t="s">
        <v>1358</v>
      </c>
      <c r="C649" s="16" t="s">
        <v>88</v>
      </c>
      <c r="D649" s="16"/>
      <c r="E649" s="160" t="s">
        <v>8267</v>
      </c>
    </row>
    <row r="650" spans="1:5" ht="17.149999999999999" customHeight="1">
      <c r="A650" s="14" t="s">
        <v>1359</v>
      </c>
      <c r="B650" s="15" t="s">
        <v>1360</v>
      </c>
      <c r="C650" s="16" t="s">
        <v>88</v>
      </c>
      <c r="D650" s="16"/>
      <c r="E650" s="160" t="s">
        <v>101</v>
      </c>
    </row>
    <row r="651" spans="1:5" ht="17.149999999999999" customHeight="1">
      <c r="A651" s="14" t="s">
        <v>1361</v>
      </c>
      <c r="B651" s="15" t="s">
        <v>1362</v>
      </c>
      <c r="C651" s="16">
        <v>0</v>
      </c>
      <c r="D651" s="16"/>
      <c r="E651" s="160" t="s">
        <v>101</v>
      </c>
    </row>
    <row r="652" spans="1:5" ht="17.149999999999999" customHeight="1">
      <c r="A652" s="14" t="s">
        <v>1363</v>
      </c>
      <c r="B652" s="15" t="s">
        <v>1364</v>
      </c>
      <c r="C652" s="16" t="s">
        <v>88</v>
      </c>
      <c r="D652" s="16"/>
      <c r="E652" s="160" t="s">
        <v>8267</v>
      </c>
    </row>
    <row r="653" spans="1:5" ht="17.149999999999999" customHeight="1">
      <c r="A653" s="14" t="s">
        <v>1365</v>
      </c>
      <c r="B653" s="15" t="s">
        <v>1366</v>
      </c>
      <c r="C653" s="16" t="s">
        <v>88</v>
      </c>
      <c r="D653" s="16"/>
      <c r="E653" s="160" t="s">
        <v>101</v>
      </c>
    </row>
    <row r="654" spans="1:5" ht="17.149999999999999" customHeight="1">
      <c r="A654" s="14" t="s">
        <v>1367</v>
      </c>
      <c r="B654" s="15" t="s">
        <v>1368</v>
      </c>
      <c r="C654" s="16">
        <v>0</v>
      </c>
      <c r="D654" s="16"/>
      <c r="E654" s="160" t="s">
        <v>101</v>
      </c>
    </row>
    <row r="655" spans="1:5" ht="17.149999999999999" customHeight="1">
      <c r="A655" s="14" t="s">
        <v>1369</v>
      </c>
      <c r="B655" s="15" t="s">
        <v>1370</v>
      </c>
      <c r="C655" s="16" t="s">
        <v>88</v>
      </c>
      <c r="D655" s="16"/>
      <c r="E655" s="160" t="s">
        <v>101</v>
      </c>
    </row>
    <row r="656" spans="1:5" ht="17.149999999999999" customHeight="1">
      <c r="A656" s="14" t="s">
        <v>1371</v>
      </c>
      <c r="B656" s="15" t="s">
        <v>1372</v>
      </c>
      <c r="C656" s="16" t="s">
        <v>88</v>
      </c>
      <c r="D656" s="16"/>
      <c r="E656" s="160" t="s">
        <v>101</v>
      </c>
    </row>
    <row r="657" spans="1:5" ht="17.149999999999999" customHeight="1">
      <c r="A657" s="14" t="s">
        <v>1373</v>
      </c>
      <c r="B657" s="15" t="s">
        <v>1374</v>
      </c>
      <c r="C657" s="16">
        <v>0</v>
      </c>
      <c r="D657" s="16"/>
      <c r="E657" s="160" t="s">
        <v>7947</v>
      </c>
    </row>
    <row r="658" spans="1:5" ht="17.149999999999999" customHeight="1">
      <c r="A658" s="14" t="s">
        <v>1375</v>
      </c>
      <c r="B658" s="15" t="s">
        <v>1376</v>
      </c>
      <c r="C658" s="16" t="s">
        <v>88</v>
      </c>
      <c r="D658" s="16"/>
      <c r="E658" s="160" t="s">
        <v>101</v>
      </c>
    </row>
    <row r="659" spans="1:5" ht="17.149999999999999" customHeight="1">
      <c r="A659" s="14" t="s">
        <v>1377</v>
      </c>
      <c r="B659" s="15" t="s">
        <v>1378</v>
      </c>
      <c r="C659" s="16" t="s">
        <v>88</v>
      </c>
      <c r="D659" s="16"/>
      <c r="E659" s="160" t="s">
        <v>101</v>
      </c>
    </row>
    <row r="660" spans="1:5" ht="17.149999999999999" customHeight="1">
      <c r="A660" s="14" t="s">
        <v>1379</v>
      </c>
      <c r="B660" s="15" t="s">
        <v>1380</v>
      </c>
      <c r="C660" s="16" t="s">
        <v>88</v>
      </c>
      <c r="D660" s="16"/>
      <c r="E660" s="160" t="s">
        <v>101</v>
      </c>
    </row>
    <row r="661" spans="1:5" ht="17.149999999999999" customHeight="1">
      <c r="A661" s="14" t="s">
        <v>1381</v>
      </c>
      <c r="B661" s="15" t="s">
        <v>1382</v>
      </c>
      <c r="C661" s="16" t="s">
        <v>88</v>
      </c>
      <c r="D661" s="16"/>
      <c r="E661" s="160" t="s">
        <v>101</v>
      </c>
    </row>
    <row r="662" spans="1:5" ht="17.149999999999999" customHeight="1">
      <c r="A662" s="14" t="s">
        <v>1383</v>
      </c>
      <c r="B662" s="15" t="s">
        <v>1384</v>
      </c>
      <c r="C662" s="16" t="s">
        <v>88</v>
      </c>
      <c r="D662" s="16"/>
      <c r="E662" s="160" t="s">
        <v>101</v>
      </c>
    </row>
    <row r="663" spans="1:5" ht="17.149999999999999" customHeight="1">
      <c r="A663" s="14" t="s">
        <v>1385</v>
      </c>
      <c r="B663" s="15" t="s">
        <v>1386</v>
      </c>
      <c r="C663" s="16" t="s">
        <v>88</v>
      </c>
      <c r="D663" s="16"/>
      <c r="E663" s="160" t="s">
        <v>8268</v>
      </c>
    </row>
    <row r="664" spans="1:5" ht="17.149999999999999" customHeight="1">
      <c r="A664" s="14" t="s">
        <v>1387</v>
      </c>
      <c r="B664" s="15" t="s">
        <v>1388</v>
      </c>
      <c r="C664" s="16" t="s">
        <v>88</v>
      </c>
      <c r="D664" s="16"/>
      <c r="E664" s="160" t="s">
        <v>101</v>
      </c>
    </row>
    <row r="665" spans="1:5" ht="17.149999999999999" customHeight="1">
      <c r="A665" s="14" t="s">
        <v>1389</v>
      </c>
      <c r="B665" s="15" t="s">
        <v>1390</v>
      </c>
      <c r="C665" s="16" t="s">
        <v>88</v>
      </c>
      <c r="D665" s="16"/>
      <c r="E665" s="160" t="s">
        <v>101</v>
      </c>
    </row>
    <row r="666" spans="1:5" ht="17.149999999999999" customHeight="1">
      <c r="A666" s="14" t="s">
        <v>1391</v>
      </c>
      <c r="B666" s="15" t="s">
        <v>1392</v>
      </c>
      <c r="C666" s="16" t="s">
        <v>775</v>
      </c>
      <c r="D666" s="16"/>
      <c r="E666" s="160" t="s">
        <v>101</v>
      </c>
    </row>
    <row r="667" spans="1:5" ht="17.149999999999999" customHeight="1">
      <c r="A667" s="14" t="s">
        <v>1393</v>
      </c>
      <c r="B667" s="15" t="s">
        <v>1394</v>
      </c>
      <c r="C667" s="16" t="s">
        <v>775</v>
      </c>
      <c r="D667" s="16"/>
      <c r="E667" s="160" t="s">
        <v>101</v>
      </c>
    </row>
    <row r="668" spans="1:5" ht="17.149999999999999" customHeight="1">
      <c r="A668" s="14" t="s">
        <v>1395</v>
      </c>
      <c r="B668" s="15" t="s">
        <v>1396</v>
      </c>
      <c r="C668" s="16" t="s">
        <v>88</v>
      </c>
      <c r="D668" s="16"/>
      <c r="E668" s="160" t="s">
        <v>101</v>
      </c>
    </row>
    <row r="669" spans="1:5" ht="17.149999999999999" customHeight="1">
      <c r="A669" s="14" t="s">
        <v>1397</v>
      </c>
      <c r="B669" s="15" t="s">
        <v>1398</v>
      </c>
      <c r="C669" s="16" t="s">
        <v>88</v>
      </c>
      <c r="D669" s="16"/>
      <c r="E669" s="160" t="s">
        <v>101</v>
      </c>
    </row>
    <row r="670" spans="1:5" ht="17.149999999999999" customHeight="1">
      <c r="A670" s="14" t="s">
        <v>1399</v>
      </c>
      <c r="B670" s="15" t="s">
        <v>1400</v>
      </c>
      <c r="C670" s="16" t="s">
        <v>88</v>
      </c>
      <c r="D670" s="16"/>
      <c r="E670" s="160" t="s">
        <v>101</v>
      </c>
    </row>
    <row r="671" spans="1:5" ht="17.149999999999999" customHeight="1">
      <c r="A671" s="14" t="s">
        <v>1401</v>
      </c>
      <c r="B671" s="15" t="s">
        <v>1402</v>
      </c>
      <c r="C671" s="16" t="s">
        <v>88</v>
      </c>
      <c r="D671" s="16"/>
      <c r="E671" s="160" t="s">
        <v>101</v>
      </c>
    </row>
    <row r="672" spans="1:5" ht="17.149999999999999" customHeight="1">
      <c r="A672" s="14" t="s">
        <v>14</v>
      </c>
      <c r="B672" s="15" t="s">
        <v>52</v>
      </c>
      <c r="C672" s="16" t="s">
        <v>90</v>
      </c>
      <c r="D672" s="16"/>
      <c r="E672" s="160" t="s">
        <v>6189</v>
      </c>
    </row>
    <row r="673" spans="1:5" ht="17.149999999999999" customHeight="1">
      <c r="A673" s="14" t="s">
        <v>1403</v>
      </c>
      <c r="B673" s="15" t="s">
        <v>1404</v>
      </c>
      <c r="C673" s="16">
        <v>0</v>
      </c>
      <c r="D673" s="16"/>
      <c r="E673" s="160" t="s">
        <v>7944</v>
      </c>
    </row>
    <row r="674" spans="1:5" ht="17.149999999999999" customHeight="1">
      <c r="A674" s="14" t="s">
        <v>1405</v>
      </c>
      <c r="B674" s="15" t="s">
        <v>1406</v>
      </c>
      <c r="C674" s="16">
        <v>0</v>
      </c>
      <c r="D674" s="16"/>
      <c r="E674" s="160" t="s">
        <v>7950</v>
      </c>
    </row>
    <row r="675" spans="1:5" ht="17.149999999999999" customHeight="1">
      <c r="A675" s="14" t="s">
        <v>1407</v>
      </c>
      <c r="B675" s="15" t="s">
        <v>1408</v>
      </c>
      <c r="C675" s="16" t="s">
        <v>88</v>
      </c>
      <c r="D675" s="16"/>
      <c r="E675" s="160" t="s">
        <v>4850</v>
      </c>
    </row>
    <row r="676" spans="1:5" ht="17.149999999999999" customHeight="1">
      <c r="A676" s="14" t="s">
        <v>1409</v>
      </c>
      <c r="B676" s="15" t="s">
        <v>1410</v>
      </c>
      <c r="C676" s="16" t="s">
        <v>88</v>
      </c>
      <c r="D676" s="16"/>
      <c r="E676" s="160" t="s">
        <v>8269</v>
      </c>
    </row>
    <row r="677" spans="1:5" ht="17.149999999999999" customHeight="1">
      <c r="A677" s="14" t="s">
        <v>1411</v>
      </c>
      <c r="B677" s="15" t="s">
        <v>1412</v>
      </c>
      <c r="C677" s="16">
        <v>0</v>
      </c>
      <c r="D677" s="16"/>
      <c r="E677" s="160" t="s">
        <v>7941</v>
      </c>
    </row>
    <row r="678" spans="1:5" ht="17.149999999999999" customHeight="1">
      <c r="A678" s="14" t="s">
        <v>1413</v>
      </c>
      <c r="B678" s="15" t="s">
        <v>1414</v>
      </c>
      <c r="C678" s="16">
        <v>0</v>
      </c>
      <c r="D678" s="16"/>
      <c r="E678" s="160" t="s">
        <v>6753</v>
      </c>
    </row>
    <row r="679" spans="1:5" ht="17.149999999999999" customHeight="1">
      <c r="A679" s="14" t="s">
        <v>1415</v>
      </c>
      <c r="B679" s="15" t="s">
        <v>1416</v>
      </c>
      <c r="C679" s="16" t="s">
        <v>775</v>
      </c>
      <c r="D679" s="16"/>
      <c r="E679" s="160" t="s">
        <v>6055</v>
      </c>
    </row>
    <row r="680" spans="1:5" ht="17.149999999999999" customHeight="1">
      <c r="A680" s="14" t="s">
        <v>1417</v>
      </c>
      <c r="B680" s="15" t="s">
        <v>1418</v>
      </c>
      <c r="C680" s="16" t="s">
        <v>91</v>
      </c>
      <c r="D680" s="16"/>
      <c r="E680" s="160" t="s">
        <v>6054</v>
      </c>
    </row>
    <row r="681" spans="1:5" ht="17.149999999999999" customHeight="1">
      <c r="A681" s="14" t="s">
        <v>1417</v>
      </c>
      <c r="B681" s="15" t="s">
        <v>1418</v>
      </c>
      <c r="C681" s="16" t="s">
        <v>91</v>
      </c>
      <c r="D681" s="16"/>
      <c r="E681" s="160" t="s">
        <v>6054</v>
      </c>
    </row>
    <row r="682" spans="1:5" ht="17.149999999999999" customHeight="1">
      <c r="A682" s="14" t="s">
        <v>36</v>
      </c>
      <c r="B682" s="15" t="s">
        <v>74</v>
      </c>
      <c r="C682" s="16" t="s">
        <v>91</v>
      </c>
      <c r="D682" s="16"/>
      <c r="E682" s="160" t="s">
        <v>8270</v>
      </c>
    </row>
    <row r="683" spans="1:5" ht="17.149999999999999" customHeight="1">
      <c r="A683" s="14" t="s">
        <v>36</v>
      </c>
      <c r="B683" s="15" t="s">
        <v>74</v>
      </c>
      <c r="C683" s="16" t="s">
        <v>91</v>
      </c>
      <c r="D683" s="16"/>
      <c r="E683" s="160" t="s">
        <v>8270</v>
      </c>
    </row>
    <row r="684" spans="1:5" ht="17.149999999999999" customHeight="1">
      <c r="A684" s="14" t="s">
        <v>1419</v>
      </c>
      <c r="B684" s="15" t="s">
        <v>1420</v>
      </c>
      <c r="C684" s="16" t="s">
        <v>91</v>
      </c>
      <c r="D684" s="16"/>
      <c r="E684" s="160" t="s">
        <v>105</v>
      </c>
    </row>
    <row r="685" spans="1:5" ht="17.149999999999999" customHeight="1">
      <c r="A685" s="14" t="s">
        <v>1421</v>
      </c>
      <c r="B685" s="15" t="s">
        <v>1422</v>
      </c>
      <c r="C685" s="16" t="s">
        <v>91</v>
      </c>
      <c r="D685" s="16"/>
      <c r="E685" s="160" t="s">
        <v>4924</v>
      </c>
    </row>
    <row r="686" spans="1:5" ht="17.149999999999999" customHeight="1">
      <c r="A686" s="14" t="s">
        <v>1423</v>
      </c>
      <c r="B686" s="15" t="s">
        <v>1424</v>
      </c>
      <c r="C686" s="16" t="s">
        <v>91</v>
      </c>
      <c r="D686" s="16"/>
      <c r="E686" s="160" t="s">
        <v>4924</v>
      </c>
    </row>
    <row r="687" spans="1:5" ht="17.149999999999999" customHeight="1">
      <c r="A687" s="14" t="s">
        <v>1425</v>
      </c>
      <c r="B687" s="15" t="s">
        <v>1426</v>
      </c>
      <c r="C687" s="16" t="s">
        <v>91</v>
      </c>
      <c r="D687" s="16"/>
      <c r="E687" s="160" t="s">
        <v>8271</v>
      </c>
    </row>
    <row r="688" spans="1:5" ht="17.149999999999999" customHeight="1">
      <c r="A688" s="14" t="s">
        <v>1427</v>
      </c>
      <c r="B688" s="15" t="s">
        <v>1428</v>
      </c>
      <c r="C688" s="16" t="s">
        <v>1429</v>
      </c>
      <c r="D688" s="16"/>
      <c r="E688" s="160" t="s">
        <v>4924</v>
      </c>
    </row>
    <row r="689" spans="1:5" ht="17.149999999999999" customHeight="1">
      <c r="A689" s="14" t="s">
        <v>1427</v>
      </c>
      <c r="B689" s="15" t="s">
        <v>1428</v>
      </c>
      <c r="C689" s="16" t="s">
        <v>1429</v>
      </c>
      <c r="D689" s="16"/>
      <c r="E689" s="160" t="s">
        <v>4924</v>
      </c>
    </row>
    <row r="690" spans="1:5" ht="17.149999999999999" customHeight="1">
      <c r="A690" s="14" t="s">
        <v>1430</v>
      </c>
      <c r="B690" s="15" t="s">
        <v>1431</v>
      </c>
      <c r="C690" s="16" t="s">
        <v>91</v>
      </c>
      <c r="D690" s="16"/>
      <c r="E690" s="160" t="s">
        <v>8272</v>
      </c>
    </row>
    <row r="691" spans="1:5" ht="17.149999999999999" customHeight="1">
      <c r="A691" s="14" t="s">
        <v>1432</v>
      </c>
      <c r="B691" s="15" t="s">
        <v>1433</v>
      </c>
      <c r="C691" s="16" t="s">
        <v>194</v>
      </c>
      <c r="D691" s="16"/>
      <c r="E691" s="160" t="s">
        <v>8273</v>
      </c>
    </row>
    <row r="692" spans="1:5" ht="17.149999999999999" customHeight="1">
      <c r="A692" s="14" t="s">
        <v>1434</v>
      </c>
      <c r="B692" s="15" t="s">
        <v>1435</v>
      </c>
      <c r="C692" s="16" t="s">
        <v>88</v>
      </c>
      <c r="D692" s="16"/>
      <c r="E692" s="160" t="s">
        <v>4993</v>
      </c>
    </row>
    <row r="693" spans="1:5" ht="17.149999999999999" customHeight="1">
      <c r="A693" s="14" t="s">
        <v>1436</v>
      </c>
      <c r="B693" s="15" t="s">
        <v>1437</v>
      </c>
      <c r="C693" s="16" t="s">
        <v>88</v>
      </c>
      <c r="D693" s="16"/>
      <c r="E693" s="160" t="s">
        <v>4993</v>
      </c>
    </row>
    <row r="694" spans="1:5" ht="17.149999999999999" customHeight="1">
      <c r="A694" s="14" t="s">
        <v>1438</v>
      </c>
      <c r="B694" s="15" t="s">
        <v>1439</v>
      </c>
      <c r="C694" s="16" t="s">
        <v>545</v>
      </c>
      <c r="D694" s="16"/>
      <c r="E694" s="160" t="s">
        <v>8273</v>
      </c>
    </row>
    <row r="695" spans="1:5" ht="17.149999999999999" customHeight="1">
      <c r="A695" s="14" t="s">
        <v>1440</v>
      </c>
      <c r="B695" s="15" t="s">
        <v>1441</v>
      </c>
      <c r="C695" s="16" t="s">
        <v>545</v>
      </c>
      <c r="D695" s="16"/>
      <c r="E695" s="160" t="s">
        <v>8273</v>
      </c>
    </row>
    <row r="696" spans="1:5" ht="17.149999999999999" customHeight="1">
      <c r="A696" s="14" t="s">
        <v>1442</v>
      </c>
      <c r="B696" s="15" t="s">
        <v>1443</v>
      </c>
      <c r="C696" s="16" t="s">
        <v>194</v>
      </c>
      <c r="D696" s="16"/>
      <c r="E696" s="160" t="s">
        <v>4993</v>
      </c>
    </row>
    <row r="697" spans="1:5" ht="17.149999999999999" customHeight="1">
      <c r="A697" s="14" t="s">
        <v>1444</v>
      </c>
      <c r="B697" s="15" t="s">
        <v>1445</v>
      </c>
      <c r="C697" s="16" t="s">
        <v>194</v>
      </c>
      <c r="D697" s="16"/>
      <c r="E697" s="160" t="s">
        <v>4993</v>
      </c>
    </row>
    <row r="698" spans="1:5" ht="17.149999999999999" customHeight="1">
      <c r="A698" s="14" t="s">
        <v>1446</v>
      </c>
      <c r="B698" s="15" t="s">
        <v>1447</v>
      </c>
      <c r="C698" s="16" t="s">
        <v>93</v>
      </c>
      <c r="D698" s="16"/>
      <c r="E698" s="160" t="s">
        <v>4993</v>
      </c>
    </row>
    <row r="699" spans="1:5" ht="17.149999999999999" customHeight="1">
      <c r="A699" s="14" t="s">
        <v>1448</v>
      </c>
      <c r="B699" s="15" t="s">
        <v>1449</v>
      </c>
      <c r="C699" s="16" t="s">
        <v>259</v>
      </c>
      <c r="D699" s="16"/>
      <c r="E699" s="160" t="s">
        <v>4993</v>
      </c>
    </row>
    <row r="700" spans="1:5" ht="17.149999999999999" customHeight="1">
      <c r="A700" s="14" t="s">
        <v>1450</v>
      </c>
      <c r="B700" s="15" t="s">
        <v>1451</v>
      </c>
      <c r="C700" s="16" t="s">
        <v>775</v>
      </c>
      <c r="D700" s="16"/>
      <c r="E700" s="160" t="s">
        <v>6206</v>
      </c>
    </row>
    <row r="701" spans="1:5" ht="17.149999999999999" customHeight="1">
      <c r="A701" s="14" t="s">
        <v>1452</v>
      </c>
      <c r="B701" s="15" t="s">
        <v>1453</v>
      </c>
      <c r="C701" s="16" t="s">
        <v>775</v>
      </c>
      <c r="D701" s="16"/>
      <c r="E701" s="160" t="s">
        <v>4993</v>
      </c>
    </row>
    <row r="702" spans="1:5" ht="17.149999999999999" customHeight="1">
      <c r="A702" s="14" t="s">
        <v>1454</v>
      </c>
      <c r="B702" s="15" t="s">
        <v>1455</v>
      </c>
      <c r="C702" s="16" t="s">
        <v>194</v>
      </c>
      <c r="D702" s="16"/>
      <c r="E702" s="160" t="s">
        <v>4993</v>
      </c>
    </row>
    <row r="703" spans="1:5" ht="17.149999999999999" customHeight="1">
      <c r="A703" s="14" t="s">
        <v>1456</v>
      </c>
      <c r="B703" s="15" t="s">
        <v>1457</v>
      </c>
      <c r="C703" s="16" t="s">
        <v>254</v>
      </c>
      <c r="D703" s="16"/>
      <c r="E703" s="160" t="s">
        <v>8274</v>
      </c>
    </row>
    <row r="704" spans="1:5" ht="17.149999999999999" customHeight="1">
      <c r="A704" s="14" t="s">
        <v>1458</v>
      </c>
      <c r="B704" s="15" t="s">
        <v>1459</v>
      </c>
      <c r="C704" s="16" t="s">
        <v>88</v>
      </c>
      <c r="D704" s="16"/>
      <c r="E704" s="160" t="s">
        <v>4993</v>
      </c>
    </row>
    <row r="705" spans="1:5" ht="17.149999999999999" customHeight="1">
      <c r="A705" s="14" t="s">
        <v>1460</v>
      </c>
      <c r="B705" s="15" t="s">
        <v>1461</v>
      </c>
      <c r="C705" s="16" t="s">
        <v>254</v>
      </c>
      <c r="D705" s="16"/>
      <c r="E705" s="160" t="s">
        <v>4993</v>
      </c>
    </row>
    <row r="706" spans="1:5" ht="17.149999999999999" customHeight="1">
      <c r="A706" s="14" t="s">
        <v>1462</v>
      </c>
      <c r="B706" s="15" t="s">
        <v>1463</v>
      </c>
      <c r="C706" s="16" t="s">
        <v>254</v>
      </c>
      <c r="D706" s="16"/>
      <c r="E706" s="160" t="s">
        <v>4993</v>
      </c>
    </row>
    <row r="707" spans="1:5" ht="17.149999999999999" customHeight="1">
      <c r="A707" s="14" t="s">
        <v>1464</v>
      </c>
      <c r="B707" s="15" t="s">
        <v>1465</v>
      </c>
      <c r="C707" s="16" t="s">
        <v>194</v>
      </c>
      <c r="D707" s="16"/>
      <c r="E707" s="160" t="s">
        <v>8275</v>
      </c>
    </row>
    <row r="708" spans="1:5" ht="17.149999999999999" customHeight="1">
      <c r="A708" s="14" t="s">
        <v>1466</v>
      </c>
      <c r="B708" s="15" t="s">
        <v>1467</v>
      </c>
      <c r="C708" s="16" t="s">
        <v>88</v>
      </c>
      <c r="D708" s="16"/>
      <c r="E708" s="160" t="s">
        <v>4992</v>
      </c>
    </row>
    <row r="709" spans="1:5" ht="17.149999999999999" customHeight="1">
      <c r="A709" s="14" t="s">
        <v>1468</v>
      </c>
      <c r="B709" s="15" t="s">
        <v>1469</v>
      </c>
      <c r="C709" s="16" t="s">
        <v>88</v>
      </c>
      <c r="D709" s="16"/>
      <c r="E709" s="160" t="s">
        <v>4992</v>
      </c>
    </row>
    <row r="710" spans="1:5" ht="17.149999999999999" customHeight="1">
      <c r="A710" s="14" t="s">
        <v>1470</v>
      </c>
      <c r="B710" s="15" t="s">
        <v>1471</v>
      </c>
      <c r="C710" s="16" t="s">
        <v>545</v>
      </c>
      <c r="D710" s="16"/>
      <c r="E710" s="160" t="s">
        <v>8275</v>
      </c>
    </row>
    <row r="711" spans="1:5" ht="17.149999999999999" customHeight="1">
      <c r="A711" s="14" t="s">
        <v>1472</v>
      </c>
      <c r="B711" s="15" t="s">
        <v>1473</v>
      </c>
      <c r="C711" s="16" t="s">
        <v>545</v>
      </c>
      <c r="D711" s="16"/>
      <c r="E711" s="160" t="s">
        <v>8275</v>
      </c>
    </row>
    <row r="712" spans="1:5" ht="17.149999999999999" customHeight="1">
      <c r="A712" s="14" t="s">
        <v>1474</v>
      </c>
      <c r="B712" s="15" t="s">
        <v>1475</v>
      </c>
      <c r="C712" s="16" t="s">
        <v>247</v>
      </c>
      <c r="D712" s="16"/>
      <c r="E712" s="160" t="s">
        <v>4992</v>
      </c>
    </row>
    <row r="713" spans="1:5" ht="17.149999999999999" customHeight="1">
      <c r="A713" s="14" t="s">
        <v>1476</v>
      </c>
      <c r="B713" s="15" t="s">
        <v>1477</v>
      </c>
      <c r="C713" s="16" t="s">
        <v>194</v>
      </c>
      <c r="D713" s="16"/>
      <c r="E713" s="160" t="s">
        <v>4992</v>
      </c>
    </row>
    <row r="714" spans="1:5" ht="17.149999999999999" customHeight="1">
      <c r="A714" s="14" t="s">
        <v>1478</v>
      </c>
      <c r="B714" s="15" t="s">
        <v>1479</v>
      </c>
      <c r="C714" s="16" t="s">
        <v>194</v>
      </c>
      <c r="D714" s="16"/>
      <c r="E714" s="160" t="s">
        <v>4992</v>
      </c>
    </row>
    <row r="715" spans="1:5" ht="17.149999999999999" customHeight="1">
      <c r="A715" s="14" t="s">
        <v>1480</v>
      </c>
      <c r="B715" s="15" t="s">
        <v>1481</v>
      </c>
      <c r="C715" s="16" t="s">
        <v>93</v>
      </c>
      <c r="D715" s="16"/>
      <c r="E715" s="160" t="s">
        <v>8276</v>
      </c>
    </row>
    <row r="716" spans="1:5" ht="17.149999999999999" customHeight="1">
      <c r="A716" s="14" t="s">
        <v>1482</v>
      </c>
      <c r="B716" s="15" t="s">
        <v>1483</v>
      </c>
      <c r="C716" s="16" t="s">
        <v>259</v>
      </c>
      <c r="D716" s="16"/>
      <c r="E716" s="160" t="s">
        <v>4992</v>
      </c>
    </row>
    <row r="717" spans="1:5" ht="17.149999999999999" customHeight="1">
      <c r="A717" s="14" t="s">
        <v>1484</v>
      </c>
      <c r="B717" s="15" t="s">
        <v>1485</v>
      </c>
      <c r="C717" s="16" t="s">
        <v>90</v>
      </c>
      <c r="D717" s="16"/>
      <c r="E717" s="160" t="s">
        <v>6445</v>
      </c>
    </row>
    <row r="718" spans="1:5" ht="17.149999999999999" customHeight="1">
      <c r="A718" s="14" t="s">
        <v>1486</v>
      </c>
      <c r="B718" s="15" t="s">
        <v>1487</v>
      </c>
      <c r="C718" s="16" t="s">
        <v>90</v>
      </c>
      <c r="D718" s="16"/>
      <c r="E718" s="160" t="s">
        <v>6445</v>
      </c>
    </row>
    <row r="719" spans="1:5" ht="17.149999999999999" customHeight="1">
      <c r="A719" s="14" t="s">
        <v>1488</v>
      </c>
      <c r="B719" s="15" t="s">
        <v>1489</v>
      </c>
      <c r="C719" s="16" t="s">
        <v>775</v>
      </c>
      <c r="D719" s="16"/>
      <c r="E719" s="160" t="s">
        <v>4992</v>
      </c>
    </row>
    <row r="720" spans="1:5" ht="17.149999999999999" customHeight="1">
      <c r="A720" s="14" t="s">
        <v>1490</v>
      </c>
      <c r="B720" s="15" t="s">
        <v>1491</v>
      </c>
      <c r="C720" s="16" t="s">
        <v>254</v>
      </c>
      <c r="D720" s="16"/>
      <c r="E720" s="160" t="s">
        <v>8277</v>
      </c>
    </row>
    <row r="721" spans="1:5" ht="17.149999999999999" customHeight="1">
      <c r="A721" s="14" t="s">
        <v>1492</v>
      </c>
      <c r="B721" s="15" t="s">
        <v>1493</v>
      </c>
      <c r="C721" s="16" t="s">
        <v>88</v>
      </c>
      <c r="D721" s="16"/>
      <c r="E721" s="160" t="s">
        <v>4992</v>
      </c>
    </row>
    <row r="722" spans="1:5" ht="17.149999999999999" customHeight="1">
      <c r="A722" s="14" t="s">
        <v>1494</v>
      </c>
      <c r="B722" s="15" t="s">
        <v>1495</v>
      </c>
      <c r="C722" s="16" t="s">
        <v>88</v>
      </c>
      <c r="D722" s="16"/>
      <c r="E722" s="160" t="s">
        <v>8278</v>
      </c>
    </row>
    <row r="723" spans="1:5" ht="17.149999999999999" customHeight="1">
      <c r="A723" s="14" t="s">
        <v>1496</v>
      </c>
      <c r="B723" s="15" t="s">
        <v>1497</v>
      </c>
      <c r="C723" s="16" t="s">
        <v>88</v>
      </c>
      <c r="D723" s="16"/>
      <c r="E723" s="160" t="s">
        <v>8279</v>
      </c>
    </row>
    <row r="724" spans="1:5" ht="17.149999999999999" customHeight="1">
      <c r="A724" s="14" t="s">
        <v>1498</v>
      </c>
      <c r="B724" s="15" t="s">
        <v>1499</v>
      </c>
      <c r="C724" s="16" t="s">
        <v>88</v>
      </c>
      <c r="D724" s="16"/>
      <c r="E724" s="160" t="s">
        <v>8279</v>
      </c>
    </row>
    <row r="725" spans="1:5" ht="17.149999999999999" customHeight="1">
      <c r="A725" s="14" t="s">
        <v>1500</v>
      </c>
      <c r="B725" s="15" t="s">
        <v>1501</v>
      </c>
      <c r="C725" s="16" t="s">
        <v>194</v>
      </c>
      <c r="D725" s="16"/>
      <c r="E725" s="160" t="s">
        <v>8280</v>
      </c>
    </row>
    <row r="726" spans="1:5" ht="17.149999999999999" customHeight="1">
      <c r="A726" s="14" t="s">
        <v>1502</v>
      </c>
      <c r="B726" s="15" t="s">
        <v>1503</v>
      </c>
      <c r="C726" s="16" t="s">
        <v>545</v>
      </c>
      <c r="D726" s="16"/>
      <c r="E726" s="160" t="s">
        <v>8281</v>
      </c>
    </row>
    <row r="727" spans="1:5" ht="17.149999999999999" customHeight="1">
      <c r="A727" s="14" t="s">
        <v>1504</v>
      </c>
      <c r="B727" s="15" t="s">
        <v>1505</v>
      </c>
      <c r="C727" s="16" t="s">
        <v>259</v>
      </c>
      <c r="D727" s="16"/>
      <c r="E727" s="160" t="s">
        <v>6206</v>
      </c>
    </row>
    <row r="728" spans="1:5" ht="17.149999999999999" customHeight="1">
      <c r="A728" s="14" t="s">
        <v>1506</v>
      </c>
      <c r="B728" s="15" t="s">
        <v>1507</v>
      </c>
      <c r="C728" s="16" t="s">
        <v>93</v>
      </c>
      <c r="D728" s="16"/>
      <c r="E728" s="160" t="s">
        <v>6206</v>
      </c>
    </row>
    <row r="729" spans="1:5" ht="17.149999999999999" customHeight="1">
      <c r="A729" s="14" t="s">
        <v>1508</v>
      </c>
      <c r="B729" s="15" t="s">
        <v>1509</v>
      </c>
      <c r="C729" s="16" t="s">
        <v>259</v>
      </c>
      <c r="D729" s="16"/>
      <c r="E729" s="160" t="s">
        <v>6206</v>
      </c>
    </row>
    <row r="730" spans="1:5" ht="17.149999999999999" customHeight="1">
      <c r="A730" s="14" t="s">
        <v>1510</v>
      </c>
      <c r="B730" s="15" t="s">
        <v>1511</v>
      </c>
      <c r="C730" s="16" t="s">
        <v>775</v>
      </c>
      <c r="D730" s="16"/>
      <c r="E730" s="160" t="s">
        <v>6206</v>
      </c>
    </row>
    <row r="731" spans="1:5" ht="17.149999999999999" customHeight="1">
      <c r="A731" s="14" t="s">
        <v>1512</v>
      </c>
      <c r="B731" s="15" t="s">
        <v>1513</v>
      </c>
      <c r="C731" s="16" t="s">
        <v>254</v>
      </c>
      <c r="D731" s="16"/>
      <c r="E731" s="160" t="s">
        <v>5350</v>
      </c>
    </row>
    <row r="732" spans="1:5" ht="17.149999999999999" customHeight="1">
      <c r="A732" s="14" t="s">
        <v>1514</v>
      </c>
      <c r="B732" s="15" t="s">
        <v>1515</v>
      </c>
      <c r="C732" s="16" t="s">
        <v>254</v>
      </c>
      <c r="D732" s="16"/>
      <c r="E732" s="160" t="s">
        <v>6206</v>
      </c>
    </row>
    <row r="733" spans="1:5" ht="17.149999999999999" customHeight="1">
      <c r="A733" s="14" t="s">
        <v>1516</v>
      </c>
      <c r="B733" s="15" t="s">
        <v>1517</v>
      </c>
      <c r="C733" s="16" t="s">
        <v>88</v>
      </c>
      <c r="D733" s="16"/>
      <c r="E733" s="160" t="s">
        <v>8282</v>
      </c>
    </row>
    <row r="734" spans="1:5" ht="17.149999999999999" customHeight="1">
      <c r="A734" s="14" t="s">
        <v>1518</v>
      </c>
      <c r="B734" s="15" t="s">
        <v>1519</v>
      </c>
      <c r="C734" s="16" t="s">
        <v>88</v>
      </c>
      <c r="D734" s="16"/>
      <c r="E734" s="160" t="s">
        <v>8283</v>
      </c>
    </row>
    <row r="735" spans="1:5" ht="17.149999999999999" customHeight="1">
      <c r="A735" s="14" t="s">
        <v>1520</v>
      </c>
      <c r="B735" s="15" t="s">
        <v>1521</v>
      </c>
      <c r="C735" s="16" t="s">
        <v>88</v>
      </c>
      <c r="D735" s="16"/>
      <c r="E735" s="160" t="s">
        <v>8279</v>
      </c>
    </row>
    <row r="736" spans="1:5" ht="17.149999999999999" customHeight="1">
      <c r="A736" s="14" t="s">
        <v>1522</v>
      </c>
      <c r="B736" s="15" t="s">
        <v>1523</v>
      </c>
      <c r="C736" s="16" t="s">
        <v>194</v>
      </c>
      <c r="D736" s="16"/>
      <c r="E736" s="160" t="s">
        <v>8284</v>
      </c>
    </row>
    <row r="737" spans="1:5" ht="17.149999999999999" customHeight="1">
      <c r="A737" s="14" t="s">
        <v>1524</v>
      </c>
      <c r="B737" s="15" t="s">
        <v>1525</v>
      </c>
      <c r="C737" s="16" t="s">
        <v>545</v>
      </c>
      <c r="D737" s="16"/>
      <c r="E737" s="160" t="s">
        <v>8285</v>
      </c>
    </row>
    <row r="738" spans="1:5" ht="17.149999999999999" customHeight="1">
      <c r="A738" s="14" t="s">
        <v>1526</v>
      </c>
      <c r="B738" s="15" t="s">
        <v>1527</v>
      </c>
      <c r="C738" s="16" t="s">
        <v>259</v>
      </c>
      <c r="D738" s="16"/>
      <c r="E738" s="160" t="s">
        <v>6205</v>
      </c>
    </row>
    <row r="739" spans="1:5" ht="17.149999999999999" customHeight="1">
      <c r="A739" s="14" t="s">
        <v>1528</v>
      </c>
      <c r="B739" s="15" t="s">
        <v>1529</v>
      </c>
      <c r="C739" s="16" t="s">
        <v>93</v>
      </c>
      <c r="D739" s="16"/>
      <c r="E739" s="160" t="s">
        <v>6205</v>
      </c>
    </row>
    <row r="740" spans="1:5" ht="17.149999999999999" customHeight="1">
      <c r="A740" s="14" t="s">
        <v>1530</v>
      </c>
      <c r="B740" s="15" t="s">
        <v>1531</v>
      </c>
      <c r="C740" s="16" t="s">
        <v>259</v>
      </c>
      <c r="D740" s="16"/>
      <c r="E740" s="160" t="s">
        <v>6205</v>
      </c>
    </row>
    <row r="741" spans="1:5" ht="17.149999999999999" customHeight="1">
      <c r="A741" s="14" t="s">
        <v>1532</v>
      </c>
      <c r="B741" s="15" t="s">
        <v>1533</v>
      </c>
      <c r="C741" s="16" t="s">
        <v>775</v>
      </c>
      <c r="D741" s="16"/>
      <c r="E741" s="160" t="s">
        <v>6205</v>
      </c>
    </row>
    <row r="742" spans="1:5" ht="17.149999999999999" customHeight="1">
      <c r="A742" s="14" t="s">
        <v>1534</v>
      </c>
      <c r="B742" s="15" t="s">
        <v>1535</v>
      </c>
      <c r="C742" s="16" t="s">
        <v>194</v>
      </c>
      <c r="D742" s="16"/>
      <c r="E742" s="160" t="s">
        <v>4992</v>
      </c>
    </row>
    <row r="743" spans="1:5" ht="17.149999999999999" customHeight="1">
      <c r="A743" s="14" t="s">
        <v>1536</v>
      </c>
      <c r="B743" s="15" t="s">
        <v>1537</v>
      </c>
      <c r="C743" s="16" t="s">
        <v>254</v>
      </c>
      <c r="D743" s="16"/>
      <c r="E743" s="160" t="s">
        <v>5351</v>
      </c>
    </row>
    <row r="744" spans="1:5" ht="17.149999999999999" customHeight="1">
      <c r="A744" s="14" t="s">
        <v>1538</v>
      </c>
      <c r="B744" s="15" t="s">
        <v>1539</v>
      </c>
      <c r="C744" s="16" t="s">
        <v>254</v>
      </c>
      <c r="D744" s="16"/>
      <c r="E744" s="160" t="s">
        <v>6205</v>
      </c>
    </row>
    <row r="745" spans="1:5" ht="17.149999999999999" customHeight="1">
      <c r="A745" s="14" t="s">
        <v>1540</v>
      </c>
      <c r="B745" s="15" t="s">
        <v>1541</v>
      </c>
      <c r="C745" s="16" t="s">
        <v>775</v>
      </c>
      <c r="D745" s="16"/>
      <c r="E745" s="160" t="s">
        <v>8286</v>
      </c>
    </row>
    <row r="746" spans="1:5" ht="17.149999999999999" customHeight="1">
      <c r="A746" s="14" t="s">
        <v>1542</v>
      </c>
      <c r="B746" s="15" t="s">
        <v>1543</v>
      </c>
      <c r="C746" s="16" t="s">
        <v>91</v>
      </c>
      <c r="D746" s="16"/>
      <c r="E746" s="160" t="s">
        <v>5231</v>
      </c>
    </row>
    <row r="747" spans="1:5" ht="17.149999999999999" customHeight="1">
      <c r="A747" s="14" t="s">
        <v>1542</v>
      </c>
      <c r="B747" s="15" t="s">
        <v>1543</v>
      </c>
      <c r="C747" s="16" t="s">
        <v>91</v>
      </c>
      <c r="D747" s="16"/>
      <c r="E747" s="160" t="s">
        <v>5231</v>
      </c>
    </row>
    <row r="748" spans="1:5" ht="17.149999999999999" customHeight="1">
      <c r="A748" s="14" t="s">
        <v>1544</v>
      </c>
      <c r="B748" s="15" t="s">
        <v>1545</v>
      </c>
      <c r="C748" s="16">
        <v>0</v>
      </c>
      <c r="D748" s="16"/>
      <c r="E748" s="160" t="s">
        <v>5120</v>
      </c>
    </row>
    <row r="749" spans="1:5" ht="17.149999999999999" customHeight="1">
      <c r="A749" s="14" t="s">
        <v>1546</v>
      </c>
      <c r="B749" s="15" t="s">
        <v>1547</v>
      </c>
      <c r="C749" s="16" t="s">
        <v>88</v>
      </c>
      <c r="D749" s="16"/>
      <c r="E749" s="160" t="s">
        <v>8287</v>
      </c>
    </row>
    <row r="750" spans="1:5" ht="17.149999999999999" customHeight="1">
      <c r="A750" s="14" t="s">
        <v>1548</v>
      </c>
      <c r="B750" s="15" t="s">
        <v>1549</v>
      </c>
      <c r="C750" s="16" t="s">
        <v>88</v>
      </c>
      <c r="D750" s="16"/>
      <c r="E750" s="160" t="s">
        <v>8288</v>
      </c>
    </row>
    <row r="751" spans="1:5" ht="17.149999999999999" customHeight="1">
      <c r="A751" s="14" t="s">
        <v>1550</v>
      </c>
      <c r="B751" s="15" t="s">
        <v>1551</v>
      </c>
      <c r="C751" s="16" t="s">
        <v>88</v>
      </c>
      <c r="D751" s="16"/>
      <c r="E751" s="160" t="s">
        <v>4855</v>
      </c>
    </row>
    <row r="752" spans="1:5" ht="17.149999999999999" customHeight="1">
      <c r="A752" s="14" t="s">
        <v>1552</v>
      </c>
      <c r="B752" s="15" t="s">
        <v>1553</v>
      </c>
      <c r="C752" s="16" t="s">
        <v>545</v>
      </c>
      <c r="D752" s="16"/>
      <c r="E752" s="160" t="s">
        <v>8289</v>
      </c>
    </row>
    <row r="753" spans="1:5" ht="17.149999999999999" customHeight="1">
      <c r="A753" s="14" t="s">
        <v>1554</v>
      </c>
      <c r="B753" s="15" t="s">
        <v>1555</v>
      </c>
      <c r="C753" s="16" t="s">
        <v>88</v>
      </c>
      <c r="D753" s="16"/>
      <c r="E753" s="160" t="s">
        <v>4855</v>
      </c>
    </row>
    <row r="754" spans="1:5" ht="17.149999999999999" customHeight="1">
      <c r="A754" s="14" t="s">
        <v>1556</v>
      </c>
      <c r="B754" s="15" t="s">
        <v>1557</v>
      </c>
      <c r="C754" s="16" t="s">
        <v>194</v>
      </c>
      <c r="D754" s="16"/>
      <c r="E754" s="160" t="s">
        <v>8290</v>
      </c>
    </row>
    <row r="755" spans="1:5" ht="17.149999999999999" customHeight="1">
      <c r="A755" s="14" t="s">
        <v>1558</v>
      </c>
      <c r="B755" s="15" t="s">
        <v>1559</v>
      </c>
      <c r="C755" s="16" t="s">
        <v>88</v>
      </c>
      <c r="D755" s="16"/>
      <c r="E755" s="160" t="s">
        <v>4855</v>
      </c>
    </row>
    <row r="756" spans="1:5" ht="17.149999999999999" customHeight="1">
      <c r="A756" s="14" t="s">
        <v>1560</v>
      </c>
      <c r="B756" s="15" t="s">
        <v>1561</v>
      </c>
      <c r="C756" s="16">
        <v>0</v>
      </c>
      <c r="D756" s="16"/>
      <c r="E756" s="160" t="s">
        <v>4855</v>
      </c>
    </row>
    <row r="757" spans="1:5" ht="17.149999999999999" customHeight="1">
      <c r="A757" s="14" t="s">
        <v>1562</v>
      </c>
      <c r="B757" s="15" t="s">
        <v>1563</v>
      </c>
      <c r="C757" s="16" t="s">
        <v>88</v>
      </c>
      <c r="D757" s="16"/>
      <c r="E757" s="160" t="s">
        <v>8287</v>
      </c>
    </row>
    <row r="758" spans="1:5" ht="17.149999999999999" customHeight="1">
      <c r="A758" s="14" t="s">
        <v>1564</v>
      </c>
      <c r="B758" s="15" t="s">
        <v>1565</v>
      </c>
      <c r="C758" s="16" t="s">
        <v>194</v>
      </c>
      <c r="D758" s="16"/>
      <c r="E758" s="160" t="s">
        <v>8289</v>
      </c>
    </row>
    <row r="759" spans="1:5" ht="17.149999999999999" customHeight="1">
      <c r="A759" s="14" t="s">
        <v>1566</v>
      </c>
      <c r="B759" s="15" t="s">
        <v>1567</v>
      </c>
      <c r="C759" s="16" t="s">
        <v>88</v>
      </c>
      <c r="D759" s="16"/>
      <c r="E759" s="160" t="s">
        <v>4855</v>
      </c>
    </row>
    <row r="760" spans="1:5" ht="17.149999999999999" customHeight="1">
      <c r="A760" s="14" t="s">
        <v>1568</v>
      </c>
      <c r="B760" s="15" t="s">
        <v>1569</v>
      </c>
      <c r="C760" s="16" t="s">
        <v>90</v>
      </c>
      <c r="D760" s="16"/>
      <c r="E760" s="160" t="s">
        <v>4855</v>
      </c>
    </row>
    <row r="761" spans="1:5" ht="17.149999999999999" customHeight="1">
      <c r="A761" s="14" t="s">
        <v>1570</v>
      </c>
      <c r="B761" s="15" t="s">
        <v>1571</v>
      </c>
      <c r="C761" s="16" t="s">
        <v>88</v>
      </c>
      <c r="D761" s="16"/>
      <c r="E761" s="160" t="s">
        <v>6023</v>
      </c>
    </row>
    <row r="762" spans="1:5" ht="17.149999999999999" customHeight="1">
      <c r="A762" s="14" t="s">
        <v>1572</v>
      </c>
      <c r="B762" s="15" t="s">
        <v>1573</v>
      </c>
      <c r="C762" s="16" t="s">
        <v>93</v>
      </c>
      <c r="D762" s="16"/>
      <c r="E762" s="160" t="s">
        <v>8291</v>
      </c>
    </row>
    <row r="763" spans="1:5" ht="17.149999999999999" customHeight="1">
      <c r="A763" s="14" t="s">
        <v>1574</v>
      </c>
      <c r="B763" s="15" t="s">
        <v>1575</v>
      </c>
      <c r="C763" s="16" t="s">
        <v>93</v>
      </c>
      <c r="D763" s="16"/>
      <c r="E763" s="160" t="s">
        <v>4855</v>
      </c>
    </row>
    <row r="764" spans="1:5" ht="17.149999999999999" customHeight="1">
      <c r="A764" s="14" t="s">
        <v>1576</v>
      </c>
      <c r="B764" s="15" t="s">
        <v>1577</v>
      </c>
      <c r="C764" s="16" t="s">
        <v>93</v>
      </c>
      <c r="D764" s="16"/>
      <c r="E764" s="160" t="s">
        <v>4855</v>
      </c>
    </row>
    <row r="765" spans="1:5" ht="17.149999999999999" customHeight="1">
      <c r="A765" s="14" t="s">
        <v>1578</v>
      </c>
      <c r="B765" s="15" t="s">
        <v>1579</v>
      </c>
      <c r="C765" s="16" t="s">
        <v>194</v>
      </c>
      <c r="D765" s="16"/>
      <c r="E765" s="160" t="s">
        <v>8291</v>
      </c>
    </row>
    <row r="766" spans="1:5" ht="17.149999999999999" customHeight="1">
      <c r="A766" s="14" t="s">
        <v>1580</v>
      </c>
      <c r="B766" s="15" t="s">
        <v>1581</v>
      </c>
      <c r="C766" s="16" t="s">
        <v>88</v>
      </c>
      <c r="D766" s="16"/>
      <c r="E766" s="160" t="s">
        <v>8292</v>
      </c>
    </row>
    <row r="767" spans="1:5" ht="17.149999999999999" customHeight="1">
      <c r="A767" s="14" t="s">
        <v>1582</v>
      </c>
      <c r="B767" s="15" t="s">
        <v>1583</v>
      </c>
      <c r="C767" s="16" t="s">
        <v>88</v>
      </c>
      <c r="D767" s="16"/>
      <c r="E767" s="160" t="s">
        <v>4857</v>
      </c>
    </row>
    <row r="768" spans="1:5" ht="17.149999999999999" customHeight="1">
      <c r="A768" s="14" t="s">
        <v>1584</v>
      </c>
      <c r="B768" s="15" t="s">
        <v>1585</v>
      </c>
      <c r="C768" s="16" t="s">
        <v>88</v>
      </c>
      <c r="D768" s="16"/>
      <c r="E768" s="160" t="s">
        <v>8293</v>
      </c>
    </row>
    <row r="769" spans="1:5" ht="17.149999999999999" customHeight="1">
      <c r="A769" s="14" t="s">
        <v>1586</v>
      </c>
      <c r="B769" s="15" t="s">
        <v>1587</v>
      </c>
      <c r="C769" s="16" t="s">
        <v>545</v>
      </c>
      <c r="D769" s="16"/>
      <c r="E769" s="160" t="s">
        <v>8293</v>
      </c>
    </row>
    <row r="770" spans="1:5" ht="17.149999999999999" customHeight="1">
      <c r="A770" s="14" t="s">
        <v>1588</v>
      </c>
      <c r="B770" s="15" t="s">
        <v>1589</v>
      </c>
      <c r="C770" s="16" t="s">
        <v>88</v>
      </c>
      <c r="D770" s="16"/>
      <c r="E770" s="160" t="s">
        <v>4857</v>
      </c>
    </row>
    <row r="771" spans="1:5" ht="17.149999999999999" customHeight="1">
      <c r="A771" s="14" t="s">
        <v>1590</v>
      </c>
      <c r="B771" s="15" t="s">
        <v>1591</v>
      </c>
      <c r="C771" s="16" t="s">
        <v>194</v>
      </c>
      <c r="D771" s="16"/>
      <c r="E771" s="160" t="s">
        <v>8294</v>
      </c>
    </row>
    <row r="772" spans="1:5" ht="17.149999999999999" customHeight="1">
      <c r="A772" s="14" t="s">
        <v>1592</v>
      </c>
      <c r="B772" s="15" t="s">
        <v>1593</v>
      </c>
      <c r="C772" s="16" t="s">
        <v>88</v>
      </c>
      <c r="D772" s="16"/>
      <c r="E772" s="160" t="s">
        <v>4857</v>
      </c>
    </row>
    <row r="773" spans="1:5" ht="17.149999999999999" customHeight="1">
      <c r="A773" s="14" t="s">
        <v>1594</v>
      </c>
      <c r="B773" s="15" t="s">
        <v>1595</v>
      </c>
      <c r="C773" s="16" t="s">
        <v>194</v>
      </c>
      <c r="D773" s="16"/>
      <c r="E773" s="160" t="s">
        <v>8293</v>
      </c>
    </row>
    <row r="774" spans="1:5" ht="17.149999999999999" customHeight="1">
      <c r="A774" s="14" t="s">
        <v>1596</v>
      </c>
      <c r="B774" s="15" t="s">
        <v>1597</v>
      </c>
      <c r="C774" s="16" t="s">
        <v>93</v>
      </c>
      <c r="D774" s="16"/>
      <c r="E774" s="160" t="s">
        <v>4857</v>
      </c>
    </row>
    <row r="775" spans="1:5" ht="17.149999999999999" customHeight="1">
      <c r="A775" s="14" t="s">
        <v>1598</v>
      </c>
      <c r="B775" s="15" t="s">
        <v>1599</v>
      </c>
      <c r="C775" s="16" t="s">
        <v>88</v>
      </c>
      <c r="D775" s="16"/>
      <c r="E775" s="160" t="s">
        <v>8295</v>
      </c>
    </row>
    <row r="776" spans="1:5" ht="17.149999999999999" customHeight="1">
      <c r="A776" s="14" t="s">
        <v>1600</v>
      </c>
      <c r="B776" s="15" t="s">
        <v>1601</v>
      </c>
      <c r="C776" s="16" t="s">
        <v>88</v>
      </c>
      <c r="D776" s="16"/>
      <c r="E776" s="160" t="s">
        <v>106</v>
      </c>
    </row>
    <row r="777" spans="1:5" ht="17.149999999999999" customHeight="1">
      <c r="A777" s="14" t="s">
        <v>1602</v>
      </c>
      <c r="B777" s="15" t="s">
        <v>1603</v>
      </c>
      <c r="C777" s="16" t="s">
        <v>545</v>
      </c>
      <c r="D777" s="16"/>
      <c r="E777" s="160" t="s">
        <v>8289</v>
      </c>
    </row>
    <row r="778" spans="1:5" ht="17.149999999999999" customHeight="1">
      <c r="A778" s="14" t="s">
        <v>1604</v>
      </c>
      <c r="B778" s="15" t="s">
        <v>1605</v>
      </c>
      <c r="C778" s="16" t="s">
        <v>194</v>
      </c>
      <c r="D778" s="16"/>
      <c r="E778" s="160" t="s">
        <v>8296</v>
      </c>
    </row>
    <row r="779" spans="1:5" ht="17.149999999999999" customHeight="1">
      <c r="A779" s="14" t="s">
        <v>1606</v>
      </c>
      <c r="B779" s="15" t="s">
        <v>1607</v>
      </c>
      <c r="C779" s="16">
        <v>0</v>
      </c>
      <c r="D779" s="16"/>
      <c r="E779" s="160" t="s">
        <v>8297</v>
      </c>
    </row>
    <row r="780" spans="1:5" ht="17.149999999999999" customHeight="1">
      <c r="A780" s="14" t="s">
        <v>1608</v>
      </c>
      <c r="B780" s="15" t="s">
        <v>1609</v>
      </c>
      <c r="C780" s="16" t="s">
        <v>88</v>
      </c>
      <c r="D780" s="16"/>
      <c r="E780" s="160" t="s">
        <v>106</v>
      </c>
    </row>
    <row r="781" spans="1:5" ht="17.149999999999999" customHeight="1">
      <c r="A781" s="14" t="s">
        <v>1610</v>
      </c>
      <c r="B781" s="15" t="s">
        <v>1611</v>
      </c>
      <c r="C781" s="16" t="s">
        <v>88</v>
      </c>
      <c r="D781" s="16"/>
      <c r="E781" s="160" t="s">
        <v>106</v>
      </c>
    </row>
    <row r="782" spans="1:5" ht="17.149999999999999" customHeight="1">
      <c r="A782" s="14" t="s">
        <v>1612</v>
      </c>
      <c r="B782" s="15" t="s">
        <v>1613</v>
      </c>
      <c r="C782" s="16">
        <v>0</v>
      </c>
      <c r="D782" s="16"/>
      <c r="E782" s="160" t="s">
        <v>106</v>
      </c>
    </row>
    <row r="783" spans="1:5" ht="17.149999999999999" customHeight="1">
      <c r="A783" s="14" t="s">
        <v>1614</v>
      </c>
      <c r="B783" s="15" t="s">
        <v>1615</v>
      </c>
      <c r="C783" s="16" t="s">
        <v>1429</v>
      </c>
      <c r="D783" s="16"/>
      <c r="E783" s="160" t="s">
        <v>4926</v>
      </c>
    </row>
    <row r="784" spans="1:5" ht="17.149999999999999" customHeight="1">
      <c r="A784" s="14" t="s">
        <v>1614</v>
      </c>
      <c r="B784" s="15" t="s">
        <v>1615</v>
      </c>
      <c r="C784" s="16" t="s">
        <v>1429</v>
      </c>
      <c r="D784" s="16"/>
      <c r="E784" s="160" t="s">
        <v>4926</v>
      </c>
    </row>
    <row r="785" spans="1:5" ht="17.149999999999999" customHeight="1">
      <c r="A785" s="14" t="s">
        <v>1616</v>
      </c>
      <c r="B785" s="15" t="s">
        <v>1617</v>
      </c>
      <c r="C785" s="16" t="s">
        <v>194</v>
      </c>
      <c r="D785" s="16"/>
      <c r="E785" s="160" t="s">
        <v>8298</v>
      </c>
    </row>
    <row r="786" spans="1:5" ht="17.149999999999999" customHeight="1">
      <c r="A786" s="14" t="s">
        <v>1618</v>
      </c>
      <c r="B786" s="15" t="s">
        <v>1619</v>
      </c>
      <c r="C786" s="16" t="s">
        <v>194</v>
      </c>
      <c r="D786" s="16"/>
      <c r="E786" s="160" t="s">
        <v>8296</v>
      </c>
    </row>
    <row r="787" spans="1:5" ht="17.149999999999999" customHeight="1">
      <c r="A787" s="14" t="s">
        <v>1620</v>
      </c>
      <c r="B787" s="15" t="s">
        <v>1621</v>
      </c>
      <c r="C787" s="16" t="s">
        <v>88</v>
      </c>
      <c r="D787" s="16"/>
      <c r="E787" s="160" t="s">
        <v>106</v>
      </c>
    </row>
    <row r="788" spans="1:5" ht="17.149999999999999" customHeight="1">
      <c r="A788" s="14" t="s">
        <v>1622</v>
      </c>
      <c r="B788" s="15" t="s">
        <v>1623</v>
      </c>
      <c r="C788" s="16" t="s">
        <v>90</v>
      </c>
      <c r="D788" s="16"/>
      <c r="E788" s="160" t="s">
        <v>106</v>
      </c>
    </row>
    <row r="789" spans="1:5" ht="17.149999999999999" customHeight="1">
      <c r="A789" s="14" t="s">
        <v>1624</v>
      </c>
      <c r="B789" s="15" t="s">
        <v>1625</v>
      </c>
      <c r="C789" s="16" t="s">
        <v>194</v>
      </c>
      <c r="D789" s="16"/>
      <c r="E789" s="160" t="s">
        <v>6544</v>
      </c>
    </row>
    <row r="790" spans="1:5" ht="17.149999999999999" customHeight="1">
      <c r="A790" s="14" t="s">
        <v>1626</v>
      </c>
      <c r="B790" s="15" t="s">
        <v>1627</v>
      </c>
      <c r="C790" s="16" t="s">
        <v>194</v>
      </c>
      <c r="D790" s="16"/>
      <c r="E790" s="160" t="s">
        <v>5358</v>
      </c>
    </row>
    <row r="791" spans="1:5" ht="17.149999999999999" customHeight="1">
      <c r="A791" s="14" t="s">
        <v>1628</v>
      </c>
      <c r="B791" s="15" t="s">
        <v>1629</v>
      </c>
      <c r="C791" s="16" t="s">
        <v>194</v>
      </c>
      <c r="D791" s="16"/>
      <c r="E791" s="160" t="s">
        <v>6544</v>
      </c>
    </row>
    <row r="792" spans="1:5" ht="17.149999999999999" customHeight="1">
      <c r="A792" s="14" t="s">
        <v>1630</v>
      </c>
      <c r="B792" s="15" t="s">
        <v>1631</v>
      </c>
      <c r="C792" s="16" t="s">
        <v>88</v>
      </c>
      <c r="D792" s="16"/>
      <c r="E792" s="160" t="s">
        <v>6023</v>
      </c>
    </row>
    <row r="793" spans="1:5" ht="17.149999999999999" customHeight="1">
      <c r="A793" s="14" t="s">
        <v>1632</v>
      </c>
      <c r="B793" s="15" t="s">
        <v>1633</v>
      </c>
      <c r="C793" s="16" t="s">
        <v>194</v>
      </c>
      <c r="D793" s="16"/>
      <c r="E793" s="160" t="s">
        <v>8299</v>
      </c>
    </row>
    <row r="794" spans="1:5" ht="17.149999999999999" customHeight="1">
      <c r="A794" s="14" t="s">
        <v>37</v>
      </c>
      <c r="B794" s="15" t="s">
        <v>75</v>
      </c>
      <c r="C794" s="16" t="s">
        <v>93</v>
      </c>
      <c r="D794" s="16"/>
      <c r="E794" s="160" t="s">
        <v>106</v>
      </c>
    </row>
    <row r="795" spans="1:5" ht="17.149999999999999" customHeight="1">
      <c r="A795" s="14" t="s">
        <v>1634</v>
      </c>
      <c r="B795" s="15" t="s">
        <v>1635</v>
      </c>
      <c r="C795" s="16" t="s">
        <v>194</v>
      </c>
      <c r="D795" s="16"/>
      <c r="E795" s="160" t="s">
        <v>8300</v>
      </c>
    </row>
    <row r="796" spans="1:5" ht="17.149999999999999" customHeight="1">
      <c r="A796" s="14" t="s">
        <v>1636</v>
      </c>
      <c r="B796" s="15" t="s">
        <v>1637</v>
      </c>
      <c r="C796" s="16" t="s">
        <v>88</v>
      </c>
      <c r="D796" s="16"/>
      <c r="E796" s="160" t="s">
        <v>8301</v>
      </c>
    </row>
    <row r="797" spans="1:5" ht="17.149999999999999" customHeight="1">
      <c r="A797" s="14" t="s">
        <v>1638</v>
      </c>
      <c r="B797" s="15" t="s">
        <v>1639</v>
      </c>
      <c r="C797" s="16" t="s">
        <v>545</v>
      </c>
      <c r="D797" s="16"/>
      <c r="E797" s="160" t="s">
        <v>8293</v>
      </c>
    </row>
    <row r="798" spans="1:5" ht="17.149999999999999" customHeight="1">
      <c r="A798" s="14" t="s">
        <v>1640</v>
      </c>
      <c r="B798" s="15" t="s">
        <v>1641</v>
      </c>
      <c r="C798" s="16" t="s">
        <v>194</v>
      </c>
      <c r="D798" s="16"/>
      <c r="E798" s="160" t="s">
        <v>8297</v>
      </c>
    </row>
    <row r="799" spans="1:5" ht="17.149999999999999" customHeight="1">
      <c r="A799" s="14" t="s">
        <v>1642</v>
      </c>
      <c r="B799" s="15" t="s">
        <v>1643</v>
      </c>
      <c r="C799" s="16">
        <v>0</v>
      </c>
      <c r="D799" s="16"/>
      <c r="E799" s="160" t="s">
        <v>106</v>
      </c>
    </row>
    <row r="800" spans="1:5" ht="17.149999999999999" customHeight="1">
      <c r="A800" s="14" t="s">
        <v>1644</v>
      </c>
      <c r="B800" s="15" t="s">
        <v>1645</v>
      </c>
      <c r="C800" s="16" t="s">
        <v>88</v>
      </c>
      <c r="D800" s="16"/>
      <c r="E800" s="160" t="s">
        <v>4865</v>
      </c>
    </row>
    <row r="801" spans="1:5" ht="17.149999999999999" customHeight="1">
      <c r="A801" s="14" t="s">
        <v>1646</v>
      </c>
      <c r="B801" s="15" t="s">
        <v>1647</v>
      </c>
      <c r="C801" s="16" t="s">
        <v>88</v>
      </c>
      <c r="D801" s="16"/>
      <c r="E801" s="160" t="s">
        <v>4865</v>
      </c>
    </row>
    <row r="802" spans="1:5" ht="17.149999999999999" customHeight="1">
      <c r="A802" s="14" t="s">
        <v>1648</v>
      </c>
      <c r="B802" s="15" t="s">
        <v>1649</v>
      </c>
      <c r="C802" s="16">
        <v>0</v>
      </c>
      <c r="D802" s="16"/>
      <c r="E802" s="160" t="s">
        <v>4865</v>
      </c>
    </row>
    <row r="803" spans="1:5" ht="17.149999999999999" customHeight="1">
      <c r="A803" s="14" t="s">
        <v>1650</v>
      </c>
      <c r="B803" s="15" t="s">
        <v>1651</v>
      </c>
      <c r="C803" s="16" t="s">
        <v>194</v>
      </c>
      <c r="D803" s="16"/>
      <c r="E803" s="160" t="s">
        <v>8297</v>
      </c>
    </row>
    <row r="804" spans="1:5" ht="17.149999999999999" customHeight="1">
      <c r="A804" s="14" t="s">
        <v>1652</v>
      </c>
      <c r="B804" s="15" t="s">
        <v>1653</v>
      </c>
      <c r="C804" s="16" t="s">
        <v>88</v>
      </c>
      <c r="D804" s="16"/>
      <c r="E804" s="160" t="s">
        <v>8302</v>
      </c>
    </row>
    <row r="805" spans="1:5" ht="17.149999999999999" customHeight="1">
      <c r="A805" s="14" t="s">
        <v>1654</v>
      </c>
      <c r="B805" s="15" t="s">
        <v>1655</v>
      </c>
      <c r="C805" s="16" t="s">
        <v>88</v>
      </c>
      <c r="D805" s="16"/>
      <c r="E805" s="160" t="s">
        <v>4852</v>
      </c>
    </row>
    <row r="806" spans="1:5" ht="17.149999999999999" customHeight="1">
      <c r="A806" s="14" t="s">
        <v>1656</v>
      </c>
      <c r="B806" s="15" t="s">
        <v>1657</v>
      </c>
      <c r="C806" s="16" t="s">
        <v>88</v>
      </c>
      <c r="D806" s="16"/>
      <c r="E806" s="160" t="s">
        <v>4852</v>
      </c>
    </row>
    <row r="807" spans="1:5" ht="17.149999999999999" customHeight="1">
      <c r="A807" s="14" t="s">
        <v>1658</v>
      </c>
      <c r="B807" s="15" t="s">
        <v>1659</v>
      </c>
      <c r="C807" s="16" t="s">
        <v>545</v>
      </c>
      <c r="D807" s="16"/>
      <c r="E807" s="160" t="s">
        <v>8303</v>
      </c>
    </row>
    <row r="808" spans="1:5" ht="17.149999999999999" customHeight="1">
      <c r="A808" s="14" t="s">
        <v>1660</v>
      </c>
      <c r="B808" s="15" t="s">
        <v>1661</v>
      </c>
      <c r="C808" s="16" t="s">
        <v>88</v>
      </c>
      <c r="D808" s="16"/>
      <c r="E808" s="160" t="s">
        <v>4852</v>
      </c>
    </row>
    <row r="809" spans="1:5" ht="17.149999999999999" customHeight="1">
      <c r="A809" s="14" t="s">
        <v>1662</v>
      </c>
      <c r="B809" s="15" t="s">
        <v>1663</v>
      </c>
      <c r="C809" s="16" t="s">
        <v>194</v>
      </c>
      <c r="D809" s="16"/>
      <c r="E809" s="160" t="s">
        <v>8302</v>
      </c>
    </row>
    <row r="810" spans="1:5" ht="17.149999999999999" customHeight="1">
      <c r="A810" s="14" t="s">
        <v>1664</v>
      </c>
      <c r="B810" s="15" t="s">
        <v>1665</v>
      </c>
      <c r="C810" s="16" t="s">
        <v>88</v>
      </c>
      <c r="D810" s="16"/>
      <c r="E810" s="160" t="s">
        <v>4852</v>
      </c>
    </row>
    <row r="811" spans="1:5" ht="17.149999999999999" customHeight="1">
      <c r="A811" s="14" t="s">
        <v>1666</v>
      </c>
      <c r="B811" s="15" t="s">
        <v>1667</v>
      </c>
      <c r="C811" s="16" t="s">
        <v>88</v>
      </c>
      <c r="D811" s="16"/>
      <c r="E811" s="160" t="s">
        <v>8302</v>
      </c>
    </row>
    <row r="812" spans="1:5" ht="17.149999999999999" customHeight="1">
      <c r="A812" s="14" t="s">
        <v>1668</v>
      </c>
      <c r="B812" s="15" t="s">
        <v>1669</v>
      </c>
      <c r="C812" s="16" t="s">
        <v>194</v>
      </c>
      <c r="D812" s="16"/>
      <c r="E812" s="160" t="s">
        <v>8303</v>
      </c>
    </row>
    <row r="813" spans="1:5" ht="17.149999999999999" customHeight="1">
      <c r="A813" s="14" t="s">
        <v>1670</v>
      </c>
      <c r="B813" s="15" t="s">
        <v>1671</v>
      </c>
      <c r="C813" s="16" t="s">
        <v>88</v>
      </c>
      <c r="D813" s="16"/>
      <c r="E813" s="160" t="s">
        <v>4852</v>
      </c>
    </row>
    <row r="814" spans="1:5" ht="17.149999999999999" customHeight="1">
      <c r="A814" s="14" t="s">
        <v>1672</v>
      </c>
      <c r="B814" s="15" t="s">
        <v>1673</v>
      </c>
      <c r="C814" s="16" t="s">
        <v>90</v>
      </c>
      <c r="D814" s="16"/>
      <c r="E814" s="160" t="s">
        <v>4852</v>
      </c>
    </row>
    <row r="815" spans="1:5" ht="17.149999999999999" customHeight="1">
      <c r="A815" s="14" t="s">
        <v>1674</v>
      </c>
      <c r="B815" s="15" t="s">
        <v>1675</v>
      </c>
      <c r="C815" s="16" t="s">
        <v>88</v>
      </c>
      <c r="D815" s="16"/>
      <c r="E815" s="160" t="s">
        <v>6022</v>
      </c>
    </row>
    <row r="816" spans="1:5" ht="17.149999999999999" customHeight="1">
      <c r="A816" s="14" t="s">
        <v>1676</v>
      </c>
      <c r="B816" s="15" t="s">
        <v>1677</v>
      </c>
      <c r="C816" s="16" t="s">
        <v>93</v>
      </c>
      <c r="D816" s="16"/>
      <c r="E816" s="160" t="s">
        <v>8304</v>
      </c>
    </row>
    <row r="817" spans="1:5" ht="17.149999999999999" customHeight="1">
      <c r="A817" s="14" t="s">
        <v>1678</v>
      </c>
      <c r="B817" s="15" t="s">
        <v>1679</v>
      </c>
      <c r="C817" s="16" t="s">
        <v>93</v>
      </c>
      <c r="D817" s="16"/>
      <c r="E817" s="160" t="s">
        <v>4852</v>
      </c>
    </row>
    <row r="818" spans="1:5" ht="17.149999999999999" customHeight="1">
      <c r="A818" s="14" t="s">
        <v>1680</v>
      </c>
      <c r="B818" s="15" t="s">
        <v>1681</v>
      </c>
      <c r="C818" s="16" t="s">
        <v>93</v>
      </c>
      <c r="D818" s="16"/>
      <c r="E818" s="160" t="s">
        <v>4852</v>
      </c>
    </row>
    <row r="819" spans="1:5" ht="17.149999999999999" customHeight="1">
      <c r="A819" s="14" t="s">
        <v>1682</v>
      </c>
      <c r="B819" s="15" t="s">
        <v>1683</v>
      </c>
      <c r="C819" s="16" t="s">
        <v>93</v>
      </c>
      <c r="D819" s="16"/>
      <c r="E819" s="160" t="s">
        <v>4852</v>
      </c>
    </row>
    <row r="820" spans="1:5" ht="17.149999999999999" customHeight="1">
      <c r="A820" s="14" t="s">
        <v>1684</v>
      </c>
      <c r="B820" s="15" t="s">
        <v>1685</v>
      </c>
      <c r="C820" s="16" t="s">
        <v>194</v>
      </c>
      <c r="D820" s="16"/>
      <c r="E820" s="160" t="s">
        <v>4852</v>
      </c>
    </row>
    <row r="821" spans="1:5" ht="17.149999999999999" customHeight="1">
      <c r="A821" s="14" t="s">
        <v>1686</v>
      </c>
      <c r="B821" s="15" t="s">
        <v>1687</v>
      </c>
      <c r="C821" s="16" t="s">
        <v>88</v>
      </c>
      <c r="D821" s="16"/>
      <c r="E821" s="160" t="s">
        <v>8305</v>
      </c>
    </row>
    <row r="822" spans="1:5" ht="17.149999999999999" customHeight="1">
      <c r="A822" s="14" t="s">
        <v>1688</v>
      </c>
      <c r="B822" s="15" t="s">
        <v>1689</v>
      </c>
      <c r="C822" s="16" t="s">
        <v>88</v>
      </c>
      <c r="D822" s="16"/>
      <c r="E822" s="160" t="s">
        <v>107</v>
      </c>
    </row>
    <row r="823" spans="1:5" ht="17.149999999999999" customHeight="1">
      <c r="A823" s="14" t="s">
        <v>1690</v>
      </c>
      <c r="B823" s="15" t="s">
        <v>1691</v>
      </c>
      <c r="C823" s="16" t="s">
        <v>88</v>
      </c>
      <c r="D823" s="16"/>
      <c r="E823" s="160" t="s">
        <v>107</v>
      </c>
    </row>
    <row r="824" spans="1:5" ht="17.149999999999999" customHeight="1">
      <c r="A824" s="14" t="s">
        <v>1692</v>
      </c>
      <c r="B824" s="15" t="s">
        <v>1693</v>
      </c>
      <c r="C824" s="16" t="s">
        <v>545</v>
      </c>
      <c r="D824" s="16"/>
      <c r="E824" s="160" t="s">
        <v>8303</v>
      </c>
    </row>
    <row r="825" spans="1:5" ht="17.149999999999999" customHeight="1">
      <c r="A825" s="14" t="s">
        <v>1694</v>
      </c>
      <c r="B825" s="15" t="s">
        <v>1695</v>
      </c>
      <c r="C825" s="16" t="s">
        <v>88</v>
      </c>
      <c r="D825" s="16"/>
      <c r="E825" s="160" t="s">
        <v>107</v>
      </c>
    </row>
    <row r="826" spans="1:5" ht="17.149999999999999" customHeight="1">
      <c r="A826" s="14" t="s">
        <v>1696</v>
      </c>
      <c r="B826" s="15" t="s">
        <v>1697</v>
      </c>
      <c r="C826" s="16" t="s">
        <v>194</v>
      </c>
      <c r="D826" s="16"/>
      <c r="E826" s="160" t="s">
        <v>8305</v>
      </c>
    </row>
    <row r="827" spans="1:5" ht="17.149999999999999" customHeight="1">
      <c r="A827" s="14" t="s">
        <v>1698</v>
      </c>
      <c r="B827" s="15" t="s">
        <v>1699</v>
      </c>
      <c r="C827" s="16" t="s">
        <v>88</v>
      </c>
      <c r="D827" s="16"/>
      <c r="E827" s="160" t="s">
        <v>107</v>
      </c>
    </row>
    <row r="828" spans="1:5" ht="17.149999999999999" customHeight="1">
      <c r="A828" s="14" t="s">
        <v>1700</v>
      </c>
      <c r="B828" s="15" t="s">
        <v>1701</v>
      </c>
      <c r="C828" s="16" t="s">
        <v>88</v>
      </c>
      <c r="D828" s="16"/>
      <c r="E828" s="160" t="s">
        <v>8305</v>
      </c>
    </row>
    <row r="829" spans="1:5" ht="17.149999999999999" customHeight="1">
      <c r="A829" s="14" t="s">
        <v>1702</v>
      </c>
      <c r="B829" s="15" t="s">
        <v>1703</v>
      </c>
      <c r="C829" s="16" t="s">
        <v>194</v>
      </c>
      <c r="D829" s="16"/>
      <c r="E829" s="160" t="s">
        <v>8306</v>
      </c>
    </row>
    <row r="830" spans="1:5" ht="17.149999999999999" customHeight="1">
      <c r="A830" s="14" t="s">
        <v>1704</v>
      </c>
      <c r="B830" s="15" t="s">
        <v>1705</v>
      </c>
      <c r="C830" s="16" t="s">
        <v>88</v>
      </c>
      <c r="D830" s="16"/>
      <c r="E830" s="160" t="s">
        <v>107</v>
      </c>
    </row>
    <row r="831" spans="1:5" ht="17.149999999999999" customHeight="1">
      <c r="A831" s="14" t="s">
        <v>1706</v>
      </c>
      <c r="B831" s="15" t="s">
        <v>1707</v>
      </c>
      <c r="C831" s="16" t="s">
        <v>90</v>
      </c>
      <c r="D831" s="16"/>
      <c r="E831" s="160" t="s">
        <v>107</v>
      </c>
    </row>
    <row r="832" spans="1:5" ht="17.149999999999999" customHeight="1">
      <c r="A832" s="14" t="s">
        <v>1708</v>
      </c>
      <c r="B832" s="15" t="s">
        <v>1709</v>
      </c>
      <c r="C832" s="16" t="s">
        <v>88</v>
      </c>
      <c r="D832" s="16"/>
      <c r="E832" s="160" t="s">
        <v>6022</v>
      </c>
    </row>
    <row r="833" spans="1:5" ht="17.149999999999999" customHeight="1">
      <c r="A833" s="14" t="s">
        <v>38</v>
      </c>
      <c r="B833" s="15" t="s">
        <v>76</v>
      </c>
      <c r="C833" s="16" t="s">
        <v>93</v>
      </c>
      <c r="D833" s="16"/>
      <c r="E833" s="160" t="s">
        <v>107</v>
      </c>
    </row>
    <row r="834" spans="1:5" ht="17.149999999999999" customHeight="1">
      <c r="A834" s="14" t="s">
        <v>1710</v>
      </c>
      <c r="B834" s="15" t="s">
        <v>1711</v>
      </c>
      <c r="C834" s="16" t="s">
        <v>194</v>
      </c>
      <c r="D834" s="16"/>
      <c r="E834" s="160" t="s">
        <v>107</v>
      </c>
    </row>
    <row r="835" spans="1:5" ht="17.149999999999999" customHeight="1">
      <c r="A835" s="14" t="s">
        <v>1712</v>
      </c>
      <c r="B835" s="15" t="s">
        <v>1713</v>
      </c>
      <c r="C835" s="16" t="s">
        <v>88</v>
      </c>
      <c r="D835" s="16"/>
      <c r="E835" s="160" t="s">
        <v>8307</v>
      </c>
    </row>
    <row r="836" spans="1:5" ht="17.149999999999999" customHeight="1">
      <c r="A836" s="14" t="s">
        <v>1714</v>
      </c>
      <c r="B836" s="15" t="s">
        <v>1715</v>
      </c>
      <c r="C836" s="16" t="s">
        <v>88</v>
      </c>
      <c r="D836" s="16"/>
      <c r="E836" s="160" t="s">
        <v>5204</v>
      </c>
    </row>
    <row r="837" spans="1:5" ht="17.149999999999999" customHeight="1">
      <c r="A837" s="14" t="s">
        <v>1716</v>
      </c>
      <c r="B837" s="15" t="s">
        <v>1717</v>
      </c>
      <c r="C837" s="16" t="s">
        <v>194</v>
      </c>
      <c r="D837" s="16"/>
      <c r="E837" s="160" t="s">
        <v>4886</v>
      </c>
    </row>
    <row r="838" spans="1:5" ht="17.149999999999999" customHeight="1">
      <c r="A838" s="14" t="s">
        <v>1718</v>
      </c>
      <c r="B838" s="15" t="s">
        <v>1719</v>
      </c>
      <c r="C838" s="16" t="s">
        <v>194</v>
      </c>
      <c r="D838" s="16"/>
      <c r="E838" s="160" t="s">
        <v>4886</v>
      </c>
    </row>
    <row r="839" spans="1:5" ht="17.149999999999999" customHeight="1">
      <c r="A839" s="14" t="s">
        <v>1720</v>
      </c>
      <c r="B839" s="15" t="s">
        <v>1721</v>
      </c>
      <c r="C839" s="16">
        <v>0</v>
      </c>
      <c r="D839" s="16"/>
      <c r="E839" s="160" t="s">
        <v>5204</v>
      </c>
    </row>
    <row r="840" spans="1:5" ht="17.149999999999999" customHeight="1">
      <c r="A840" s="14" t="s">
        <v>1722</v>
      </c>
      <c r="B840" s="15" t="s">
        <v>1723</v>
      </c>
      <c r="C840" s="16" t="s">
        <v>194</v>
      </c>
      <c r="D840" s="16"/>
      <c r="E840" s="160" t="s">
        <v>8307</v>
      </c>
    </row>
    <row r="841" spans="1:5" ht="17.149999999999999" customHeight="1">
      <c r="A841" s="14" t="s">
        <v>1724</v>
      </c>
      <c r="B841" s="15" t="s">
        <v>1725</v>
      </c>
      <c r="C841" s="16" t="s">
        <v>254</v>
      </c>
      <c r="D841" s="16"/>
      <c r="E841" s="160" t="s">
        <v>8078</v>
      </c>
    </row>
    <row r="842" spans="1:5" ht="17.149999999999999" customHeight="1">
      <c r="A842" s="14" t="s">
        <v>1724</v>
      </c>
      <c r="B842" s="15" t="s">
        <v>1726</v>
      </c>
      <c r="C842" s="16" t="s">
        <v>88</v>
      </c>
      <c r="D842" s="16"/>
      <c r="E842" s="160" t="s">
        <v>8078</v>
      </c>
    </row>
    <row r="843" spans="1:5" ht="17.149999999999999" customHeight="1">
      <c r="A843" s="14" t="s">
        <v>1727</v>
      </c>
      <c r="B843" s="15" t="s">
        <v>1728</v>
      </c>
      <c r="C843" s="16" t="s">
        <v>194</v>
      </c>
      <c r="D843" s="16"/>
      <c r="E843" s="160" t="s">
        <v>8308</v>
      </c>
    </row>
    <row r="844" spans="1:5" ht="17.149999999999999" customHeight="1">
      <c r="A844" s="14" t="s">
        <v>1729</v>
      </c>
      <c r="B844" s="15" t="s">
        <v>1730</v>
      </c>
      <c r="C844" s="16" t="s">
        <v>194</v>
      </c>
      <c r="D844" s="16"/>
      <c r="E844" s="160" t="s">
        <v>4886</v>
      </c>
    </row>
    <row r="845" spans="1:5" ht="17.149999999999999" customHeight="1">
      <c r="A845" s="14" t="s">
        <v>1731</v>
      </c>
      <c r="B845" s="15" t="s">
        <v>1732</v>
      </c>
      <c r="C845" s="16" t="s">
        <v>88</v>
      </c>
      <c r="D845" s="16"/>
      <c r="E845" s="160" t="s">
        <v>5204</v>
      </c>
    </row>
    <row r="846" spans="1:5" ht="17.149999999999999" customHeight="1">
      <c r="A846" s="14" t="s">
        <v>1733</v>
      </c>
      <c r="B846" s="15" t="s">
        <v>1734</v>
      </c>
      <c r="C846" s="16" t="s">
        <v>90</v>
      </c>
      <c r="D846" s="16"/>
      <c r="E846" s="160" t="s">
        <v>5204</v>
      </c>
    </row>
    <row r="847" spans="1:5" ht="17.149999999999999" customHeight="1">
      <c r="A847" s="14" t="s">
        <v>1735</v>
      </c>
      <c r="B847" s="15" t="s">
        <v>1736</v>
      </c>
      <c r="C847" s="16" t="s">
        <v>194</v>
      </c>
      <c r="D847" s="16"/>
      <c r="E847" s="160" t="s">
        <v>5204</v>
      </c>
    </row>
    <row r="848" spans="1:5" ht="17.149999999999999" customHeight="1">
      <c r="A848" s="14" t="s">
        <v>1737</v>
      </c>
      <c r="B848" s="15" t="s">
        <v>1738</v>
      </c>
      <c r="C848" s="16" t="s">
        <v>88</v>
      </c>
      <c r="D848" s="16"/>
      <c r="E848" s="160" t="s">
        <v>6022</v>
      </c>
    </row>
    <row r="849" spans="1:5" ht="17.149999999999999" customHeight="1">
      <c r="A849" s="14" t="s">
        <v>1739</v>
      </c>
      <c r="B849" s="15" t="s">
        <v>1740</v>
      </c>
      <c r="C849" s="16" t="s">
        <v>93</v>
      </c>
      <c r="D849" s="16"/>
      <c r="E849" s="160" t="s">
        <v>5204</v>
      </c>
    </row>
    <row r="850" spans="1:5" ht="17.149999999999999" customHeight="1">
      <c r="A850" s="14" t="s">
        <v>1741</v>
      </c>
      <c r="B850" s="15" t="s">
        <v>1742</v>
      </c>
      <c r="C850" s="16" t="s">
        <v>93</v>
      </c>
      <c r="D850" s="16"/>
      <c r="E850" s="160" t="s">
        <v>5204</v>
      </c>
    </row>
    <row r="851" spans="1:5" ht="17.149999999999999" customHeight="1">
      <c r="A851" s="14" t="s">
        <v>1743</v>
      </c>
      <c r="B851" s="15" t="s">
        <v>1744</v>
      </c>
      <c r="C851" s="16" t="s">
        <v>93</v>
      </c>
      <c r="D851" s="16"/>
      <c r="E851" s="160" t="s">
        <v>5204</v>
      </c>
    </row>
    <row r="852" spans="1:5" ht="17.149999999999999" customHeight="1">
      <c r="A852" s="14" t="s">
        <v>1745</v>
      </c>
      <c r="B852" s="15" t="s">
        <v>1746</v>
      </c>
      <c r="C852" s="16" t="s">
        <v>194</v>
      </c>
      <c r="D852" s="16"/>
      <c r="E852" s="160" t="s">
        <v>5204</v>
      </c>
    </row>
    <row r="853" spans="1:5" ht="17.149999999999999" customHeight="1">
      <c r="A853" s="14" t="s">
        <v>1747</v>
      </c>
      <c r="B853" s="15" t="s">
        <v>1748</v>
      </c>
      <c r="C853" s="16" t="s">
        <v>88</v>
      </c>
      <c r="D853" s="16"/>
      <c r="E853" s="160" t="s">
        <v>8309</v>
      </c>
    </row>
    <row r="854" spans="1:5" ht="17.149999999999999" customHeight="1">
      <c r="A854" s="14" t="s">
        <v>1749</v>
      </c>
      <c r="B854" s="15" t="s">
        <v>1750</v>
      </c>
      <c r="C854" s="16" t="s">
        <v>88</v>
      </c>
      <c r="D854" s="16"/>
      <c r="E854" s="160" t="s">
        <v>8310</v>
      </c>
    </row>
    <row r="855" spans="1:5" ht="17.149999999999999" customHeight="1">
      <c r="A855" s="14" t="s">
        <v>1751</v>
      </c>
      <c r="B855" s="15" t="s">
        <v>1752</v>
      </c>
      <c r="C855" s="16" t="s">
        <v>194</v>
      </c>
      <c r="D855" s="16"/>
      <c r="E855" s="160" t="s">
        <v>4887</v>
      </c>
    </row>
    <row r="856" spans="1:5" ht="17.149999999999999" customHeight="1">
      <c r="A856" s="14" t="s">
        <v>1753</v>
      </c>
      <c r="B856" s="15" t="s">
        <v>1754</v>
      </c>
      <c r="C856" s="16" t="s">
        <v>194</v>
      </c>
      <c r="D856" s="16"/>
      <c r="E856" s="160" t="s">
        <v>4887</v>
      </c>
    </row>
    <row r="857" spans="1:5" ht="17.149999999999999" customHeight="1">
      <c r="A857" s="14" t="s">
        <v>1755</v>
      </c>
      <c r="B857" s="15" t="s">
        <v>1756</v>
      </c>
      <c r="C857" s="16">
        <v>0</v>
      </c>
      <c r="D857" s="16"/>
      <c r="E857" s="160" t="s">
        <v>8310</v>
      </c>
    </row>
    <row r="858" spans="1:5" ht="17.149999999999999" customHeight="1">
      <c r="A858" s="14" t="s">
        <v>1757</v>
      </c>
      <c r="B858" s="15" t="s">
        <v>1758</v>
      </c>
      <c r="C858" s="16" t="s">
        <v>194</v>
      </c>
      <c r="D858" s="16"/>
      <c r="E858" s="160" t="s">
        <v>4887</v>
      </c>
    </row>
    <row r="859" spans="1:5" ht="17.149999999999999" customHeight="1">
      <c r="A859" s="14" t="s">
        <v>1759</v>
      </c>
      <c r="B859" s="15" t="s">
        <v>1760</v>
      </c>
      <c r="C859" s="16" t="s">
        <v>194</v>
      </c>
      <c r="D859" s="16"/>
      <c r="E859" s="160" t="s">
        <v>8310</v>
      </c>
    </row>
    <row r="860" spans="1:5" ht="17.149999999999999" customHeight="1">
      <c r="A860" s="14" t="s">
        <v>1761</v>
      </c>
      <c r="B860" s="15" t="s">
        <v>1762</v>
      </c>
      <c r="C860" s="16" t="s">
        <v>89</v>
      </c>
      <c r="D860" s="16"/>
      <c r="E860" s="160" t="s">
        <v>8311</v>
      </c>
    </row>
    <row r="861" spans="1:5" ht="17.149999999999999" customHeight="1">
      <c r="A861" s="14" t="s">
        <v>1763</v>
      </c>
      <c r="B861" s="15" t="s">
        <v>1764</v>
      </c>
      <c r="C861" s="16" t="s">
        <v>89</v>
      </c>
      <c r="D861" s="16"/>
      <c r="E861" s="160" t="s">
        <v>4860</v>
      </c>
    </row>
    <row r="862" spans="1:5" ht="17.149999999999999" customHeight="1">
      <c r="A862" s="14" t="s">
        <v>1765</v>
      </c>
      <c r="B862" s="15" t="s">
        <v>1766</v>
      </c>
      <c r="C862" s="16" t="s">
        <v>89</v>
      </c>
      <c r="D862" s="16"/>
      <c r="E862" s="160" t="s">
        <v>8311</v>
      </c>
    </row>
    <row r="863" spans="1:5" ht="17.149999999999999" customHeight="1">
      <c r="A863" s="14" t="s">
        <v>1767</v>
      </c>
      <c r="B863" s="15" t="s">
        <v>1768</v>
      </c>
      <c r="C863" s="16" t="s">
        <v>89</v>
      </c>
      <c r="D863" s="16"/>
      <c r="E863" s="160" t="s">
        <v>4902</v>
      </c>
    </row>
    <row r="864" spans="1:5" ht="17.149999999999999" customHeight="1">
      <c r="A864" s="14" t="s">
        <v>1769</v>
      </c>
      <c r="B864" s="15" t="s">
        <v>1770</v>
      </c>
      <c r="C864" s="16" t="s">
        <v>89</v>
      </c>
      <c r="D864" s="16"/>
      <c r="E864" s="160" t="s">
        <v>8311</v>
      </c>
    </row>
    <row r="865" spans="1:5" ht="17.149999999999999" customHeight="1">
      <c r="A865" s="14" t="s">
        <v>1771</v>
      </c>
      <c r="B865" s="15" t="s">
        <v>1772</v>
      </c>
      <c r="C865" s="16" t="s">
        <v>89</v>
      </c>
      <c r="D865" s="16"/>
      <c r="E865" s="160" t="s">
        <v>4860</v>
      </c>
    </row>
    <row r="866" spans="1:5" ht="17.149999999999999" customHeight="1">
      <c r="A866" s="14" t="s">
        <v>1771</v>
      </c>
      <c r="B866" s="15" t="s">
        <v>1772</v>
      </c>
      <c r="C866" s="16" t="s">
        <v>89</v>
      </c>
      <c r="D866" s="16"/>
      <c r="E866" s="160" t="s">
        <v>4860</v>
      </c>
    </row>
    <row r="867" spans="1:5" ht="17.149999999999999" customHeight="1">
      <c r="A867" s="14" t="s">
        <v>1773</v>
      </c>
      <c r="B867" s="15" t="s">
        <v>1774</v>
      </c>
      <c r="C867" s="16" t="s">
        <v>89</v>
      </c>
      <c r="D867" s="16"/>
      <c r="E867" s="160" t="s">
        <v>4902</v>
      </c>
    </row>
    <row r="868" spans="1:5" ht="17.149999999999999" customHeight="1">
      <c r="A868" s="14" t="s">
        <v>1775</v>
      </c>
      <c r="B868" s="15" t="s">
        <v>1776</v>
      </c>
      <c r="C868" s="16" t="s">
        <v>90</v>
      </c>
      <c r="D868" s="16"/>
      <c r="E868" s="160" t="s">
        <v>8311</v>
      </c>
    </row>
    <row r="869" spans="1:5" ht="17.149999999999999" customHeight="1">
      <c r="A869" s="14" t="s">
        <v>1777</v>
      </c>
      <c r="B869" s="15" t="s">
        <v>1778</v>
      </c>
      <c r="C869" s="16" t="s">
        <v>89</v>
      </c>
      <c r="D869" s="16"/>
      <c r="E869" s="160" t="s">
        <v>4860</v>
      </c>
    </row>
    <row r="870" spans="1:5" ht="17.149999999999999" customHeight="1">
      <c r="A870" s="14" t="s">
        <v>1779</v>
      </c>
      <c r="B870" s="15" t="s">
        <v>1780</v>
      </c>
      <c r="C870" s="16" t="s">
        <v>88</v>
      </c>
      <c r="D870" s="16"/>
      <c r="E870" s="160" t="s">
        <v>8312</v>
      </c>
    </row>
    <row r="871" spans="1:5" ht="17.149999999999999" customHeight="1">
      <c r="A871" s="14" t="s">
        <v>1781</v>
      </c>
      <c r="B871" s="15" t="s">
        <v>1782</v>
      </c>
      <c r="C871" s="16" t="s">
        <v>194</v>
      </c>
      <c r="D871" s="16"/>
      <c r="E871" s="160" t="s">
        <v>8313</v>
      </c>
    </row>
    <row r="872" spans="1:5" ht="17.149999999999999" customHeight="1">
      <c r="A872" s="14" t="s">
        <v>1783</v>
      </c>
      <c r="B872" s="15" t="s">
        <v>1784</v>
      </c>
      <c r="C872" s="16" t="s">
        <v>194</v>
      </c>
      <c r="D872" s="16"/>
      <c r="E872" s="160" t="s">
        <v>8314</v>
      </c>
    </row>
    <row r="873" spans="1:5" ht="17.149999999999999" customHeight="1">
      <c r="A873" s="14" t="s">
        <v>1783</v>
      </c>
      <c r="B873" s="15" t="s">
        <v>1784</v>
      </c>
      <c r="C873" s="16" t="s">
        <v>194</v>
      </c>
      <c r="D873" s="16"/>
      <c r="E873" s="160" t="s">
        <v>8314</v>
      </c>
    </row>
    <row r="874" spans="1:5" ht="17.149999999999999" customHeight="1">
      <c r="A874" s="14" t="s">
        <v>1785</v>
      </c>
      <c r="B874" s="15" t="s">
        <v>1786</v>
      </c>
      <c r="C874" s="16">
        <v>0</v>
      </c>
      <c r="D874" s="16"/>
      <c r="E874" s="160" t="s">
        <v>8314</v>
      </c>
    </row>
    <row r="875" spans="1:5" ht="17.149999999999999" customHeight="1">
      <c r="A875" s="14" t="s">
        <v>1787</v>
      </c>
      <c r="B875" s="15" t="s">
        <v>1788</v>
      </c>
      <c r="C875" s="16">
        <v>0</v>
      </c>
      <c r="D875" s="16"/>
      <c r="E875" s="160" t="s">
        <v>8312</v>
      </c>
    </row>
    <row r="876" spans="1:5" ht="17.149999999999999" customHeight="1">
      <c r="A876" s="14" t="s">
        <v>1789</v>
      </c>
      <c r="B876" s="15" t="s">
        <v>1790</v>
      </c>
      <c r="C876" s="16" t="s">
        <v>90</v>
      </c>
      <c r="D876" s="16"/>
      <c r="E876" s="160" t="s">
        <v>8315</v>
      </c>
    </row>
    <row r="877" spans="1:5" ht="17.149999999999999" customHeight="1">
      <c r="A877" s="14" t="s">
        <v>1791</v>
      </c>
      <c r="B877" s="15" t="s">
        <v>1792</v>
      </c>
      <c r="C877" s="16" t="s">
        <v>1793</v>
      </c>
      <c r="D877" s="16"/>
      <c r="E877" s="160" t="s">
        <v>6117</v>
      </c>
    </row>
    <row r="878" spans="1:5" ht="17.149999999999999" customHeight="1">
      <c r="A878" s="14" t="s">
        <v>1794</v>
      </c>
      <c r="B878" s="15" t="s">
        <v>1795</v>
      </c>
      <c r="C878" s="16" t="s">
        <v>88</v>
      </c>
      <c r="D878" s="16"/>
      <c r="E878" s="160" t="s">
        <v>6117</v>
      </c>
    </row>
    <row r="879" spans="1:5" ht="17.149999999999999" customHeight="1">
      <c r="A879" s="14" t="s">
        <v>1796</v>
      </c>
      <c r="B879" s="15" t="s">
        <v>1797</v>
      </c>
      <c r="C879" s="16" t="s">
        <v>88</v>
      </c>
      <c r="D879" s="16"/>
      <c r="E879" s="160" t="s">
        <v>8316</v>
      </c>
    </row>
    <row r="880" spans="1:5" ht="17.149999999999999" customHeight="1">
      <c r="A880" s="14" t="s">
        <v>1798</v>
      </c>
      <c r="B880" s="15" t="s">
        <v>1799</v>
      </c>
      <c r="C880" s="16" t="s">
        <v>194</v>
      </c>
      <c r="D880" s="16"/>
      <c r="E880" s="160" t="s">
        <v>8317</v>
      </c>
    </row>
    <row r="881" spans="1:5" ht="17.149999999999999" customHeight="1">
      <c r="A881" s="14" t="s">
        <v>1800</v>
      </c>
      <c r="B881" s="15" t="s">
        <v>1801</v>
      </c>
      <c r="C881" s="16" t="s">
        <v>194</v>
      </c>
      <c r="D881" s="16"/>
      <c r="E881" s="160" t="s">
        <v>8318</v>
      </c>
    </row>
    <row r="882" spans="1:5" ht="17.149999999999999" customHeight="1">
      <c r="A882" s="14" t="s">
        <v>1800</v>
      </c>
      <c r="B882" s="15" t="s">
        <v>1801</v>
      </c>
      <c r="C882" s="16" t="s">
        <v>194</v>
      </c>
      <c r="D882" s="16"/>
      <c r="E882" s="160" t="s">
        <v>8318</v>
      </c>
    </row>
    <row r="883" spans="1:5" ht="17.149999999999999" customHeight="1">
      <c r="A883" s="14" t="s">
        <v>1802</v>
      </c>
      <c r="B883" s="15" t="s">
        <v>1803</v>
      </c>
      <c r="C883" s="16">
        <v>0</v>
      </c>
      <c r="D883" s="16"/>
      <c r="E883" s="160" t="s">
        <v>8318</v>
      </c>
    </row>
    <row r="884" spans="1:5" ht="17.149999999999999" customHeight="1">
      <c r="A884" s="14" t="s">
        <v>1804</v>
      </c>
      <c r="B884" s="15" t="s">
        <v>1805</v>
      </c>
      <c r="C884" s="16">
        <v>0</v>
      </c>
      <c r="D884" s="16"/>
      <c r="E884" s="160" t="s">
        <v>8316</v>
      </c>
    </row>
    <row r="885" spans="1:5" ht="17.149999999999999" customHeight="1">
      <c r="A885" s="14" t="s">
        <v>1806</v>
      </c>
      <c r="B885" s="15" t="s">
        <v>1807</v>
      </c>
      <c r="C885" s="16" t="s">
        <v>91</v>
      </c>
      <c r="D885" s="16"/>
      <c r="E885" s="160" t="s">
        <v>5232</v>
      </c>
    </row>
    <row r="886" spans="1:5" ht="17.149999999999999" customHeight="1">
      <c r="A886" s="14" t="s">
        <v>1806</v>
      </c>
      <c r="B886" s="15" t="s">
        <v>1807</v>
      </c>
      <c r="C886" s="16" t="s">
        <v>91</v>
      </c>
      <c r="D886" s="16"/>
      <c r="E886" s="160" t="s">
        <v>5232</v>
      </c>
    </row>
    <row r="887" spans="1:5" ht="17.149999999999999" customHeight="1">
      <c r="A887" s="14" t="s">
        <v>1808</v>
      </c>
      <c r="B887" s="15" t="s">
        <v>1809</v>
      </c>
      <c r="C887" s="16">
        <v>0</v>
      </c>
      <c r="D887" s="16"/>
      <c r="E887" s="160" t="s">
        <v>5018</v>
      </c>
    </row>
    <row r="888" spans="1:5" ht="17.149999999999999" customHeight="1">
      <c r="A888" s="14" t="s">
        <v>1810</v>
      </c>
      <c r="B888" s="15" t="s">
        <v>1811</v>
      </c>
      <c r="C888" s="16">
        <v>0</v>
      </c>
      <c r="D888" s="16"/>
      <c r="E888" s="160" t="s">
        <v>5018</v>
      </c>
    </row>
    <row r="889" spans="1:5" ht="17.149999999999999" customHeight="1">
      <c r="A889" s="14" t="s">
        <v>1812</v>
      </c>
      <c r="B889" s="15" t="s">
        <v>1813</v>
      </c>
      <c r="C889" s="16" t="s">
        <v>88</v>
      </c>
      <c r="D889" s="16"/>
      <c r="E889" s="160" t="s">
        <v>5018</v>
      </c>
    </row>
    <row r="890" spans="1:5" ht="17.149999999999999" customHeight="1">
      <c r="A890" s="14" t="s">
        <v>1814</v>
      </c>
      <c r="B890" s="15" t="s">
        <v>1815</v>
      </c>
      <c r="C890" s="16">
        <v>0</v>
      </c>
      <c r="D890" s="16"/>
      <c r="E890" s="160" t="s">
        <v>5018</v>
      </c>
    </row>
    <row r="891" spans="1:5" ht="17.149999999999999" customHeight="1">
      <c r="A891" s="14" t="s">
        <v>1816</v>
      </c>
      <c r="B891" s="15" t="s">
        <v>1817</v>
      </c>
      <c r="C891" s="16">
        <v>0</v>
      </c>
      <c r="D891" s="16"/>
      <c r="E891" s="160" t="s">
        <v>5018</v>
      </c>
    </row>
    <row r="892" spans="1:5" ht="17.149999999999999" customHeight="1">
      <c r="A892" s="14" t="s">
        <v>1818</v>
      </c>
      <c r="B892" s="15" t="s">
        <v>1819</v>
      </c>
      <c r="C892" s="16">
        <v>0</v>
      </c>
      <c r="D892" s="16"/>
      <c r="E892" s="160" t="s">
        <v>5018</v>
      </c>
    </row>
    <row r="893" spans="1:5" ht="17.149999999999999" customHeight="1">
      <c r="A893" s="14" t="s">
        <v>1820</v>
      </c>
      <c r="B893" s="15" t="s">
        <v>1821</v>
      </c>
      <c r="C893" s="16" t="s">
        <v>88</v>
      </c>
      <c r="D893" s="16"/>
      <c r="E893" s="160" t="s">
        <v>5018</v>
      </c>
    </row>
    <row r="894" spans="1:5" ht="17.149999999999999" customHeight="1">
      <c r="A894" s="14" t="s">
        <v>1822</v>
      </c>
      <c r="B894" s="15" t="s">
        <v>1823</v>
      </c>
      <c r="C894" s="16">
        <v>0</v>
      </c>
      <c r="D894" s="16"/>
      <c r="E894" s="160" t="s">
        <v>5018</v>
      </c>
    </row>
    <row r="895" spans="1:5" ht="17.149999999999999" customHeight="1">
      <c r="A895" s="14" t="s">
        <v>1824</v>
      </c>
      <c r="B895" s="15" t="s">
        <v>1825</v>
      </c>
      <c r="C895" s="16">
        <v>0</v>
      </c>
      <c r="D895" s="16"/>
      <c r="E895" s="160" t="s">
        <v>5676</v>
      </c>
    </row>
    <row r="896" spans="1:5" ht="17.149999999999999" customHeight="1">
      <c r="A896" s="14" t="s">
        <v>1826</v>
      </c>
      <c r="B896" s="15" t="s">
        <v>1827</v>
      </c>
      <c r="C896" s="16">
        <v>0</v>
      </c>
      <c r="D896" s="16"/>
      <c r="E896" s="160" t="s">
        <v>5676</v>
      </c>
    </row>
    <row r="897" spans="1:5" ht="17.149999999999999" customHeight="1">
      <c r="A897" s="14" t="s">
        <v>1828</v>
      </c>
      <c r="B897" s="15" t="s">
        <v>1829</v>
      </c>
      <c r="C897" s="16" t="s">
        <v>88</v>
      </c>
      <c r="D897" s="16"/>
      <c r="E897" s="160" t="s">
        <v>5676</v>
      </c>
    </row>
    <row r="898" spans="1:5" ht="17.149999999999999" customHeight="1">
      <c r="A898" s="14" t="s">
        <v>1830</v>
      </c>
      <c r="B898" s="15" t="s">
        <v>1831</v>
      </c>
      <c r="C898" s="16" t="s">
        <v>92</v>
      </c>
      <c r="D898" s="16"/>
      <c r="E898" s="160" t="s">
        <v>5641</v>
      </c>
    </row>
    <row r="899" spans="1:5" ht="17.149999999999999" customHeight="1">
      <c r="A899" s="14" t="s">
        <v>1830</v>
      </c>
      <c r="B899" s="15" t="s">
        <v>1831</v>
      </c>
      <c r="C899" s="16" t="s">
        <v>92</v>
      </c>
      <c r="D899" s="16"/>
      <c r="E899" s="160" t="s">
        <v>5641</v>
      </c>
    </row>
    <row r="900" spans="1:5" ht="17.149999999999999" customHeight="1">
      <c r="A900" s="14" t="s">
        <v>1832</v>
      </c>
      <c r="B900" s="15" t="s">
        <v>1833</v>
      </c>
      <c r="C900" s="16" t="s">
        <v>259</v>
      </c>
      <c r="D900" s="16"/>
      <c r="E900" s="160" t="s">
        <v>5674</v>
      </c>
    </row>
    <row r="901" spans="1:5" ht="17.149999999999999" customHeight="1">
      <c r="A901" s="14" t="s">
        <v>1834</v>
      </c>
      <c r="B901" s="15" t="s">
        <v>1835</v>
      </c>
      <c r="C901" s="16" t="s">
        <v>259</v>
      </c>
      <c r="D901" s="16"/>
      <c r="E901" s="160" t="s">
        <v>8319</v>
      </c>
    </row>
    <row r="902" spans="1:5" ht="17.149999999999999" customHeight="1">
      <c r="A902" s="14" t="s">
        <v>1836</v>
      </c>
      <c r="B902" s="15" t="s">
        <v>1837</v>
      </c>
      <c r="C902" s="16" t="s">
        <v>259</v>
      </c>
      <c r="D902" s="16"/>
      <c r="E902" s="160" t="s">
        <v>5675</v>
      </c>
    </row>
    <row r="903" spans="1:5" ht="17.149999999999999" customHeight="1">
      <c r="A903" s="14" t="s">
        <v>1838</v>
      </c>
      <c r="B903" s="15" t="s">
        <v>1839</v>
      </c>
      <c r="C903" s="16" t="s">
        <v>259</v>
      </c>
      <c r="D903" s="16"/>
      <c r="E903" s="160" t="s">
        <v>8320</v>
      </c>
    </row>
    <row r="904" spans="1:5" ht="17.149999999999999" customHeight="1">
      <c r="A904" s="14" t="s">
        <v>1840</v>
      </c>
      <c r="B904" s="15" t="s">
        <v>1841</v>
      </c>
      <c r="C904" s="16" t="s">
        <v>93</v>
      </c>
      <c r="D904" s="16"/>
      <c r="E904" s="160" t="s">
        <v>8321</v>
      </c>
    </row>
    <row r="905" spans="1:5" ht="17.149999999999999" customHeight="1">
      <c r="A905" s="14" t="s">
        <v>1842</v>
      </c>
      <c r="B905" s="15" t="s">
        <v>1843</v>
      </c>
      <c r="C905" s="16" t="s">
        <v>93</v>
      </c>
      <c r="D905" s="16"/>
      <c r="E905" s="160" t="s">
        <v>8322</v>
      </c>
    </row>
    <row r="906" spans="1:5" ht="17.149999999999999" customHeight="1">
      <c r="A906" s="14" t="s">
        <v>1844</v>
      </c>
      <c r="B906" s="15" t="s">
        <v>1845</v>
      </c>
      <c r="C906" s="16" t="s">
        <v>254</v>
      </c>
      <c r="D906" s="16"/>
      <c r="E906" s="160" t="s">
        <v>8323</v>
      </c>
    </row>
    <row r="907" spans="1:5" ht="17.149999999999999" customHeight="1">
      <c r="A907" s="14" t="s">
        <v>1846</v>
      </c>
      <c r="B907" s="15" t="s">
        <v>1847</v>
      </c>
      <c r="C907" s="16" t="s">
        <v>254</v>
      </c>
      <c r="D907" s="16"/>
      <c r="E907" s="160" t="s">
        <v>8323</v>
      </c>
    </row>
    <row r="908" spans="1:5" ht="17.149999999999999" customHeight="1">
      <c r="A908" s="14" t="s">
        <v>1848</v>
      </c>
      <c r="B908" s="15" t="s">
        <v>1849</v>
      </c>
      <c r="C908" s="16" t="s">
        <v>90</v>
      </c>
      <c r="D908" s="16"/>
      <c r="E908" s="160" t="s">
        <v>8324</v>
      </c>
    </row>
    <row r="909" spans="1:5" ht="17.149999999999999" customHeight="1">
      <c r="A909" s="14" t="s">
        <v>1850</v>
      </c>
      <c r="B909" s="15" t="s">
        <v>1851</v>
      </c>
      <c r="C909" s="16" t="s">
        <v>775</v>
      </c>
      <c r="D909" s="16"/>
      <c r="E909" s="160" t="s">
        <v>4909</v>
      </c>
    </row>
    <row r="910" spans="1:5" ht="17.149999999999999" customHeight="1">
      <c r="A910" s="14" t="s">
        <v>1850</v>
      </c>
      <c r="B910" s="15" t="s">
        <v>1851</v>
      </c>
      <c r="C910" s="16" t="s">
        <v>775</v>
      </c>
      <c r="D910" s="16"/>
      <c r="E910" s="160" t="s">
        <v>4909</v>
      </c>
    </row>
    <row r="911" spans="1:5" ht="17.149999999999999" customHeight="1">
      <c r="A911" s="14" t="s">
        <v>1852</v>
      </c>
      <c r="B911" s="15" t="s">
        <v>1853</v>
      </c>
      <c r="C911" s="16" t="s">
        <v>775</v>
      </c>
      <c r="D911" s="16"/>
      <c r="E911" s="160" t="s">
        <v>8325</v>
      </c>
    </row>
    <row r="912" spans="1:5" ht="17.149999999999999" customHeight="1">
      <c r="A912" s="14" t="s">
        <v>1852</v>
      </c>
      <c r="B912" s="15" t="s">
        <v>1853</v>
      </c>
      <c r="C912" s="16" t="s">
        <v>775</v>
      </c>
      <c r="D912" s="16"/>
      <c r="E912" s="160" t="s">
        <v>8325</v>
      </c>
    </row>
    <row r="913" spans="1:5" ht="17.149999999999999" customHeight="1">
      <c r="A913" s="14" t="s">
        <v>1854</v>
      </c>
      <c r="B913" s="15" t="s">
        <v>1855</v>
      </c>
      <c r="C913" s="16" t="s">
        <v>90</v>
      </c>
      <c r="D913" s="16"/>
      <c r="E913" s="160" t="s">
        <v>8326</v>
      </c>
    </row>
    <row r="914" spans="1:5" ht="17.149999999999999" customHeight="1">
      <c r="A914" s="14" t="s">
        <v>1856</v>
      </c>
      <c r="B914" s="15" t="s">
        <v>1857</v>
      </c>
      <c r="C914" s="16" t="s">
        <v>775</v>
      </c>
      <c r="D914" s="16"/>
      <c r="E914" s="160" t="s">
        <v>4910</v>
      </c>
    </row>
    <row r="915" spans="1:5" ht="17.149999999999999" customHeight="1">
      <c r="A915" s="14" t="s">
        <v>1856</v>
      </c>
      <c r="B915" s="15" t="s">
        <v>1857</v>
      </c>
      <c r="C915" s="16" t="s">
        <v>775</v>
      </c>
      <c r="D915" s="16"/>
      <c r="E915" s="160" t="s">
        <v>4910</v>
      </c>
    </row>
    <row r="916" spans="1:5" ht="17.149999999999999" customHeight="1">
      <c r="A916" s="14" t="s">
        <v>1858</v>
      </c>
      <c r="B916" s="15" t="s">
        <v>1859</v>
      </c>
      <c r="C916" s="16" t="s">
        <v>775</v>
      </c>
      <c r="D916" s="16"/>
      <c r="E916" s="160" t="s">
        <v>8327</v>
      </c>
    </row>
    <row r="917" spans="1:5" ht="17.149999999999999" customHeight="1">
      <c r="A917" s="14" t="s">
        <v>1858</v>
      </c>
      <c r="B917" s="15" t="s">
        <v>1859</v>
      </c>
      <c r="C917" s="16" t="s">
        <v>775</v>
      </c>
      <c r="D917" s="16"/>
      <c r="E917" s="160" t="s">
        <v>8327</v>
      </c>
    </row>
    <row r="918" spans="1:5" ht="17.149999999999999" customHeight="1">
      <c r="A918" s="14" t="s">
        <v>1860</v>
      </c>
      <c r="B918" s="15" t="s">
        <v>1861</v>
      </c>
      <c r="C918" s="16" t="s">
        <v>254</v>
      </c>
      <c r="D918" s="16"/>
      <c r="E918" s="160" t="s">
        <v>8328</v>
      </c>
    </row>
    <row r="919" spans="1:5" ht="17.149999999999999" customHeight="1">
      <c r="A919" s="14" t="s">
        <v>1862</v>
      </c>
      <c r="B919" s="15" t="s">
        <v>1863</v>
      </c>
      <c r="C919" s="16" t="s">
        <v>254</v>
      </c>
      <c r="D919" s="16"/>
      <c r="E919" s="160" t="s">
        <v>8328</v>
      </c>
    </row>
    <row r="920" spans="1:5" ht="17.149999999999999" customHeight="1">
      <c r="A920" s="14" t="s">
        <v>1864</v>
      </c>
      <c r="B920" s="15" t="s">
        <v>1865</v>
      </c>
      <c r="C920" s="16" t="s">
        <v>88</v>
      </c>
      <c r="D920" s="16"/>
      <c r="E920" s="160" t="s">
        <v>109</v>
      </c>
    </row>
    <row r="921" spans="1:5" ht="17.149999999999999" customHeight="1">
      <c r="A921" s="14" t="s">
        <v>1866</v>
      </c>
      <c r="B921" s="15" t="s">
        <v>1867</v>
      </c>
      <c r="C921" s="16" t="s">
        <v>88</v>
      </c>
      <c r="D921" s="16"/>
      <c r="E921" s="160" t="s">
        <v>109</v>
      </c>
    </row>
    <row r="922" spans="1:5" ht="17.149999999999999" customHeight="1">
      <c r="A922" s="14" t="s">
        <v>1868</v>
      </c>
      <c r="B922" s="15" t="s">
        <v>1869</v>
      </c>
      <c r="C922" s="16" t="s">
        <v>90</v>
      </c>
      <c r="D922" s="16"/>
      <c r="E922" s="160" t="s">
        <v>8329</v>
      </c>
    </row>
    <row r="923" spans="1:5" ht="17.149999999999999" customHeight="1">
      <c r="A923" s="14" t="s">
        <v>1870</v>
      </c>
      <c r="B923" s="15" t="s">
        <v>1871</v>
      </c>
      <c r="C923" s="16" t="s">
        <v>90</v>
      </c>
      <c r="D923" s="16"/>
      <c r="E923" s="160" t="s">
        <v>8330</v>
      </c>
    </row>
    <row r="924" spans="1:5" ht="17.149999999999999" customHeight="1">
      <c r="A924" s="14" t="s">
        <v>1872</v>
      </c>
      <c r="B924" s="15" t="s">
        <v>1873</v>
      </c>
      <c r="C924" s="16" t="s">
        <v>90</v>
      </c>
      <c r="D924" s="16"/>
      <c r="E924" s="160" t="s">
        <v>8329</v>
      </c>
    </row>
    <row r="925" spans="1:5" ht="17.149999999999999" customHeight="1">
      <c r="A925" s="14" t="s">
        <v>39</v>
      </c>
      <c r="B925" s="15" t="s">
        <v>77</v>
      </c>
      <c r="C925" s="16" t="s">
        <v>90</v>
      </c>
      <c r="D925" s="16"/>
      <c r="E925" s="160" t="s">
        <v>8330</v>
      </c>
    </row>
    <row r="926" spans="1:5" ht="17.149999999999999" customHeight="1">
      <c r="A926" s="14" t="s">
        <v>1874</v>
      </c>
      <c r="B926" s="15" t="s">
        <v>1875</v>
      </c>
      <c r="C926" s="16" t="s">
        <v>88</v>
      </c>
      <c r="D926" s="16"/>
      <c r="E926" s="160" t="s">
        <v>6143</v>
      </c>
    </row>
    <row r="927" spans="1:5" ht="17.149999999999999" customHeight="1">
      <c r="A927" s="14" t="s">
        <v>1876</v>
      </c>
      <c r="B927" s="15" t="s">
        <v>1877</v>
      </c>
      <c r="C927" s="16" t="s">
        <v>88</v>
      </c>
      <c r="D927" s="16"/>
      <c r="E927" s="160" t="s">
        <v>6143</v>
      </c>
    </row>
    <row r="928" spans="1:5" ht="17.149999999999999" customHeight="1">
      <c r="A928" s="14" t="s">
        <v>1878</v>
      </c>
      <c r="B928" s="15" t="s">
        <v>1879</v>
      </c>
      <c r="C928" s="16" t="s">
        <v>90</v>
      </c>
      <c r="D928" s="16"/>
      <c r="E928" s="160" t="s">
        <v>108</v>
      </c>
    </row>
    <row r="929" spans="1:5" ht="17.149999999999999" customHeight="1">
      <c r="A929" s="14" t="s">
        <v>1880</v>
      </c>
      <c r="B929" s="15" t="s">
        <v>1881</v>
      </c>
      <c r="C929" s="16" t="s">
        <v>90</v>
      </c>
      <c r="D929" s="16"/>
      <c r="E929" s="160" t="s">
        <v>108</v>
      </c>
    </row>
    <row r="930" spans="1:5" ht="17.149999999999999" customHeight="1">
      <c r="A930" s="14" t="s">
        <v>1882</v>
      </c>
      <c r="B930" s="15" t="s">
        <v>1883</v>
      </c>
      <c r="C930" s="16">
        <v>0</v>
      </c>
      <c r="D930" s="16"/>
      <c r="E930" s="160" t="s">
        <v>8331</v>
      </c>
    </row>
    <row r="931" spans="1:5" ht="17.149999999999999" customHeight="1">
      <c r="A931" s="14" t="s">
        <v>1884</v>
      </c>
      <c r="B931" s="15" t="s">
        <v>1885</v>
      </c>
      <c r="C931" s="16">
        <v>0</v>
      </c>
      <c r="D931" s="16"/>
      <c r="E931" s="160" t="s">
        <v>5103</v>
      </c>
    </row>
    <row r="932" spans="1:5" ht="17.149999999999999" customHeight="1">
      <c r="A932" s="14" t="s">
        <v>1886</v>
      </c>
      <c r="B932" s="15" t="s">
        <v>1887</v>
      </c>
      <c r="C932" s="16" t="s">
        <v>1888</v>
      </c>
      <c r="D932" s="16"/>
      <c r="E932" s="160" t="s">
        <v>7613</v>
      </c>
    </row>
    <row r="933" spans="1:5" ht="17.149999999999999" customHeight="1">
      <c r="A933" s="14" t="s">
        <v>1889</v>
      </c>
      <c r="B933" s="15" t="s">
        <v>1890</v>
      </c>
      <c r="C933" s="16">
        <v>0</v>
      </c>
      <c r="D933" s="16"/>
      <c r="E933" s="160" t="s">
        <v>5103</v>
      </c>
    </row>
    <row r="934" spans="1:5" ht="17.149999999999999" customHeight="1">
      <c r="A934" s="14" t="s">
        <v>1891</v>
      </c>
      <c r="B934" s="15" t="s">
        <v>1892</v>
      </c>
      <c r="C934" s="16">
        <v>0</v>
      </c>
      <c r="D934" s="16"/>
      <c r="E934" s="160" t="s">
        <v>5103</v>
      </c>
    </row>
    <row r="935" spans="1:5" ht="17.149999999999999" customHeight="1">
      <c r="A935" s="14" t="s">
        <v>1893</v>
      </c>
      <c r="B935" s="15" t="s">
        <v>1894</v>
      </c>
      <c r="C935" s="16">
        <v>0</v>
      </c>
      <c r="D935" s="16"/>
      <c r="E935" s="160" t="s">
        <v>5103</v>
      </c>
    </row>
    <row r="936" spans="1:5" ht="17.149999999999999" customHeight="1">
      <c r="A936" s="14" t="s">
        <v>1895</v>
      </c>
      <c r="B936" s="15" t="s">
        <v>1896</v>
      </c>
      <c r="C936" s="16" t="s">
        <v>1888</v>
      </c>
      <c r="D936" s="16"/>
      <c r="E936" s="160" t="s">
        <v>7613</v>
      </c>
    </row>
    <row r="937" spans="1:5" ht="17.149999999999999" customHeight="1">
      <c r="A937" s="14" t="s">
        <v>1897</v>
      </c>
      <c r="B937" s="15" t="s">
        <v>1898</v>
      </c>
      <c r="C937" s="16">
        <v>0</v>
      </c>
      <c r="D937" s="16"/>
      <c r="E937" s="160" t="s">
        <v>5103</v>
      </c>
    </row>
    <row r="938" spans="1:5" ht="17.149999999999999" customHeight="1">
      <c r="A938" s="14" t="s">
        <v>1899</v>
      </c>
      <c r="B938" s="15" t="s">
        <v>1900</v>
      </c>
      <c r="C938" s="16" t="s">
        <v>1888</v>
      </c>
      <c r="D938" s="16"/>
      <c r="E938" s="160" t="s">
        <v>7613</v>
      </c>
    </row>
    <row r="939" spans="1:5" ht="17.149999999999999" customHeight="1">
      <c r="A939" s="14" t="s">
        <v>1901</v>
      </c>
      <c r="B939" s="15" t="s">
        <v>1902</v>
      </c>
      <c r="C939" s="16">
        <v>0</v>
      </c>
      <c r="D939" s="16"/>
      <c r="E939" s="160" t="s">
        <v>5103</v>
      </c>
    </row>
    <row r="940" spans="1:5" ht="17.149999999999999" customHeight="1">
      <c r="A940" s="14" t="s">
        <v>1903</v>
      </c>
      <c r="B940" s="15" t="s">
        <v>1904</v>
      </c>
      <c r="C940" s="16">
        <v>0</v>
      </c>
      <c r="D940" s="16"/>
      <c r="E940" s="160" t="s">
        <v>6942</v>
      </c>
    </row>
    <row r="941" spans="1:5" ht="17.149999999999999" customHeight="1">
      <c r="A941" s="14" t="s">
        <v>1905</v>
      </c>
      <c r="B941" s="15" t="s">
        <v>1906</v>
      </c>
      <c r="C941" s="16">
        <v>0</v>
      </c>
      <c r="D941" s="16"/>
      <c r="E941" s="160" t="s">
        <v>6954</v>
      </c>
    </row>
    <row r="942" spans="1:5" ht="17.149999999999999" customHeight="1">
      <c r="A942" s="14" t="s">
        <v>1907</v>
      </c>
      <c r="B942" s="15" t="s">
        <v>1908</v>
      </c>
      <c r="C942" s="16" t="s">
        <v>1888</v>
      </c>
      <c r="D942" s="16"/>
      <c r="E942" s="160" t="s">
        <v>7613</v>
      </c>
    </row>
    <row r="943" spans="1:5" ht="17.149999999999999" customHeight="1">
      <c r="A943" s="14" t="s">
        <v>1909</v>
      </c>
      <c r="B943" s="15" t="s">
        <v>1910</v>
      </c>
      <c r="C943" s="16">
        <v>0</v>
      </c>
      <c r="D943" s="16"/>
      <c r="E943" s="160" t="s">
        <v>6744</v>
      </c>
    </row>
    <row r="944" spans="1:5" ht="17.149999999999999" customHeight="1">
      <c r="A944" s="14" t="s">
        <v>1911</v>
      </c>
      <c r="B944" s="15" t="s">
        <v>1912</v>
      </c>
      <c r="C944" s="16" t="s">
        <v>1888</v>
      </c>
      <c r="D944" s="16"/>
      <c r="E944" s="160" t="s">
        <v>7613</v>
      </c>
    </row>
    <row r="945" spans="1:5" ht="17.149999999999999" customHeight="1">
      <c r="A945" s="14" t="s">
        <v>1913</v>
      </c>
      <c r="B945" s="15" t="s">
        <v>1914</v>
      </c>
      <c r="C945" s="16" t="s">
        <v>1888</v>
      </c>
      <c r="D945" s="16"/>
      <c r="E945" s="160" t="s">
        <v>7613</v>
      </c>
    </row>
    <row r="946" spans="1:5" ht="17.149999999999999" customHeight="1">
      <c r="A946" s="14" t="s">
        <v>1915</v>
      </c>
      <c r="B946" s="15" t="s">
        <v>1916</v>
      </c>
      <c r="C946" s="16" t="s">
        <v>91</v>
      </c>
      <c r="D946" s="16"/>
      <c r="E946" s="160" t="s">
        <v>8332</v>
      </c>
    </row>
    <row r="947" spans="1:5" ht="17.149999999999999" customHeight="1">
      <c r="A947" s="14" t="s">
        <v>1917</v>
      </c>
      <c r="B947" s="15" t="s">
        <v>1918</v>
      </c>
      <c r="C947" s="16" t="s">
        <v>123</v>
      </c>
      <c r="D947" s="16"/>
      <c r="E947" s="160" t="s">
        <v>112</v>
      </c>
    </row>
    <row r="948" spans="1:5" ht="17.149999999999999" customHeight="1">
      <c r="A948" s="14" t="s">
        <v>1919</v>
      </c>
      <c r="B948" s="15" t="s">
        <v>1920</v>
      </c>
      <c r="C948" s="16" t="s">
        <v>90</v>
      </c>
      <c r="D948" s="16"/>
      <c r="E948" s="160" t="s">
        <v>8333</v>
      </c>
    </row>
    <row r="949" spans="1:5" ht="17.149999999999999" customHeight="1">
      <c r="A949" s="14" t="s">
        <v>1921</v>
      </c>
      <c r="B949" s="15" t="s">
        <v>1922</v>
      </c>
      <c r="C949" s="16" t="s">
        <v>90</v>
      </c>
      <c r="D949" s="16"/>
      <c r="E949" s="160" t="s">
        <v>8334</v>
      </c>
    </row>
    <row r="950" spans="1:5" ht="17.149999999999999" customHeight="1">
      <c r="A950" s="14" t="s">
        <v>1923</v>
      </c>
      <c r="B950" s="15" t="s">
        <v>1924</v>
      </c>
      <c r="C950" s="16" t="s">
        <v>90</v>
      </c>
      <c r="D950" s="16"/>
      <c r="E950" s="160" t="s">
        <v>8334</v>
      </c>
    </row>
    <row r="951" spans="1:5" ht="17.149999999999999" customHeight="1">
      <c r="A951" s="14" t="s">
        <v>1925</v>
      </c>
      <c r="B951" s="15" t="s">
        <v>1926</v>
      </c>
      <c r="C951" s="16" t="s">
        <v>194</v>
      </c>
      <c r="D951" s="16"/>
      <c r="E951" s="160" t="s">
        <v>4933</v>
      </c>
    </row>
    <row r="952" spans="1:5" ht="17.149999999999999" customHeight="1">
      <c r="A952" s="14" t="s">
        <v>1927</v>
      </c>
      <c r="B952" s="15" t="s">
        <v>1928</v>
      </c>
      <c r="C952" s="16" t="s">
        <v>194</v>
      </c>
      <c r="D952" s="16"/>
      <c r="E952" s="160" t="s">
        <v>4845</v>
      </c>
    </row>
    <row r="953" spans="1:5" ht="17.149999999999999" customHeight="1">
      <c r="A953" s="14" t="s">
        <v>1927</v>
      </c>
      <c r="B953" s="15" t="s">
        <v>1928</v>
      </c>
      <c r="C953" s="16" t="s">
        <v>194</v>
      </c>
      <c r="D953" s="16"/>
      <c r="E953" s="160" t="s">
        <v>4845</v>
      </c>
    </row>
    <row r="954" spans="1:5" ht="17.149999999999999" customHeight="1">
      <c r="A954" s="14" t="s">
        <v>1929</v>
      </c>
      <c r="B954" s="15" t="s">
        <v>1930</v>
      </c>
      <c r="C954" s="16" t="s">
        <v>604</v>
      </c>
      <c r="D954" s="16"/>
      <c r="E954" s="160" t="s">
        <v>8335</v>
      </c>
    </row>
    <row r="955" spans="1:5" ht="17.149999999999999" customHeight="1">
      <c r="A955" s="14" t="s">
        <v>1929</v>
      </c>
      <c r="B955" s="15" t="s">
        <v>1930</v>
      </c>
      <c r="C955" s="16" t="s">
        <v>604</v>
      </c>
      <c r="D955" s="16"/>
      <c r="E955" s="160" t="s">
        <v>8335</v>
      </c>
    </row>
    <row r="956" spans="1:5" ht="17.149999999999999" customHeight="1">
      <c r="A956" s="14" t="s">
        <v>1931</v>
      </c>
      <c r="B956" s="15" t="s">
        <v>1932</v>
      </c>
      <c r="C956" s="16" t="s">
        <v>604</v>
      </c>
      <c r="D956" s="16"/>
      <c r="E956" s="160" t="s">
        <v>8335</v>
      </c>
    </row>
    <row r="957" spans="1:5" ht="17.149999999999999" customHeight="1">
      <c r="A957" s="14" t="s">
        <v>1931</v>
      </c>
      <c r="B957" s="15" t="s">
        <v>1932</v>
      </c>
      <c r="C957" s="16" t="s">
        <v>604</v>
      </c>
      <c r="D957" s="16"/>
      <c r="E957" s="160" t="s">
        <v>8335</v>
      </c>
    </row>
    <row r="958" spans="1:5" ht="17.149999999999999" customHeight="1">
      <c r="A958" s="14" t="s">
        <v>1933</v>
      </c>
      <c r="B958" s="15" t="s">
        <v>1934</v>
      </c>
      <c r="C958" s="16">
        <v>0</v>
      </c>
      <c r="D958" s="16"/>
      <c r="E958" s="160" t="s">
        <v>5647</v>
      </c>
    </row>
    <row r="959" spans="1:5" ht="17.149999999999999" customHeight="1">
      <c r="A959" s="14" t="s">
        <v>1933</v>
      </c>
      <c r="B959" s="15" t="s">
        <v>1934</v>
      </c>
      <c r="C959" s="16">
        <v>0</v>
      </c>
      <c r="D959" s="16"/>
      <c r="E959" s="160" t="s">
        <v>5647</v>
      </c>
    </row>
    <row r="960" spans="1:5" ht="17.149999999999999" customHeight="1">
      <c r="A960" s="14" t="s">
        <v>1935</v>
      </c>
      <c r="B960" s="15" t="s">
        <v>1936</v>
      </c>
      <c r="C960" s="16">
        <v>0</v>
      </c>
      <c r="D960" s="16"/>
      <c r="E960" s="160" t="s">
        <v>5647</v>
      </c>
    </row>
    <row r="961" spans="1:5" ht="17.149999999999999" customHeight="1">
      <c r="A961" s="14" t="s">
        <v>1935</v>
      </c>
      <c r="B961" s="15" t="s">
        <v>1936</v>
      </c>
      <c r="C961" s="16">
        <v>0</v>
      </c>
      <c r="D961" s="16"/>
      <c r="E961" s="160" t="s">
        <v>5647</v>
      </c>
    </row>
    <row r="962" spans="1:5" ht="17.149999999999999" customHeight="1">
      <c r="A962" s="14" t="s">
        <v>1937</v>
      </c>
      <c r="B962" s="15" t="s">
        <v>1938</v>
      </c>
      <c r="C962" s="16" t="s">
        <v>604</v>
      </c>
      <c r="D962" s="16"/>
      <c r="E962" s="160" t="s">
        <v>8336</v>
      </c>
    </row>
    <row r="963" spans="1:5" ht="17.149999999999999" customHeight="1">
      <c r="A963" s="14" t="s">
        <v>1939</v>
      </c>
      <c r="B963" s="15" t="s">
        <v>1940</v>
      </c>
      <c r="C963" s="16">
        <v>0</v>
      </c>
      <c r="D963" s="16"/>
      <c r="E963" s="160" t="s">
        <v>5648</v>
      </c>
    </row>
    <row r="964" spans="1:5" ht="17.149999999999999" customHeight="1">
      <c r="A964" s="14" t="s">
        <v>1939</v>
      </c>
      <c r="B964" s="15" t="s">
        <v>1940</v>
      </c>
      <c r="C964" s="16">
        <v>0</v>
      </c>
      <c r="D964" s="16"/>
      <c r="E964" s="160" t="s">
        <v>5648</v>
      </c>
    </row>
    <row r="965" spans="1:5" ht="17.149999999999999" customHeight="1">
      <c r="A965" s="14" t="s">
        <v>1941</v>
      </c>
      <c r="B965" s="15" t="s">
        <v>1942</v>
      </c>
      <c r="C965" s="16">
        <v>0</v>
      </c>
      <c r="D965" s="16"/>
      <c r="E965" s="160" t="s">
        <v>5648</v>
      </c>
    </row>
    <row r="966" spans="1:5" ht="17.149999999999999" customHeight="1">
      <c r="A966" s="14" t="s">
        <v>1941</v>
      </c>
      <c r="B966" s="15" t="s">
        <v>1942</v>
      </c>
      <c r="C966" s="16">
        <v>0</v>
      </c>
      <c r="D966" s="16"/>
      <c r="E966" s="160" t="s">
        <v>5648</v>
      </c>
    </row>
    <row r="967" spans="1:5" ht="17.149999999999999" customHeight="1">
      <c r="A967" s="14" t="s">
        <v>1943</v>
      </c>
      <c r="B967" s="15" t="s">
        <v>1944</v>
      </c>
      <c r="C967" s="16" t="s">
        <v>604</v>
      </c>
      <c r="D967" s="16"/>
      <c r="E967" s="160" t="s">
        <v>8337</v>
      </c>
    </row>
    <row r="968" spans="1:5" ht="17.149999999999999" customHeight="1">
      <c r="A968" s="14" t="s">
        <v>1945</v>
      </c>
      <c r="B968" s="15" t="s">
        <v>1946</v>
      </c>
      <c r="C968" s="16" t="s">
        <v>194</v>
      </c>
      <c r="D968" s="16"/>
      <c r="E968" s="160" t="s">
        <v>8338</v>
      </c>
    </row>
    <row r="969" spans="1:5" ht="17.149999999999999" customHeight="1">
      <c r="A969" s="14" t="s">
        <v>1947</v>
      </c>
      <c r="B969" s="15" t="s">
        <v>1948</v>
      </c>
      <c r="C969" s="16">
        <v>0</v>
      </c>
      <c r="D969" s="16"/>
      <c r="E969" s="160" t="s">
        <v>8339</v>
      </c>
    </row>
    <row r="970" spans="1:5" ht="17.149999999999999" customHeight="1">
      <c r="A970" s="14" t="s">
        <v>1949</v>
      </c>
      <c r="B970" s="15" t="s">
        <v>1950</v>
      </c>
      <c r="C970" s="16" t="s">
        <v>194</v>
      </c>
      <c r="D970" s="16"/>
      <c r="E970" s="160" t="s">
        <v>8340</v>
      </c>
    </row>
    <row r="971" spans="1:5" ht="17.149999999999999" customHeight="1">
      <c r="A971" s="14" t="s">
        <v>1951</v>
      </c>
      <c r="B971" s="15" t="s">
        <v>1952</v>
      </c>
      <c r="C971" s="16" t="s">
        <v>194</v>
      </c>
      <c r="D971" s="16"/>
      <c r="E971" s="160" t="s">
        <v>8340</v>
      </c>
    </row>
    <row r="972" spans="1:5" ht="17.149999999999999" customHeight="1">
      <c r="A972" s="14" t="s">
        <v>1953</v>
      </c>
      <c r="B972" s="15" t="s">
        <v>1954</v>
      </c>
      <c r="C972" s="16">
        <v>0</v>
      </c>
      <c r="D972" s="16"/>
      <c r="E972" s="160" t="s">
        <v>7986</v>
      </c>
    </row>
    <row r="973" spans="1:5" ht="17.149999999999999" customHeight="1">
      <c r="A973" s="14" t="s">
        <v>1955</v>
      </c>
      <c r="B973" s="15" t="s">
        <v>1956</v>
      </c>
      <c r="C973" s="16" t="s">
        <v>194</v>
      </c>
      <c r="D973" s="16"/>
      <c r="E973" s="160" t="s">
        <v>8340</v>
      </c>
    </row>
    <row r="974" spans="1:5" ht="17.149999999999999" customHeight="1">
      <c r="A974" s="14" t="s">
        <v>1957</v>
      </c>
      <c r="B974" s="15" t="s">
        <v>1958</v>
      </c>
      <c r="C974" s="16" t="s">
        <v>194</v>
      </c>
      <c r="D974" s="16"/>
      <c r="E974" s="160" t="s">
        <v>8339</v>
      </c>
    </row>
    <row r="975" spans="1:5" ht="17.149999999999999" customHeight="1">
      <c r="A975" s="14" t="s">
        <v>1959</v>
      </c>
      <c r="B975" s="15" t="s">
        <v>1960</v>
      </c>
      <c r="C975" s="16" t="s">
        <v>194</v>
      </c>
      <c r="D975" s="16"/>
      <c r="E975" s="160" t="s">
        <v>8339</v>
      </c>
    </row>
    <row r="976" spans="1:5" ht="17.149999999999999" customHeight="1">
      <c r="A976" s="14" t="s">
        <v>1961</v>
      </c>
      <c r="B976" s="15" t="s">
        <v>1962</v>
      </c>
      <c r="C976" s="16" t="s">
        <v>194</v>
      </c>
      <c r="D976" s="16"/>
      <c r="E976" s="160" t="s">
        <v>7986</v>
      </c>
    </row>
    <row r="977" spans="1:5" ht="17.149999999999999" customHeight="1">
      <c r="A977" s="14" t="s">
        <v>1961</v>
      </c>
      <c r="B977" s="15" t="s">
        <v>1962</v>
      </c>
      <c r="C977" s="16" t="s">
        <v>194</v>
      </c>
      <c r="D977" s="16"/>
      <c r="E977" s="160" t="s">
        <v>7986</v>
      </c>
    </row>
    <row r="978" spans="1:5" ht="17.149999999999999" customHeight="1">
      <c r="A978" s="14" t="s">
        <v>44</v>
      </c>
      <c r="B978" s="15" t="s">
        <v>82</v>
      </c>
      <c r="C978" s="16" t="s">
        <v>91</v>
      </c>
      <c r="D978" s="16"/>
      <c r="E978" s="160" t="s">
        <v>6053</v>
      </c>
    </row>
    <row r="979" spans="1:5" ht="17.149999999999999" customHeight="1">
      <c r="A979" s="14" t="s">
        <v>44</v>
      </c>
      <c r="B979" s="15" t="s">
        <v>82</v>
      </c>
      <c r="C979" s="16" t="s">
        <v>91</v>
      </c>
      <c r="D979" s="16"/>
      <c r="E979" s="160" t="s">
        <v>6053</v>
      </c>
    </row>
    <row r="980" spans="1:5" ht="17.149999999999999" customHeight="1">
      <c r="A980" s="14" t="s">
        <v>1963</v>
      </c>
      <c r="B980" s="15" t="s">
        <v>1964</v>
      </c>
      <c r="C980" s="16" t="s">
        <v>91</v>
      </c>
      <c r="D980" s="16"/>
      <c r="E980" s="160" t="s">
        <v>6053</v>
      </c>
    </row>
    <row r="981" spans="1:5">
      <c r="A981" t="s">
        <v>1963</v>
      </c>
      <c r="B981" s="20" t="s">
        <v>1964</v>
      </c>
      <c r="C981" s="20" t="s">
        <v>91</v>
      </c>
      <c r="E981" s="162" t="s">
        <v>6053</v>
      </c>
    </row>
    <row r="982" spans="1:5">
      <c r="A982" t="s">
        <v>1965</v>
      </c>
      <c r="B982" s="20" t="s">
        <v>1966</v>
      </c>
      <c r="C982" s="20" t="s">
        <v>91</v>
      </c>
      <c r="E982" s="162" t="s">
        <v>117</v>
      </c>
    </row>
    <row r="983" spans="1:5">
      <c r="A983" t="s">
        <v>1965</v>
      </c>
      <c r="B983" s="20" t="s">
        <v>1966</v>
      </c>
      <c r="C983" s="20" t="s">
        <v>91</v>
      </c>
      <c r="E983" s="162" t="s">
        <v>117</v>
      </c>
    </row>
    <row r="984" spans="1:5">
      <c r="A984" t="s">
        <v>1967</v>
      </c>
      <c r="B984" s="20" t="s">
        <v>1968</v>
      </c>
      <c r="C984" s="20" t="s">
        <v>91</v>
      </c>
      <c r="E984" s="162" t="s">
        <v>117</v>
      </c>
    </row>
    <row r="985" spans="1:5">
      <c r="A985" t="s">
        <v>1969</v>
      </c>
      <c r="B985" s="20" t="s">
        <v>1970</v>
      </c>
      <c r="C985" s="20" t="s">
        <v>1429</v>
      </c>
      <c r="E985" s="162" t="s">
        <v>4925</v>
      </c>
    </row>
    <row r="986" spans="1:5">
      <c r="A986" t="s">
        <v>1969</v>
      </c>
      <c r="B986" s="20" t="s">
        <v>1970</v>
      </c>
      <c r="C986" s="20" t="s">
        <v>1429</v>
      </c>
      <c r="E986" s="162" t="s">
        <v>4925</v>
      </c>
    </row>
    <row r="987" spans="1:5">
      <c r="A987" t="s">
        <v>1971</v>
      </c>
      <c r="B987" s="20" t="s">
        <v>1972</v>
      </c>
      <c r="C987" s="20" t="s">
        <v>91</v>
      </c>
      <c r="E987" s="162" t="s">
        <v>117</v>
      </c>
    </row>
    <row r="988" spans="1:5">
      <c r="A988" t="s">
        <v>1971</v>
      </c>
      <c r="B988" s="20" t="s">
        <v>1972</v>
      </c>
      <c r="C988" s="20" t="s">
        <v>91</v>
      </c>
      <c r="E988" s="162" t="s">
        <v>117</v>
      </c>
    </row>
    <row r="989" spans="1:5">
      <c r="A989" t="s">
        <v>1973</v>
      </c>
      <c r="B989" s="20" t="s">
        <v>1974</v>
      </c>
      <c r="C989" s="20" t="s">
        <v>91</v>
      </c>
      <c r="E989" s="162" t="s">
        <v>117</v>
      </c>
    </row>
    <row r="990" spans="1:5">
      <c r="A990" t="s">
        <v>1973</v>
      </c>
      <c r="B990" s="20" t="s">
        <v>1974</v>
      </c>
      <c r="C990" s="20" t="s">
        <v>91</v>
      </c>
      <c r="E990" s="162" t="s">
        <v>117</v>
      </c>
    </row>
    <row r="991" spans="1:5">
      <c r="A991" t="s">
        <v>1975</v>
      </c>
      <c r="B991" s="20" t="s">
        <v>1976</v>
      </c>
      <c r="C991" s="20" t="s">
        <v>91</v>
      </c>
      <c r="E991" s="162" t="s">
        <v>117</v>
      </c>
    </row>
    <row r="992" spans="1:5">
      <c r="A992" t="s">
        <v>1977</v>
      </c>
      <c r="B992" s="20" t="s">
        <v>1978</v>
      </c>
      <c r="C992" s="20" t="s">
        <v>1429</v>
      </c>
      <c r="E992" s="162" t="s">
        <v>4841</v>
      </c>
    </row>
    <row r="993" spans="1:5">
      <c r="A993" t="s">
        <v>1977</v>
      </c>
      <c r="B993" s="20" t="s">
        <v>1978</v>
      </c>
      <c r="C993" s="20" t="s">
        <v>1429</v>
      </c>
      <c r="E993" s="162" t="s">
        <v>4841</v>
      </c>
    </row>
    <row r="994" spans="1:5">
      <c r="A994" t="s">
        <v>1979</v>
      </c>
      <c r="B994" s="20" t="s">
        <v>1980</v>
      </c>
      <c r="C994" s="20" t="s">
        <v>91</v>
      </c>
      <c r="E994" s="162" t="s">
        <v>8341</v>
      </c>
    </row>
    <row r="995" spans="1:5">
      <c r="A995" t="s">
        <v>1979</v>
      </c>
      <c r="B995" s="20" t="s">
        <v>1980</v>
      </c>
      <c r="C995" s="20" t="s">
        <v>91</v>
      </c>
      <c r="E995" s="162" t="s">
        <v>8341</v>
      </c>
    </row>
    <row r="996" spans="1:5">
      <c r="A996" t="s">
        <v>1981</v>
      </c>
      <c r="B996" s="20" t="s">
        <v>1982</v>
      </c>
      <c r="C996" s="20" t="s">
        <v>91</v>
      </c>
      <c r="E996" s="162" t="s">
        <v>8341</v>
      </c>
    </row>
    <row r="997" spans="1:5">
      <c r="A997" t="s">
        <v>1981</v>
      </c>
      <c r="B997" s="20" t="s">
        <v>1982</v>
      </c>
      <c r="C997" s="20" t="s">
        <v>91</v>
      </c>
      <c r="E997" s="162" t="s">
        <v>8341</v>
      </c>
    </row>
    <row r="998" spans="1:5">
      <c r="A998" t="s">
        <v>1983</v>
      </c>
      <c r="B998" s="20" t="s">
        <v>1984</v>
      </c>
      <c r="C998" s="20" t="s">
        <v>1429</v>
      </c>
      <c r="E998" s="162" t="s">
        <v>4898</v>
      </c>
    </row>
    <row r="999" spans="1:5">
      <c r="A999" t="s">
        <v>1985</v>
      </c>
      <c r="B999" s="20" t="s">
        <v>1986</v>
      </c>
      <c r="C999" s="20" t="s">
        <v>91</v>
      </c>
      <c r="E999" s="162" t="s">
        <v>117</v>
      </c>
    </row>
    <row r="1000" spans="1:5">
      <c r="A1000" t="s">
        <v>1987</v>
      </c>
      <c r="B1000" s="20" t="s">
        <v>1988</v>
      </c>
      <c r="C1000" s="20" t="s">
        <v>91</v>
      </c>
      <c r="E1000" s="162" t="s">
        <v>117</v>
      </c>
    </row>
    <row r="1001" spans="1:5">
      <c r="A1001" t="s">
        <v>1987</v>
      </c>
      <c r="B1001" s="20" t="s">
        <v>1988</v>
      </c>
      <c r="C1001" s="20" t="s">
        <v>91</v>
      </c>
      <c r="E1001" s="162" t="s">
        <v>117</v>
      </c>
    </row>
    <row r="1002" spans="1:5">
      <c r="A1002" t="s">
        <v>1989</v>
      </c>
      <c r="B1002" s="20" t="s">
        <v>1990</v>
      </c>
      <c r="C1002" s="20" t="s">
        <v>259</v>
      </c>
      <c r="E1002" s="162" t="s">
        <v>8342</v>
      </c>
    </row>
    <row r="1003" spans="1:5">
      <c r="A1003" t="s">
        <v>1991</v>
      </c>
      <c r="B1003" s="20" t="s">
        <v>1992</v>
      </c>
      <c r="C1003" s="20" t="s">
        <v>90</v>
      </c>
      <c r="E1003" s="162" t="s">
        <v>8343</v>
      </c>
    </row>
    <row r="1004" spans="1:5">
      <c r="A1004" t="s">
        <v>1993</v>
      </c>
      <c r="B1004" s="20" t="s">
        <v>1994</v>
      </c>
      <c r="C1004" s="20" t="s">
        <v>90</v>
      </c>
      <c r="E1004" s="162" t="s">
        <v>8343</v>
      </c>
    </row>
    <row r="1005" spans="1:5">
      <c r="A1005" t="s">
        <v>1995</v>
      </c>
      <c r="B1005" s="20" t="s">
        <v>1996</v>
      </c>
      <c r="C1005" s="20" t="s">
        <v>259</v>
      </c>
      <c r="E1005" s="162" t="s">
        <v>8344</v>
      </c>
    </row>
    <row r="1006" spans="1:5">
      <c r="A1006" t="s">
        <v>1997</v>
      </c>
      <c r="B1006" s="20" t="s">
        <v>1998</v>
      </c>
      <c r="C1006" s="20" t="s">
        <v>90</v>
      </c>
      <c r="E1006" s="162" t="s">
        <v>8343</v>
      </c>
    </row>
    <row r="1007" spans="1:5">
      <c r="A1007" t="s">
        <v>1999</v>
      </c>
      <c r="B1007" s="20" t="s">
        <v>2000</v>
      </c>
      <c r="C1007" s="20" t="s">
        <v>194</v>
      </c>
      <c r="E1007" s="162" t="s">
        <v>8345</v>
      </c>
    </row>
    <row r="1008" spans="1:5">
      <c r="A1008" t="s">
        <v>2001</v>
      </c>
      <c r="B1008" s="20" t="s">
        <v>2002</v>
      </c>
      <c r="C1008" s="20">
        <v>0</v>
      </c>
      <c r="E1008" s="162" t="s">
        <v>8345</v>
      </c>
    </row>
    <row r="1009" spans="1:5">
      <c r="A1009" t="s">
        <v>2003</v>
      </c>
      <c r="B1009" s="20" t="s">
        <v>2004</v>
      </c>
      <c r="C1009" s="20">
        <v>0</v>
      </c>
      <c r="E1009" s="162" t="s">
        <v>8345</v>
      </c>
    </row>
    <row r="1010" spans="1:5">
      <c r="A1010" t="s">
        <v>2005</v>
      </c>
      <c r="B1010" s="20" t="s">
        <v>2006</v>
      </c>
      <c r="C1010" s="20" t="s">
        <v>90</v>
      </c>
      <c r="E1010" s="162" t="s">
        <v>8346</v>
      </c>
    </row>
    <row r="1011" spans="1:5">
      <c r="A1011" t="s">
        <v>2007</v>
      </c>
      <c r="B1011" s="20" t="s">
        <v>2008</v>
      </c>
      <c r="C1011" s="20">
        <v>0</v>
      </c>
      <c r="E1011" s="162" t="s">
        <v>4811</v>
      </c>
    </row>
    <row r="1012" spans="1:5">
      <c r="A1012" t="s">
        <v>2009</v>
      </c>
      <c r="B1012" s="20" t="s">
        <v>2010</v>
      </c>
      <c r="C1012" s="20" t="s">
        <v>90</v>
      </c>
      <c r="E1012" s="162" t="s">
        <v>4813</v>
      </c>
    </row>
    <row r="1013" spans="1:5">
      <c r="A1013" t="s">
        <v>2011</v>
      </c>
      <c r="B1013" s="20" t="s">
        <v>2012</v>
      </c>
      <c r="C1013" s="20" t="s">
        <v>90</v>
      </c>
      <c r="E1013" s="162" t="s">
        <v>8346</v>
      </c>
    </row>
    <row r="1014" spans="1:5">
      <c r="A1014" t="s">
        <v>45</v>
      </c>
      <c r="B1014" s="20" t="s">
        <v>83</v>
      </c>
      <c r="C1014" s="20" t="s">
        <v>90</v>
      </c>
      <c r="E1014" s="162" t="s">
        <v>8347</v>
      </c>
    </row>
    <row r="1015" spans="1:5">
      <c r="A1015" t="s">
        <v>2013</v>
      </c>
      <c r="B1015" s="20" t="s">
        <v>2014</v>
      </c>
      <c r="C1015" s="20" t="s">
        <v>89</v>
      </c>
      <c r="E1015" s="162" t="s">
        <v>8348</v>
      </c>
    </row>
    <row r="1016" spans="1:5">
      <c r="A1016" t="s">
        <v>2015</v>
      </c>
      <c r="B1016" s="20" t="s">
        <v>2016</v>
      </c>
      <c r="C1016" s="20" t="s">
        <v>90</v>
      </c>
      <c r="E1016" s="162" t="s">
        <v>8348</v>
      </c>
    </row>
    <row r="1017" spans="1:5">
      <c r="A1017" t="s">
        <v>2017</v>
      </c>
      <c r="B1017" s="20" t="s">
        <v>2018</v>
      </c>
      <c r="C1017" s="20" t="s">
        <v>90</v>
      </c>
      <c r="E1017" s="162" t="s">
        <v>8349</v>
      </c>
    </row>
    <row r="1018" spans="1:5">
      <c r="A1018" t="s">
        <v>15</v>
      </c>
      <c r="B1018" s="20" t="s">
        <v>53</v>
      </c>
      <c r="C1018" s="20" t="s">
        <v>91</v>
      </c>
      <c r="E1018" s="162" t="s">
        <v>6728</v>
      </c>
    </row>
    <row r="1019" spans="1:5">
      <c r="A1019" t="s">
        <v>2019</v>
      </c>
      <c r="B1019" s="20" t="s">
        <v>2020</v>
      </c>
      <c r="C1019" s="20">
        <v>0</v>
      </c>
      <c r="E1019" s="162" t="s">
        <v>6728</v>
      </c>
    </row>
    <row r="1020" spans="1:5">
      <c r="A1020" t="s">
        <v>16</v>
      </c>
      <c r="B1020" s="20" t="s">
        <v>54</v>
      </c>
      <c r="C1020" s="20" t="s">
        <v>91</v>
      </c>
      <c r="E1020" s="162" t="s">
        <v>6728</v>
      </c>
    </row>
    <row r="1021" spans="1:5">
      <c r="A1021" t="s">
        <v>2021</v>
      </c>
      <c r="B1021" s="20" t="s">
        <v>2022</v>
      </c>
      <c r="C1021" s="20">
        <v>0</v>
      </c>
      <c r="E1021" s="162" t="s">
        <v>6728</v>
      </c>
    </row>
    <row r="1022" spans="1:5">
      <c r="A1022" t="s">
        <v>17</v>
      </c>
      <c r="B1022" s="20" t="s">
        <v>55</v>
      </c>
      <c r="C1022" s="20" t="s">
        <v>91</v>
      </c>
      <c r="E1022" s="162" t="s">
        <v>6728</v>
      </c>
    </row>
    <row r="1023" spans="1:5">
      <c r="A1023" t="s">
        <v>2023</v>
      </c>
      <c r="B1023" s="20" t="s">
        <v>2024</v>
      </c>
      <c r="C1023" s="20">
        <v>0</v>
      </c>
      <c r="E1023" s="162" t="s">
        <v>6728</v>
      </c>
    </row>
    <row r="1024" spans="1:5">
      <c r="A1024" t="s">
        <v>2025</v>
      </c>
      <c r="B1024" s="20" t="s">
        <v>2026</v>
      </c>
      <c r="C1024" s="20" t="s">
        <v>91</v>
      </c>
      <c r="E1024" s="162" t="s">
        <v>102</v>
      </c>
    </row>
    <row r="1025" spans="1:5">
      <c r="A1025" t="s">
        <v>2027</v>
      </c>
      <c r="B1025" s="20" t="s">
        <v>2028</v>
      </c>
      <c r="C1025" s="20">
        <v>0</v>
      </c>
      <c r="E1025" s="162" t="s">
        <v>102</v>
      </c>
    </row>
    <row r="1026" spans="1:5">
      <c r="A1026" t="s">
        <v>2029</v>
      </c>
      <c r="B1026" s="20" t="s">
        <v>2030</v>
      </c>
      <c r="C1026" s="20" t="s">
        <v>91</v>
      </c>
      <c r="E1026" s="162" t="s">
        <v>102</v>
      </c>
    </row>
    <row r="1027" spans="1:5">
      <c r="A1027" t="s">
        <v>18</v>
      </c>
      <c r="B1027" s="20" t="s">
        <v>56</v>
      </c>
      <c r="C1027" s="20" t="s">
        <v>91</v>
      </c>
      <c r="E1027" s="162" t="s">
        <v>6728</v>
      </c>
    </row>
    <row r="1028" spans="1:5">
      <c r="A1028" t="s">
        <v>2031</v>
      </c>
      <c r="B1028" s="20" t="s">
        <v>2032</v>
      </c>
      <c r="C1028" s="20" t="s">
        <v>91</v>
      </c>
      <c r="E1028" s="162" t="s">
        <v>103</v>
      </c>
    </row>
    <row r="1029" spans="1:5">
      <c r="A1029" t="s">
        <v>2033</v>
      </c>
      <c r="B1029" s="20" t="s">
        <v>2034</v>
      </c>
      <c r="C1029" s="20">
        <v>0</v>
      </c>
      <c r="E1029" s="162" t="s">
        <v>103</v>
      </c>
    </row>
    <row r="1030" spans="1:5">
      <c r="A1030" t="s">
        <v>2035</v>
      </c>
      <c r="B1030" s="20" t="s">
        <v>2036</v>
      </c>
      <c r="C1030" s="20" t="s">
        <v>91</v>
      </c>
      <c r="E1030" s="162" t="s">
        <v>103</v>
      </c>
    </row>
    <row r="1031" spans="1:5">
      <c r="A1031" t="s">
        <v>2037</v>
      </c>
      <c r="B1031" s="20" t="s">
        <v>2038</v>
      </c>
      <c r="C1031" s="20">
        <v>0</v>
      </c>
      <c r="E1031" s="162" t="s">
        <v>103</v>
      </c>
    </row>
    <row r="1032" spans="1:5">
      <c r="A1032" t="s">
        <v>2039</v>
      </c>
      <c r="B1032" s="20" t="s">
        <v>2040</v>
      </c>
      <c r="C1032" s="20" t="s">
        <v>259</v>
      </c>
      <c r="E1032" s="162" t="s">
        <v>8350</v>
      </c>
    </row>
    <row r="1033" spans="1:5">
      <c r="A1033" t="s">
        <v>2041</v>
      </c>
      <c r="B1033" s="20" t="s">
        <v>2042</v>
      </c>
      <c r="C1033" s="20" t="s">
        <v>259</v>
      </c>
      <c r="E1033" s="162" t="s">
        <v>8351</v>
      </c>
    </row>
    <row r="1034" spans="1:5">
      <c r="A1034" t="s">
        <v>2043</v>
      </c>
      <c r="B1034" s="20" t="s">
        <v>2044</v>
      </c>
      <c r="C1034" s="20" t="s">
        <v>259</v>
      </c>
      <c r="E1034" s="162" t="s">
        <v>8352</v>
      </c>
    </row>
    <row r="1035" spans="1:5">
      <c r="A1035" t="s">
        <v>2045</v>
      </c>
      <c r="B1035" s="20" t="s">
        <v>2046</v>
      </c>
      <c r="C1035" s="20" t="s">
        <v>194</v>
      </c>
      <c r="E1035" s="162" t="s">
        <v>8352</v>
      </c>
    </row>
    <row r="1036" spans="1:5">
      <c r="A1036" t="s">
        <v>2047</v>
      </c>
      <c r="B1036" s="20" t="s">
        <v>2048</v>
      </c>
      <c r="C1036" s="20" t="s">
        <v>259</v>
      </c>
      <c r="E1036" s="162" t="s">
        <v>8352</v>
      </c>
    </row>
    <row r="1037" spans="1:5">
      <c r="A1037" t="s">
        <v>2049</v>
      </c>
      <c r="B1037" s="20" t="s">
        <v>2050</v>
      </c>
      <c r="C1037" s="20" t="s">
        <v>194</v>
      </c>
      <c r="E1037" s="162" t="s">
        <v>8352</v>
      </c>
    </row>
    <row r="1038" spans="1:5">
      <c r="A1038" t="s">
        <v>2051</v>
      </c>
      <c r="B1038" s="20" t="s">
        <v>2052</v>
      </c>
      <c r="C1038" s="20" t="s">
        <v>259</v>
      </c>
      <c r="E1038" s="162" t="s">
        <v>8353</v>
      </c>
    </row>
    <row r="1039" spans="1:5">
      <c r="A1039" t="s">
        <v>2053</v>
      </c>
      <c r="B1039" s="20" t="s">
        <v>2054</v>
      </c>
      <c r="C1039" s="20" t="s">
        <v>259</v>
      </c>
      <c r="E1039" s="162" t="s">
        <v>8353</v>
      </c>
    </row>
    <row r="1040" spans="1:5">
      <c r="A1040" t="s">
        <v>2055</v>
      </c>
      <c r="B1040" s="20" t="s">
        <v>2056</v>
      </c>
      <c r="C1040" s="20" t="s">
        <v>259</v>
      </c>
      <c r="E1040" s="162" t="s">
        <v>8354</v>
      </c>
    </row>
    <row r="1041" spans="1:5">
      <c r="A1041" t="s">
        <v>2057</v>
      </c>
      <c r="B1041" s="20" t="s">
        <v>2058</v>
      </c>
      <c r="C1041" s="20" t="s">
        <v>259</v>
      </c>
      <c r="E1041" s="162" t="s">
        <v>8354</v>
      </c>
    </row>
    <row r="1042" spans="1:5">
      <c r="A1042" t="s">
        <v>2059</v>
      </c>
      <c r="B1042" s="20" t="s">
        <v>2060</v>
      </c>
      <c r="C1042" s="20" t="s">
        <v>90</v>
      </c>
      <c r="E1042" s="162" t="s">
        <v>8355</v>
      </c>
    </row>
    <row r="1043" spans="1:5">
      <c r="A1043" t="s">
        <v>2061</v>
      </c>
      <c r="B1043" s="20" t="s">
        <v>2062</v>
      </c>
      <c r="C1043" s="20" t="s">
        <v>90</v>
      </c>
      <c r="E1043" s="162" t="s">
        <v>8355</v>
      </c>
    </row>
    <row r="1044" spans="1:5">
      <c r="A1044" t="s">
        <v>2063</v>
      </c>
      <c r="B1044" s="20" t="s">
        <v>2064</v>
      </c>
      <c r="C1044" s="20">
        <v>0</v>
      </c>
      <c r="E1044" s="162" t="s">
        <v>6229</v>
      </c>
    </row>
    <row r="1045" spans="1:5">
      <c r="A1045" t="s">
        <v>2065</v>
      </c>
      <c r="B1045" s="20" t="s">
        <v>2066</v>
      </c>
      <c r="C1045" s="20">
        <v>0</v>
      </c>
      <c r="E1045" s="162" t="s">
        <v>6229</v>
      </c>
    </row>
    <row r="1046" spans="1:5">
      <c r="A1046" t="s">
        <v>2067</v>
      </c>
      <c r="B1046" s="20" t="s">
        <v>2068</v>
      </c>
      <c r="C1046" s="20">
        <v>0</v>
      </c>
      <c r="E1046" s="162" t="s">
        <v>6229</v>
      </c>
    </row>
    <row r="1047" spans="1:5">
      <c r="A1047" t="s">
        <v>2069</v>
      </c>
      <c r="B1047" s="20" t="s">
        <v>2070</v>
      </c>
      <c r="C1047" s="20" t="s">
        <v>88</v>
      </c>
      <c r="E1047" s="162" t="s">
        <v>6229</v>
      </c>
    </row>
    <row r="1048" spans="1:5">
      <c r="A1048" t="s">
        <v>2071</v>
      </c>
      <c r="B1048" s="20" t="s">
        <v>2072</v>
      </c>
      <c r="C1048" s="20">
        <v>0</v>
      </c>
      <c r="E1048" s="162" t="s">
        <v>6228</v>
      </c>
    </row>
    <row r="1049" spans="1:5">
      <c r="A1049" t="s">
        <v>2073</v>
      </c>
      <c r="B1049" s="20" t="s">
        <v>2074</v>
      </c>
      <c r="C1049" s="20">
        <v>0</v>
      </c>
      <c r="E1049" s="162" t="s">
        <v>6228</v>
      </c>
    </row>
    <row r="1050" spans="1:5">
      <c r="A1050" t="s">
        <v>2075</v>
      </c>
      <c r="B1050" s="20" t="s">
        <v>2076</v>
      </c>
      <c r="C1050" s="20">
        <v>0</v>
      </c>
      <c r="E1050" s="162" t="s">
        <v>6228</v>
      </c>
    </row>
    <row r="1051" spans="1:5">
      <c r="A1051" t="s">
        <v>2077</v>
      </c>
      <c r="B1051" s="20" t="s">
        <v>2078</v>
      </c>
      <c r="C1051" s="20" t="s">
        <v>88</v>
      </c>
      <c r="E1051" s="162" t="s">
        <v>6228</v>
      </c>
    </row>
    <row r="1052" spans="1:5">
      <c r="A1052" t="s">
        <v>2079</v>
      </c>
      <c r="B1052" s="20" t="s">
        <v>2080</v>
      </c>
      <c r="C1052" s="20">
        <v>0</v>
      </c>
      <c r="E1052" s="162" t="s">
        <v>6227</v>
      </c>
    </row>
    <row r="1053" spans="1:5">
      <c r="A1053" t="s">
        <v>2081</v>
      </c>
      <c r="B1053" s="20" t="s">
        <v>2082</v>
      </c>
      <c r="C1053" s="20">
        <v>0</v>
      </c>
      <c r="E1053" s="162" t="s">
        <v>6227</v>
      </c>
    </row>
    <row r="1054" spans="1:5">
      <c r="A1054" t="s">
        <v>2083</v>
      </c>
      <c r="B1054" s="20" t="s">
        <v>2084</v>
      </c>
      <c r="C1054" s="20">
        <v>0</v>
      </c>
      <c r="E1054" s="162" t="s">
        <v>6227</v>
      </c>
    </row>
    <row r="1055" spans="1:5">
      <c r="A1055" t="s">
        <v>2085</v>
      </c>
      <c r="B1055" s="20" t="s">
        <v>2086</v>
      </c>
      <c r="C1055" s="20">
        <v>0</v>
      </c>
      <c r="E1055" s="162" t="s">
        <v>6227</v>
      </c>
    </row>
    <row r="1056" spans="1:5">
      <c r="A1056" t="s">
        <v>2087</v>
      </c>
      <c r="B1056" s="20" t="s">
        <v>2088</v>
      </c>
      <c r="C1056" s="20" t="s">
        <v>88</v>
      </c>
      <c r="E1056" s="162" t="s">
        <v>6227</v>
      </c>
    </row>
    <row r="1057" spans="1:5">
      <c r="A1057" t="s">
        <v>2089</v>
      </c>
      <c r="B1057" s="20" t="s">
        <v>2090</v>
      </c>
      <c r="C1057" s="20">
        <v>0</v>
      </c>
      <c r="E1057" s="162" t="s">
        <v>6237</v>
      </c>
    </row>
    <row r="1058" spans="1:5">
      <c r="A1058" t="s">
        <v>2091</v>
      </c>
      <c r="B1058" s="20" t="s">
        <v>2092</v>
      </c>
      <c r="C1058" s="20">
        <v>0</v>
      </c>
      <c r="E1058" s="162" t="s">
        <v>6237</v>
      </c>
    </row>
    <row r="1059" spans="1:5">
      <c r="A1059" t="s">
        <v>2093</v>
      </c>
      <c r="B1059" s="20" t="s">
        <v>2094</v>
      </c>
      <c r="C1059" s="20">
        <v>0</v>
      </c>
      <c r="E1059" s="162" t="s">
        <v>6237</v>
      </c>
    </row>
    <row r="1060" spans="1:5">
      <c r="A1060" t="s">
        <v>2095</v>
      </c>
      <c r="B1060" s="20" t="s">
        <v>2096</v>
      </c>
      <c r="C1060" s="20">
        <v>0</v>
      </c>
      <c r="E1060" s="162" t="s">
        <v>6237</v>
      </c>
    </row>
    <row r="1061" spans="1:5">
      <c r="A1061" t="s">
        <v>2097</v>
      </c>
      <c r="B1061" s="20" t="s">
        <v>2098</v>
      </c>
      <c r="C1061" s="20" t="s">
        <v>88</v>
      </c>
      <c r="E1061" s="162" t="s">
        <v>6237</v>
      </c>
    </row>
    <row r="1062" spans="1:5">
      <c r="A1062" t="s">
        <v>2099</v>
      </c>
      <c r="B1062" s="20" t="s">
        <v>2100</v>
      </c>
      <c r="C1062" s="20" t="s">
        <v>589</v>
      </c>
      <c r="E1062" s="162" t="s">
        <v>4891</v>
      </c>
    </row>
    <row r="1063" spans="1:5">
      <c r="A1063" t="s">
        <v>2101</v>
      </c>
      <c r="B1063" s="20" t="s">
        <v>2102</v>
      </c>
      <c r="C1063" s="20" t="s">
        <v>414</v>
      </c>
      <c r="E1063" s="162" t="s">
        <v>8356</v>
      </c>
    </row>
    <row r="1064" spans="1:5">
      <c r="A1064" t="s">
        <v>2103</v>
      </c>
      <c r="B1064" s="20" t="s">
        <v>2104</v>
      </c>
      <c r="C1064" s="20">
        <v>0</v>
      </c>
      <c r="E1064" s="162" t="s">
        <v>8357</v>
      </c>
    </row>
    <row r="1065" spans="1:5">
      <c r="A1065" t="s">
        <v>2105</v>
      </c>
      <c r="B1065" s="20" t="s">
        <v>2106</v>
      </c>
      <c r="C1065" s="20" t="s">
        <v>194</v>
      </c>
      <c r="E1065" s="162" t="s">
        <v>8358</v>
      </c>
    </row>
    <row r="1066" spans="1:5">
      <c r="A1066" t="s">
        <v>2107</v>
      </c>
      <c r="B1066" s="20" t="s">
        <v>2108</v>
      </c>
      <c r="C1066" s="20" t="s">
        <v>90</v>
      </c>
      <c r="E1066" s="162" t="s">
        <v>4814</v>
      </c>
    </row>
    <row r="1067" spans="1:5">
      <c r="A1067" t="s">
        <v>2109</v>
      </c>
      <c r="B1067" s="20" t="s">
        <v>2110</v>
      </c>
      <c r="C1067" s="20" t="s">
        <v>259</v>
      </c>
      <c r="E1067" s="162" t="s">
        <v>6389</v>
      </c>
    </row>
    <row r="1068" spans="1:5">
      <c r="A1068" t="s">
        <v>2111</v>
      </c>
      <c r="B1068" s="20" t="s">
        <v>2112</v>
      </c>
      <c r="C1068" s="20" t="s">
        <v>194</v>
      </c>
      <c r="E1068" s="162" t="s">
        <v>6389</v>
      </c>
    </row>
    <row r="1069" spans="1:5">
      <c r="A1069" t="s">
        <v>2113</v>
      </c>
      <c r="B1069" s="20" t="s">
        <v>2114</v>
      </c>
      <c r="C1069" s="20" t="s">
        <v>259</v>
      </c>
      <c r="E1069" s="162" t="s">
        <v>6390</v>
      </c>
    </row>
    <row r="1070" spans="1:5">
      <c r="A1070" t="s">
        <v>2115</v>
      </c>
      <c r="B1070" s="20" t="s">
        <v>2116</v>
      </c>
      <c r="C1070" s="20" t="s">
        <v>194</v>
      </c>
      <c r="E1070" s="162" t="s">
        <v>6390</v>
      </c>
    </row>
    <row r="1071" spans="1:5">
      <c r="A1071" t="s">
        <v>2117</v>
      </c>
      <c r="B1071" s="20" t="s">
        <v>2118</v>
      </c>
      <c r="C1071" s="20" t="s">
        <v>90</v>
      </c>
      <c r="E1071" s="162" t="s">
        <v>8359</v>
      </c>
    </row>
    <row r="1072" spans="1:5">
      <c r="A1072" t="s">
        <v>2119</v>
      </c>
      <c r="B1072" s="20" t="s">
        <v>2120</v>
      </c>
      <c r="C1072" s="20" t="s">
        <v>775</v>
      </c>
      <c r="E1072" s="162" t="s">
        <v>8048</v>
      </c>
    </row>
    <row r="1073" spans="1:5">
      <c r="A1073" t="s">
        <v>2121</v>
      </c>
      <c r="B1073" s="20" t="s">
        <v>2122</v>
      </c>
      <c r="C1073" s="20" t="s">
        <v>775</v>
      </c>
      <c r="E1073" s="162" t="s">
        <v>5452</v>
      </c>
    </row>
    <row r="1074" spans="1:5">
      <c r="A1074" t="s">
        <v>2121</v>
      </c>
      <c r="B1074" s="20" t="s">
        <v>2122</v>
      </c>
      <c r="C1074" s="20" t="s">
        <v>775</v>
      </c>
      <c r="E1074" s="162" t="s">
        <v>5452</v>
      </c>
    </row>
    <row r="1075" spans="1:5">
      <c r="A1075" t="s">
        <v>2123</v>
      </c>
      <c r="B1075" s="20" t="s">
        <v>2124</v>
      </c>
      <c r="C1075" s="20" t="s">
        <v>2125</v>
      </c>
      <c r="E1075" s="162" t="s">
        <v>8360</v>
      </c>
    </row>
    <row r="1076" spans="1:5">
      <c r="A1076" t="s">
        <v>2126</v>
      </c>
      <c r="B1076" s="20" t="s">
        <v>2127</v>
      </c>
      <c r="C1076" s="20" t="s">
        <v>2125</v>
      </c>
      <c r="E1076" s="162" t="s">
        <v>8360</v>
      </c>
    </row>
    <row r="1077" spans="1:5">
      <c r="A1077" t="s">
        <v>2128</v>
      </c>
      <c r="B1077" s="20" t="s">
        <v>2129</v>
      </c>
      <c r="C1077" s="20" t="s">
        <v>2125</v>
      </c>
      <c r="E1077" s="162" t="s">
        <v>8360</v>
      </c>
    </row>
    <row r="1078" spans="1:5">
      <c r="A1078" t="s">
        <v>2130</v>
      </c>
      <c r="B1078" s="20" t="s">
        <v>2131</v>
      </c>
      <c r="C1078" s="20" t="s">
        <v>90</v>
      </c>
      <c r="E1078" s="162" t="s">
        <v>8361</v>
      </c>
    </row>
    <row r="1079" spans="1:5">
      <c r="A1079" t="s">
        <v>2132</v>
      </c>
      <c r="B1079" s="20" t="s">
        <v>2133</v>
      </c>
      <c r="C1079" s="20" t="s">
        <v>90</v>
      </c>
      <c r="E1079" s="162" t="s">
        <v>8361</v>
      </c>
    </row>
    <row r="1080" spans="1:5">
      <c r="A1080" t="s">
        <v>2134</v>
      </c>
      <c r="B1080" s="20" t="s">
        <v>2135</v>
      </c>
      <c r="C1080" s="20" t="s">
        <v>90</v>
      </c>
      <c r="E1080" s="162" t="s">
        <v>8361</v>
      </c>
    </row>
    <row r="1081" spans="1:5">
      <c r="A1081" t="s">
        <v>2136</v>
      </c>
      <c r="B1081" s="20" t="s">
        <v>2137</v>
      </c>
      <c r="C1081" s="20" t="s">
        <v>90</v>
      </c>
      <c r="E1081" s="162" t="s">
        <v>8361</v>
      </c>
    </row>
    <row r="1082" spans="1:5">
      <c r="A1082" t="s">
        <v>2138</v>
      </c>
      <c r="B1082" s="20" t="s">
        <v>2139</v>
      </c>
      <c r="C1082" s="20" t="s">
        <v>90</v>
      </c>
      <c r="E1082" s="162" t="s">
        <v>8361</v>
      </c>
    </row>
    <row r="1083" spans="1:5">
      <c r="A1083" t="s">
        <v>2140</v>
      </c>
      <c r="B1083" s="20" t="s">
        <v>2141</v>
      </c>
      <c r="C1083" s="20" t="s">
        <v>90</v>
      </c>
      <c r="E1083" s="162" t="s">
        <v>8361</v>
      </c>
    </row>
    <row r="1084" spans="1:5">
      <c r="A1084" t="s">
        <v>2142</v>
      </c>
      <c r="B1084" s="20" t="s">
        <v>2143</v>
      </c>
      <c r="C1084" s="20" t="s">
        <v>775</v>
      </c>
      <c r="E1084" s="162" t="s">
        <v>8048</v>
      </c>
    </row>
    <row r="1085" spans="1:5">
      <c r="A1085" t="s">
        <v>2142</v>
      </c>
      <c r="B1085" s="20" t="s">
        <v>2143</v>
      </c>
      <c r="C1085" s="20" t="s">
        <v>775</v>
      </c>
      <c r="E1085" s="162" t="s">
        <v>8048</v>
      </c>
    </row>
    <row r="1086" spans="1:5">
      <c r="A1086" t="s">
        <v>2144</v>
      </c>
      <c r="B1086" s="20" t="s">
        <v>2145</v>
      </c>
      <c r="C1086" s="20" t="s">
        <v>775</v>
      </c>
      <c r="E1086" s="162" t="s">
        <v>8048</v>
      </c>
    </row>
    <row r="1087" spans="1:5">
      <c r="A1087" t="s">
        <v>2144</v>
      </c>
      <c r="B1087" s="20" t="s">
        <v>2145</v>
      </c>
      <c r="C1087" s="20" t="s">
        <v>775</v>
      </c>
      <c r="E1087" s="162" t="s">
        <v>8048</v>
      </c>
    </row>
    <row r="1088" spans="1:5">
      <c r="A1088" t="s">
        <v>2146</v>
      </c>
      <c r="B1088" s="20" t="s">
        <v>2147</v>
      </c>
      <c r="C1088" s="20" t="s">
        <v>2125</v>
      </c>
      <c r="E1088" s="162" t="s">
        <v>8360</v>
      </c>
    </row>
    <row r="1089" spans="1:5">
      <c r="A1089" t="s">
        <v>2148</v>
      </c>
      <c r="B1089" s="20" t="s">
        <v>2149</v>
      </c>
      <c r="C1089" s="20" t="s">
        <v>775</v>
      </c>
      <c r="E1089" s="162" t="s">
        <v>8362</v>
      </c>
    </row>
    <row r="1090" spans="1:5">
      <c r="A1090" t="s">
        <v>2150</v>
      </c>
      <c r="B1090" s="20" t="s">
        <v>2151</v>
      </c>
      <c r="C1090" s="20" t="s">
        <v>775</v>
      </c>
      <c r="E1090" s="162" t="s">
        <v>5454</v>
      </c>
    </row>
    <row r="1091" spans="1:5">
      <c r="A1091" t="s">
        <v>2152</v>
      </c>
      <c r="B1091" s="20" t="s">
        <v>2153</v>
      </c>
      <c r="C1091" s="20" t="s">
        <v>775</v>
      </c>
      <c r="E1091" s="162" t="s">
        <v>5452</v>
      </c>
    </row>
    <row r="1092" spans="1:5">
      <c r="A1092" t="s">
        <v>2154</v>
      </c>
      <c r="B1092" s="20" t="s">
        <v>2155</v>
      </c>
      <c r="C1092" s="20" t="s">
        <v>90</v>
      </c>
      <c r="E1092" s="162" t="s">
        <v>7988</v>
      </c>
    </row>
    <row r="1093" spans="1:5">
      <c r="A1093" t="s">
        <v>2156</v>
      </c>
      <c r="B1093" s="20" t="s">
        <v>2157</v>
      </c>
      <c r="C1093" s="20" t="s">
        <v>90</v>
      </c>
      <c r="E1093" s="162" t="s">
        <v>7988</v>
      </c>
    </row>
    <row r="1094" spans="1:5">
      <c r="A1094" t="s">
        <v>2158</v>
      </c>
      <c r="B1094" s="20" t="s">
        <v>2159</v>
      </c>
      <c r="C1094" s="20" t="s">
        <v>90</v>
      </c>
      <c r="E1094" s="162" t="s">
        <v>7998</v>
      </c>
    </row>
    <row r="1095" spans="1:5">
      <c r="A1095" t="s">
        <v>2160</v>
      </c>
      <c r="B1095" s="20" t="s">
        <v>2161</v>
      </c>
      <c r="C1095" s="20" t="s">
        <v>90</v>
      </c>
      <c r="E1095" s="162" t="s">
        <v>7998</v>
      </c>
    </row>
    <row r="1096" spans="1:5">
      <c r="A1096" t="s">
        <v>2162</v>
      </c>
      <c r="B1096" s="20" t="s">
        <v>2163</v>
      </c>
      <c r="C1096" s="20" t="s">
        <v>90</v>
      </c>
      <c r="E1096" s="162" t="s">
        <v>8363</v>
      </c>
    </row>
    <row r="1097" spans="1:5">
      <c r="A1097" t="s">
        <v>2164</v>
      </c>
      <c r="B1097" s="20" t="s">
        <v>2165</v>
      </c>
      <c r="C1097" s="20" t="s">
        <v>775</v>
      </c>
      <c r="E1097" s="162" t="s">
        <v>5452</v>
      </c>
    </row>
    <row r="1098" spans="1:5">
      <c r="A1098" t="s">
        <v>2166</v>
      </c>
      <c r="B1098" s="20" t="s">
        <v>2167</v>
      </c>
      <c r="C1098" s="20" t="s">
        <v>775</v>
      </c>
      <c r="E1098" s="162" t="s">
        <v>5452</v>
      </c>
    </row>
    <row r="1099" spans="1:5">
      <c r="A1099" t="s">
        <v>2166</v>
      </c>
      <c r="B1099" s="20" t="s">
        <v>2167</v>
      </c>
      <c r="C1099" s="20" t="s">
        <v>775</v>
      </c>
      <c r="E1099" s="162" t="s">
        <v>5452</v>
      </c>
    </row>
    <row r="1100" spans="1:5">
      <c r="A1100" t="s">
        <v>2168</v>
      </c>
      <c r="B1100" s="20" t="s">
        <v>2169</v>
      </c>
      <c r="C1100" s="20" t="s">
        <v>775</v>
      </c>
      <c r="E1100" s="162" t="s">
        <v>5453</v>
      </c>
    </row>
    <row r="1101" spans="1:5">
      <c r="A1101" t="s">
        <v>2168</v>
      </c>
      <c r="B1101" s="20" t="s">
        <v>2169</v>
      </c>
      <c r="C1101" s="20" t="s">
        <v>775</v>
      </c>
      <c r="E1101" s="162" t="s">
        <v>5453</v>
      </c>
    </row>
    <row r="1102" spans="1:5">
      <c r="A1102" t="s">
        <v>2170</v>
      </c>
      <c r="B1102" s="20" t="s">
        <v>2171</v>
      </c>
      <c r="C1102" s="20" t="s">
        <v>775</v>
      </c>
      <c r="E1102" s="162" t="s">
        <v>8362</v>
      </c>
    </row>
    <row r="1103" spans="1:5">
      <c r="A1103" t="s">
        <v>2172</v>
      </c>
      <c r="B1103" s="20" t="s">
        <v>2173</v>
      </c>
      <c r="C1103" s="20" t="s">
        <v>775</v>
      </c>
      <c r="E1103" s="162" t="s">
        <v>5455</v>
      </c>
    </row>
    <row r="1104" spans="1:5">
      <c r="A1104" t="s">
        <v>2174</v>
      </c>
      <c r="B1104" s="20" t="s">
        <v>2175</v>
      </c>
      <c r="C1104" s="20" t="s">
        <v>775</v>
      </c>
      <c r="E1104" s="162" t="s">
        <v>5453</v>
      </c>
    </row>
    <row r="1105" spans="1:5">
      <c r="A1105" t="s">
        <v>2176</v>
      </c>
      <c r="B1105" s="20" t="s">
        <v>2177</v>
      </c>
      <c r="C1105" s="20" t="s">
        <v>90</v>
      </c>
      <c r="E1105" s="162" t="s">
        <v>7997</v>
      </c>
    </row>
    <row r="1106" spans="1:5">
      <c r="A1106" t="s">
        <v>2178</v>
      </c>
      <c r="B1106" s="20" t="s">
        <v>2179</v>
      </c>
      <c r="C1106" s="20" t="s">
        <v>90</v>
      </c>
      <c r="E1106" s="162" t="s">
        <v>7997</v>
      </c>
    </row>
    <row r="1107" spans="1:5">
      <c r="A1107" t="s">
        <v>2180</v>
      </c>
      <c r="B1107" s="20" t="s">
        <v>2181</v>
      </c>
      <c r="C1107" s="20" t="s">
        <v>90</v>
      </c>
      <c r="E1107" s="162" t="s">
        <v>7999</v>
      </c>
    </row>
    <row r="1108" spans="1:5">
      <c r="A1108" t="s">
        <v>2182</v>
      </c>
      <c r="B1108" s="20" t="s">
        <v>2183</v>
      </c>
      <c r="C1108" s="20" t="s">
        <v>90</v>
      </c>
      <c r="E1108" s="162" t="s">
        <v>7999</v>
      </c>
    </row>
    <row r="1109" spans="1:5">
      <c r="A1109" t="s">
        <v>2184</v>
      </c>
      <c r="B1109" s="20" t="s">
        <v>2185</v>
      </c>
      <c r="C1109" s="20" t="s">
        <v>775</v>
      </c>
      <c r="E1109" s="162" t="s">
        <v>5453</v>
      </c>
    </row>
    <row r="1110" spans="1:5">
      <c r="A1110" t="s">
        <v>2186</v>
      </c>
      <c r="B1110" s="20" t="s">
        <v>2187</v>
      </c>
      <c r="C1110" s="20" t="s">
        <v>775</v>
      </c>
      <c r="E1110" s="162" t="s">
        <v>5453</v>
      </c>
    </row>
    <row r="1111" spans="1:5">
      <c r="A1111" t="s">
        <v>2188</v>
      </c>
      <c r="B1111" s="20" t="s">
        <v>2189</v>
      </c>
      <c r="C1111" s="20">
        <v>0</v>
      </c>
      <c r="E1111" s="162" t="s">
        <v>8364</v>
      </c>
    </row>
    <row r="1112" spans="1:5">
      <c r="A1112" t="s">
        <v>2190</v>
      </c>
      <c r="B1112" s="20" t="s">
        <v>2191</v>
      </c>
      <c r="C1112" s="20">
        <v>0</v>
      </c>
      <c r="E1112" s="162" t="s">
        <v>8364</v>
      </c>
    </row>
    <row r="1113" spans="1:5">
      <c r="A1113" t="s">
        <v>2192</v>
      </c>
      <c r="B1113" s="20" t="s">
        <v>2193</v>
      </c>
      <c r="C1113" s="20">
        <v>0</v>
      </c>
      <c r="E1113" s="162" t="s">
        <v>8364</v>
      </c>
    </row>
    <row r="1114" spans="1:5">
      <c r="A1114" t="s">
        <v>2194</v>
      </c>
      <c r="B1114" s="20" t="s">
        <v>2195</v>
      </c>
      <c r="C1114" s="20">
        <v>0</v>
      </c>
      <c r="E1114" s="162" t="s">
        <v>8364</v>
      </c>
    </row>
    <row r="1115" spans="1:5">
      <c r="A1115" t="s">
        <v>2196</v>
      </c>
      <c r="B1115" s="20" t="s">
        <v>2197</v>
      </c>
      <c r="C1115" s="20">
        <v>0</v>
      </c>
      <c r="E1115" s="162" t="s">
        <v>8365</v>
      </c>
    </row>
    <row r="1116" spans="1:5">
      <c r="A1116" t="s">
        <v>2198</v>
      </c>
      <c r="B1116" s="20" t="s">
        <v>2199</v>
      </c>
      <c r="C1116" s="20">
        <v>0</v>
      </c>
      <c r="E1116" s="162" t="s">
        <v>8365</v>
      </c>
    </row>
    <row r="1117" spans="1:5">
      <c r="A1117" t="s">
        <v>2200</v>
      </c>
      <c r="B1117" s="20" t="s">
        <v>2201</v>
      </c>
      <c r="C1117" s="20" t="s">
        <v>89</v>
      </c>
      <c r="E1117" s="162" t="s">
        <v>8366</v>
      </c>
    </row>
    <row r="1118" spans="1:5">
      <c r="A1118" t="s">
        <v>2202</v>
      </c>
      <c r="B1118" s="20" t="s">
        <v>2203</v>
      </c>
      <c r="C1118" s="20" t="s">
        <v>89</v>
      </c>
      <c r="E1118" s="162" t="s">
        <v>8367</v>
      </c>
    </row>
    <row r="1119" spans="1:5">
      <c r="A1119" t="s">
        <v>2204</v>
      </c>
      <c r="B1119" s="20" t="s">
        <v>2205</v>
      </c>
      <c r="C1119" s="20" t="s">
        <v>89</v>
      </c>
      <c r="E1119" s="162" t="s">
        <v>8367</v>
      </c>
    </row>
    <row r="1120" spans="1:5">
      <c r="A1120" t="s">
        <v>2206</v>
      </c>
      <c r="B1120" s="20" t="s">
        <v>2207</v>
      </c>
      <c r="C1120" s="20">
        <v>0</v>
      </c>
      <c r="E1120" s="162" t="s">
        <v>8368</v>
      </c>
    </row>
    <row r="1121" spans="1:5">
      <c r="A1121" t="s">
        <v>2208</v>
      </c>
      <c r="B1121" s="20" t="s">
        <v>2209</v>
      </c>
      <c r="C1121" s="20">
        <v>0</v>
      </c>
      <c r="E1121" s="162" t="s">
        <v>8368</v>
      </c>
    </row>
    <row r="1122" spans="1:5">
      <c r="A1122" t="s">
        <v>2210</v>
      </c>
      <c r="B1122" s="20" t="s">
        <v>2211</v>
      </c>
      <c r="C1122" s="20" t="s">
        <v>90</v>
      </c>
      <c r="E1122" s="162" t="s">
        <v>7987</v>
      </c>
    </row>
    <row r="1123" spans="1:5">
      <c r="A1123" t="s">
        <v>2212</v>
      </c>
      <c r="B1123" s="20" t="s">
        <v>2213</v>
      </c>
      <c r="C1123" s="20" t="s">
        <v>90</v>
      </c>
      <c r="E1123" s="162" t="s">
        <v>7987</v>
      </c>
    </row>
    <row r="1124" spans="1:5">
      <c r="A1124" t="s">
        <v>2214</v>
      </c>
      <c r="B1124" s="20" t="s">
        <v>2215</v>
      </c>
      <c r="C1124" s="20" t="s">
        <v>90</v>
      </c>
      <c r="E1124" s="162" t="s">
        <v>7996</v>
      </c>
    </row>
    <row r="1125" spans="1:5">
      <c r="A1125" t="s">
        <v>2216</v>
      </c>
      <c r="B1125" s="20" t="s">
        <v>2217</v>
      </c>
      <c r="C1125" s="20" t="s">
        <v>90</v>
      </c>
      <c r="E1125" s="162" t="s">
        <v>7996</v>
      </c>
    </row>
    <row r="1126" spans="1:5">
      <c r="A1126" t="s">
        <v>2218</v>
      </c>
      <c r="B1126" s="20" t="s">
        <v>2219</v>
      </c>
      <c r="C1126" s="20" t="s">
        <v>89</v>
      </c>
      <c r="E1126" s="162" t="s">
        <v>8049</v>
      </c>
    </row>
    <row r="1127" spans="1:5">
      <c r="A1127" t="s">
        <v>2218</v>
      </c>
      <c r="B1127" s="20" t="s">
        <v>2219</v>
      </c>
      <c r="C1127" s="20" t="s">
        <v>89</v>
      </c>
      <c r="E1127" s="162" t="s">
        <v>8049</v>
      </c>
    </row>
    <row r="1128" spans="1:5">
      <c r="A1128" t="s">
        <v>2220</v>
      </c>
      <c r="B1128" s="20" t="s">
        <v>2221</v>
      </c>
      <c r="C1128" s="20" t="s">
        <v>89</v>
      </c>
      <c r="E1128" s="162" t="s">
        <v>8049</v>
      </c>
    </row>
    <row r="1129" spans="1:5">
      <c r="A1129" t="s">
        <v>2220</v>
      </c>
      <c r="B1129" s="20" t="s">
        <v>2221</v>
      </c>
      <c r="C1129" s="20" t="s">
        <v>89</v>
      </c>
      <c r="E1129" s="162" t="s">
        <v>8049</v>
      </c>
    </row>
    <row r="1130" spans="1:5">
      <c r="A1130" t="s">
        <v>2222</v>
      </c>
      <c r="B1130" s="20" t="s">
        <v>2223</v>
      </c>
      <c r="C1130" s="20" t="s">
        <v>90</v>
      </c>
      <c r="E1130" s="162" t="s">
        <v>8369</v>
      </c>
    </row>
    <row r="1131" spans="1:5">
      <c r="A1131" t="s">
        <v>2224</v>
      </c>
      <c r="B1131" s="20" t="s">
        <v>2225</v>
      </c>
      <c r="C1131" s="20" t="s">
        <v>91</v>
      </c>
      <c r="E1131" s="162" t="s">
        <v>4976</v>
      </c>
    </row>
    <row r="1132" spans="1:5">
      <c r="A1132" t="s">
        <v>2224</v>
      </c>
      <c r="B1132" s="20" t="s">
        <v>2225</v>
      </c>
      <c r="C1132" s="20" t="s">
        <v>91</v>
      </c>
      <c r="E1132" s="162" t="s">
        <v>4976</v>
      </c>
    </row>
    <row r="1133" spans="1:5">
      <c r="A1133" t="s">
        <v>2226</v>
      </c>
      <c r="B1133" s="20" t="s">
        <v>2227</v>
      </c>
      <c r="C1133" s="20">
        <v>0</v>
      </c>
      <c r="E1133" s="162" t="s">
        <v>4976</v>
      </c>
    </row>
    <row r="1134" spans="1:5">
      <c r="A1134" t="s">
        <v>2228</v>
      </c>
      <c r="B1134" s="20" t="s">
        <v>2229</v>
      </c>
      <c r="C1134" s="20" t="s">
        <v>91</v>
      </c>
      <c r="E1134" s="162" t="s">
        <v>4976</v>
      </c>
    </row>
    <row r="1135" spans="1:5">
      <c r="A1135" t="s">
        <v>2228</v>
      </c>
      <c r="B1135" s="20" t="s">
        <v>2229</v>
      </c>
      <c r="C1135" s="20" t="s">
        <v>91</v>
      </c>
      <c r="E1135" s="162" t="s">
        <v>4976</v>
      </c>
    </row>
    <row r="1136" spans="1:5">
      <c r="A1136" t="s">
        <v>2230</v>
      </c>
      <c r="B1136" s="20" t="s">
        <v>2231</v>
      </c>
      <c r="C1136" s="20">
        <v>0</v>
      </c>
      <c r="E1136" s="162" t="s">
        <v>4976</v>
      </c>
    </row>
    <row r="1137" spans="1:5">
      <c r="A1137" t="s">
        <v>2232</v>
      </c>
      <c r="B1137" s="20" t="s">
        <v>2233</v>
      </c>
      <c r="C1137" s="20" t="s">
        <v>90</v>
      </c>
      <c r="E1137" s="162" t="s">
        <v>8370</v>
      </c>
    </row>
    <row r="1138" spans="1:5">
      <c r="A1138" t="s">
        <v>2234</v>
      </c>
      <c r="B1138" s="20" t="s">
        <v>2235</v>
      </c>
      <c r="C1138" s="20" t="s">
        <v>254</v>
      </c>
      <c r="E1138" s="162" t="s">
        <v>4976</v>
      </c>
    </row>
    <row r="1139" spans="1:5">
      <c r="A1139" t="s">
        <v>2236</v>
      </c>
      <c r="B1139" s="20" t="s">
        <v>2237</v>
      </c>
      <c r="C1139" s="20" t="s">
        <v>90</v>
      </c>
      <c r="E1139" s="162" t="s">
        <v>8371</v>
      </c>
    </row>
    <row r="1140" spans="1:5">
      <c r="A1140" t="s">
        <v>2238</v>
      </c>
      <c r="B1140" s="20" t="s">
        <v>2239</v>
      </c>
      <c r="C1140" s="20" t="s">
        <v>259</v>
      </c>
      <c r="E1140" s="162" t="s">
        <v>4839</v>
      </c>
    </row>
    <row r="1141" spans="1:5">
      <c r="A1141" t="s">
        <v>2238</v>
      </c>
      <c r="B1141" s="20" t="s">
        <v>2239</v>
      </c>
      <c r="C1141" s="20" t="s">
        <v>259</v>
      </c>
      <c r="E1141" s="162" t="s">
        <v>4839</v>
      </c>
    </row>
    <row r="1142" spans="1:5">
      <c r="A1142" t="s">
        <v>2240</v>
      </c>
      <c r="B1142" s="20" t="s">
        <v>2241</v>
      </c>
      <c r="C1142" s="20" t="s">
        <v>259</v>
      </c>
      <c r="E1142" s="162" t="s">
        <v>4839</v>
      </c>
    </row>
    <row r="1143" spans="1:5">
      <c r="A1143" t="s">
        <v>2240</v>
      </c>
      <c r="B1143" s="20" t="s">
        <v>2241</v>
      </c>
      <c r="C1143" s="20" t="s">
        <v>259</v>
      </c>
      <c r="E1143" s="162" t="s">
        <v>4839</v>
      </c>
    </row>
    <row r="1144" spans="1:5">
      <c r="A1144" t="s">
        <v>2242</v>
      </c>
      <c r="B1144" s="20" t="s">
        <v>2243</v>
      </c>
      <c r="C1144" s="20" t="s">
        <v>259</v>
      </c>
      <c r="E1144" s="162" t="s">
        <v>4839</v>
      </c>
    </row>
    <row r="1145" spans="1:5">
      <c r="A1145" t="s">
        <v>2242</v>
      </c>
      <c r="B1145" s="20" t="s">
        <v>2243</v>
      </c>
      <c r="C1145" s="20" t="s">
        <v>259</v>
      </c>
      <c r="E1145" s="162" t="s">
        <v>4839</v>
      </c>
    </row>
    <row r="1146" spans="1:5">
      <c r="A1146" t="s">
        <v>2244</v>
      </c>
      <c r="B1146" s="20" t="s">
        <v>2245</v>
      </c>
      <c r="C1146" s="20" t="s">
        <v>259</v>
      </c>
      <c r="E1146" s="162" t="s">
        <v>4839</v>
      </c>
    </row>
    <row r="1147" spans="1:5">
      <c r="A1147" t="s">
        <v>2244</v>
      </c>
      <c r="B1147" s="20" t="s">
        <v>2245</v>
      </c>
      <c r="C1147" s="20" t="s">
        <v>259</v>
      </c>
      <c r="E1147" s="162" t="s">
        <v>4839</v>
      </c>
    </row>
    <row r="1148" spans="1:5">
      <c r="A1148" t="s">
        <v>2246</v>
      </c>
      <c r="B1148" s="20" t="s">
        <v>2247</v>
      </c>
      <c r="C1148" s="20" t="s">
        <v>90</v>
      </c>
      <c r="E1148" s="162" t="s">
        <v>5235</v>
      </c>
    </row>
    <row r="1149" spans="1:5">
      <c r="A1149" t="s">
        <v>2248</v>
      </c>
      <c r="B1149" s="20" t="s">
        <v>2249</v>
      </c>
      <c r="C1149" s="20" t="s">
        <v>90</v>
      </c>
      <c r="E1149" s="162" t="s">
        <v>5235</v>
      </c>
    </row>
    <row r="1150" spans="1:5">
      <c r="A1150" t="s">
        <v>2250</v>
      </c>
      <c r="B1150" s="20" t="s">
        <v>2251</v>
      </c>
      <c r="C1150" s="20" t="s">
        <v>2252</v>
      </c>
      <c r="E1150" s="162" t="s">
        <v>5235</v>
      </c>
    </row>
    <row r="1151" spans="1:5">
      <c r="A1151" t="s">
        <v>2253</v>
      </c>
      <c r="B1151" s="20" t="s">
        <v>2254</v>
      </c>
      <c r="C1151" s="20" t="s">
        <v>259</v>
      </c>
      <c r="E1151" s="162" t="s">
        <v>4840</v>
      </c>
    </row>
    <row r="1152" spans="1:5">
      <c r="A1152" t="s">
        <v>2253</v>
      </c>
      <c r="B1152" s="20" t="s">
        <v>2254</v>
      </c>
      <c r="C1152" s="20" t="s">
        <v>259</v>
      </c>
      <c r="E1152" s="162" t="s">
        <v>4840</v>
      </c>
    </row>
    <row r="1153" spans="1:5">
      <c r="A1153" t="s">
        <v>2255</v>
      </c>
      <c r="B1153" s="20" t="s">
        <v>2256</v>
      </c>
      <c r="C1153" s="20" t="s">
        <v>259</v>
      </c>
      <c r="E1153" s="162" t="s">
        <v>4840</v>
      </c>
    </row>
    <row r="1154" spans="1:5">
      <c r="A1154" t="s">
        <v>2255</v>
      </c>
      <c r="B1154" s="20" t="s">
        <v>2256</v>
      </c>
      <c r="C1154" s="20" t="s">
        <v>259</v>
      </c>
      <c r="E1154" s="162" t="s">
        <v>4840</v>
      </c>
    </row>
    <row r="1155" spans="1:5">
      <c r="A1155" t="s">
        <v>2257</v>
      </c>
      <c r="B1155" s="20" t="s">
        <v>2258</v>
      </c>
      <c r="C1155" s="20" t="s">
        <v>259</v>
      </c>
      <c r="E1155" s="162" t="s">
        <v>4840</v>
      </c>
    </row>
    <row r="1156" spans="1:5">
      <c r="A1156" t="s">
        <v>2257</v>
      </c>
      <c r="B1156" s="20" t="s">
        <v>2258</v>
      </c>
      <c r="C1156" s="20" t="s">
        <v>259</v>
      </c>
      <c r="E1156" s="162" t="s">
        <v>4840</v>
      </c>
    </row>
    <row r="1157" spans="1:5">
      <c r="A1157" t="s">
        <v>2259</v>
      </c>
      <c r="B1157" s="20" t="s">
        <v>2260</v>
      </c>
      <c r="C1157" s="20" t="s">
        <v>259</v>
      </c>
      <c r="E1157" s="162" t="s">
        <v>4840</v>
      </c>
    </row>
    <row r="1158" spans="1:5">
      <c r="A1158" t="s">
        <v>2259</v>
      </c>
      <c r="B1158" s="20" t="s">
        <v>2260</v>
      </c>
      <c r="C1158" s="20" t="s">
        <v>259</v>
      </c>
      <c r="E1158" s="162" t="s">
        <v>4840</v>
      </c>
    </row>
    <row r="1159" spans="1:5">
      <c r="A1159" t="s">
        <v>2261</v>
      </c>
      <c r="B1159" s="20" t="s">
        <v>2262</v>
      </c>
      <c r="C1159" s="20" t="s">
        <v>259</v>
      </c>
      <c r="E1159" s="162" t="s">
        <v>5438</v>
      </c>
    </row>
    <row r="1160" spans="1:5">
      <c r="A1160" t="s">
        <v>2263</v>
      </c>
      <c r="B1160" s="20" t="s">
        <v>2264</v>
      </c>
      <c r="C1160" s="20" t="s">
        <v>259</v>
      </c>
      <c r="E1160" s="162" t="s">
        <v>8372</v>
      </c>
    </row>
    <row r="1161" spans="1:5">
      <c r="A1161" t="s">
        <v>2265</v>
      </c>
      <c r="B1161" s="20" t="s">
        <v>2266</v>
      </c>
      <c r="C1161" s="20" t="s">
        <v>194</v>
      </c>
      <c r="E1161" s="162" t="s">
        <v>8373</v>
      </c>
    </row>
    <row r="1162" spans="1:5">
      <c r="A1162" t="s">
        <v>2267</v>
      </c>
      <c r="B1162" s="20" t="s">
        <v>2268</v>
      </c>
      <c r="C1162" s="20" t="s">
        <v>194</v>
      </c>
      <c r="E1162" s="162" t="s">
        <v>8050</v>
      </c>
    </row>
    <row r="1163" spans="1:5">
      <c r="A1163" t="s">
        <v>2267</v>
      </c>
      <c r="B1163" s="20" t="s">
        <v>2268</v>
      </c>
      <c r="C1163" s="20" t="s">
        <v>194</v>
      </c>
      <c r="E1163" s="162" t="s">
        <v>8050</v>
      </c>
    </row>
    <row r="1164" spans="1:5">
      <c r="A1164" t="s">
        <v>2269</v>
      </c>
      <c r="B1164" s="20" t="s">
        <v>2270</v>
      </c>
      <c r="C1164" s="20" t="s">
        <v>259</v>
      </c>
      <c r="E1164" s="162" t="s">
        <v>6209</v>
      </c>
    </row>
    <row r="1165" spans="1:5">
      <c r="A1165" t="s">
        <v>2269</v>
      </c>
      <c r="B1165" s="20" t="s">
        <v>2270</v>
      </c>
      <c r="C1165" s="20" t="s">
        <v>259</v>
      </c>
      <c r="E1165" s="162" t="s">
        <v>6209</v>
      </c>
    </row>
    <row r="1166" spans="1:5">
      <c r="A1166" t="s">
        <v>2271</v>
      </c>
      <c r="B1166" s="20" t="s">
        <v>2272</v>
      </c>
      <c r="C1166" s="20" t="s">
        <v>247</v>
      </c>
      <c r="E1166" s="162" t="s">
        <v>6209</v>
      </c>
    </row>
    <row r="1167" spans="1:5">
      <c r="A1167" t="s">
        <v>2273</v>
      </c>
      <c r="B1167" s="20" t="s">
        <v>2274</v>
      </c>
      <c r="C1167" s="20" t="s">
        <v>259</v>
      </c>
      <c r="E1167" s="162" t="s">
        <v>5440</v>
      </c>
    </row>
    <row r="1168" spans="1:5">
      <c r="A1168" t="s">
        <v>2273</v>
      </c>
      <c r="B1168" s="20" t="s">
        <v>2274</v>
      </c>
      <c r="C1168" s="20" t="s">
        <v>259</v>
      </c>
      <c r="E1168" s="162" t="s">
        <v>5440</v>
      </c>
    </row>
    <row r="1169" spans="1:5">
      <c r="A1169" t="s">
        <v>2275</v>
      </c>
      <c r="B1169" s="20" t="s">
        <v>2276</v>
      </c>
      <c r="C1169" s="20" t="s">
        <v>259</v>
      </c>
      <c r="E1169" s="162" t="s">
        <v>6208</v>
      </c>
    </row>
    <row r="1170" spans="1:5">
      <c r="A1170" t="s">
        <v>2277</v>
      </c>
      <c r="B1170" s="20" t="s">
        <v>2278</v>
      </c>
      <c r="C1170" s="20" t="s">
        <v>259</v>
      </c>
      <c r="E1170" s="162" t="s">
        <v>7992</v>
      </c>
    </row>
    <row r="1171" spans="1:5">
      <c r="A1171" t="s">
        <v>2277</v>
      </c>
      <c r="B1171" s="20" t="s">
        <v>2278</v>
      </c>
      <c r="C1171" s="20" t="s">
        <v>259</v>
      </c>
      <c r="E1171" s="162" t="s">
        <v>7992</v>
      </c>
    </row>
    <row r="1172" spans="1:5">
      <c r="A1172" t="s">
        <v>2279</v>
      </c>
      <c r="B1172" s="20" t="s">
        <v>2280</v>
      </c>
      <c r="C1172" s="20" t="s">
        <v>259</v>
      </c>
      <c r="E1172" s="162" t="s">
        <v>8001</v>
      </c>
    </row>
    <row r="1173" spans="1:5">
      <c r="A1173" t="s">
        <v>2279</v>
      </c>
      <c r="B1173" s="20" t="s">
        <v>2280</v>
      </c>
      <c r="C1173" s="20" t="s">
        <v>259</v>
      </c>
      <c r="E1173" s="162" t="s">
        <v>8001</v>
      </c>
    </row>
    <row r="1174" spans="1:5">
      <c r="A1174" t="s">
        <v>2281</v>
      </c>
      <c r="B1174" s="20" t="s">
        <v>2282</v>
      </c>
      <c r="C1174" s="20" t="s">
        <v>259</v>
      </c>
      <c r="E1174" s="162" t="s">
        <v>6208</v>
      </c>
    </row>
    <row r="1175" spans="1:5">
      <c r="A1175" t="s">
        <v>2283</v>
      </c>
      <c r="B1175" s="20" t="s">
        <v>2284</v>
      </c>
      <c r="C1175" s="20" t="s">
        <v>247</v>
      </c>
      <c r="E1175" s="162" t="s">
        <v>6208</v>
      </c>
    </row>
    <row r="1176" spans="1:5">
      <c r="A1176" t="s">
        <v>2285</v>
      </c>
      <c r="B1176" s="20" t="s">
        <v>2286</v>
      </c>
      <c r="C1176" s="20" t="s">
        <v>89</v>
      </c>
      <c r="E1176" s="162" t="s">
        <v>8374</v>
      </c>
    </row>
    <row r="1177" spans="1:5">
      <c r="A1177" t="s">
        <v>2287</v>
      </c>
      <c r="B1177" s="20" t="s">
        <v>2288</v>
      </c>
      <c r="C1177" s="20" t="s">
        <v>194</v>
      </c>
      <c r="E1177" s="162" t="s">
        <v>5398</v>
      </c>
    </row>
    <row r="1178" spans="1:5">
      <c r="A1178" t="s">
        <v>2287</v>
      </c>
      <c r="B1178" s="20" t="s">
        <v>2288</v>
      </c>
      <c r="C1178" s="20" t="s">
        <v>194</v>
      </c>
      <c r="E1178" s="162" t="s">
        <v>5398</v>
      </c>
    </row>
    <row r="1179" spans="1:5">
      <c r="A1179" t="s">
        <v>2289</v>
      </c>
      <c r="B1179" s="20" t="s">
        <v>2290</v>
      </c>
      <c r="C1179" s="20" t="s">
        <v>194</v>
      </c>
      <c r="E1179" s="162" t="s">
        <v>5516</v>
      </c>
    </row>
    <row r="1180" spans="1:5">
      <c r="A1180" t="s">
        <v>2289</v>
      </c>
      <c r="B1180" s="20" t="s">
        <v>2290</v>
      </c>
      <c r="C1180" s="20" t="s">
        <v>194</v>
      </c>
      <c r="E1180" s="162" t="s">
        <v>5516</v>
      </c>
    </row>
    <row r="1181" spans="1:5">
      <c r="A1181" t="s">
        <v>2291</v>
      </c>
      <c r="B1181" s="20" t="s">
        <v>2292</v>
      </c>
      <c r="C1181" s="20" t="s">
        <v>194</v>
      </c>
      <c r="E1181" s="162" t="s">
        <v>5398</v>
      </c>
    </row>
    <row r="1182" spans="1:5">
      <c r="A1182" t="s">
        <v>2291</v>
      </c>
      <c r="B1182" s="20" t="s">
        <v>2292</v>
      </c>
      <c r="C1182" s="20" t="s">
        <v>194</v>
      </c>
      <c r="E1182" s="162" t="s">
        <v>5398</v>
      </c>
    </row>
    <row r="1183" spans="1:5">
      <c r="A1183" t="s">
        <v>2293</v>
      </c>
      <c r="B1183" s="20" t="s">
        <v>2294</v>
      </c>
      <c r="C1183" s="20" t="s">
        <v>259</v>
      </c>
      <c r="E1183" s="162" t="s">
        <v>8375</v>
      </c>
    </row>
    <row r="1184" spans="1:5">
      <c r="A1184" t="s">
        <v>2295</v>
      </c>
      <c r="B1184" s="20" t="s">
        <v>2296</v>
      </c>
      <c r="C1184" s="20">
        <v>0</v>
      </c>
      <c r="E1184" s="162" t="s">
        <v>8375</v>
      </c>
    </row>
    <row r="1185" spans="1:5">
      <c r="A1185" t="s">
        <v>2297</v>
      </c>
      <c r="B1185" s="20" t="s">
        <v>2298</v>
      </c>
      <c r="C1185" s="20" t="s">
        <v>247</v>
      </c>
      <c r="E1185" s="162" t="s">
        <v>5398</v>
      </c>
    </row>
    <row r="1186" spans="1:5">
      <c r="A1186" t="s">
        <v>2299</v>
      </c>
      <c r="B1186" s="20" t="s">
        <v>2300</v>
      </c>
      <c r="C1186" s="20" t="s">
        <v>254</v>
      </c>
      <c r="E1186" s="162" t="s">
        <v>5516</v>
      </c>
    </row>
    <row r="1187" spans="1:5">
      <c r="A1187" t="s">
        <v>2301</v>
      </c>
      <c r="B1187" s="20" t="s">
        <v>2302</v>
      </c>
      <c r="C1187" s="20" t="s">
        <v>775</v>
      </c>
      <c r="E1187" s="162" t="s">
        <v>5398</v>
      </c>
    </row>
    <row r="1188" spans="1:5">
      <c r="A1188" t="s">
        <v>2303</v>
      </c>
      <c r="B1188" s="20" t="s">
        <v>2304</v>
      </c>
      <c r="C1188" s="20" t="s">
        <v>247</v>
      </c>
      <c r="E1188" s="162" t="s">
        <v>5398</v>
      </c>
    </row>
    <row r="1189" spans="1:5">
      <c r="A1189" t="s">
        <v>2305</v>
      </c>
      <c r="B1189" s="20" t="s">
        <v>2306</v>
      </c>
      <c r="C1189" s="20" t="s">
        <v>259</v>
      </c>
      <c r="E1189" s="162" t="s">
        <v>5520</v>
      </c>
    </row>
    <row r="1190" spans="1:5">
      <c r="A1190" t="s">
        <v>2305</v>
      </c>
      <c r="B1190" s="20" t="s">
        <v>2306</v>
      </c>
      <c r="C1190" s="20" t="s">
        <v>259</v>
      </c>
      <c r="E1190" s="162" t="s">
        <v>5520</v>
      </c>
    </row>
    <row r="1191" spans="1:5">
      <c r="A1191" t="s">
        <v>2307</v>
      </c>
      <c r="B1191" s="20" t="s">
        <v>2308</v>
      </c>
      <c r="C1191" s="20" t="s">
        <v>259</v>
      </c>
      <c r="E1191" s="162" t="s">
        <v>5398</v>
      </c>
    </row>
    <row r="1192" spans="1:5">
      <c r="A1192" t="s">
        <v>2309</v>
      </c>
      <c r="B1192" s="20" t="s">
        <v>2310</v>
      </c>
      <c r="C1192" s="20">
        <v>0</v>
      </c>
      <c r="E1192" s="162" t="s">
        <v>8376</v>
      </c>
    </row>
    <row r="1193" spans="1:5">
      <c r="A1193" t="s">
        <v>2311</v>
      </c>
      <c r="B1193" s="20" t="s">
        <v>2312</v>
      </c>
      <c r="C1193" s="20">
        <v>0</v>
      </c>
      <c r="E1193" s="162" t="s">
        <v>8376</v>
      </c>
    </row>
    <row r="1194" spans="1:5">
      <c r="A1194" t="s">
        <v>2313</v>
      </c>
      <c r="B1194" s="20" t="s">
        <v>2314</v>
      </c>
      <c r="C1194" s="20" t="s">
        <v>194</v>
      </c>
      <c r="E1194" s="162" t="s">
        <v>6222</v>
      </c>
    </row>
    <row r="1195" spans="1:5">
      <c r="A1195" t="s">
        <v>2315</v>
      </c>
      <c r="B1195" s="20" t="s">
        <v>2316</v>
      </c>
      <c r="C1195" s="20" t="s">
        <v>194</v>
      </c>
      <c r="E1195" s="162" t="s">
        <v>6222</v>
      </c>
    </row>
    <row r="1196" spans="1:5">
      <c r="A1196" t="s">
        <v>2317</v>
      </c>
      <c r="B1196" s="20" t="s">
        <v>2318</v>
      </c>
      <c r="C1196" s="20" t="s">
        <v>194</v>
      </c>
      <c r="E1196" s="162" t="s">
        <v>6222</v>
      </c>
    </row>
    <row r="1197" spans="1:5">
      <c r="A1197" t="s">
        <v>2319</v>
      </c>
      <c r="B1197" s="20" t="s">
        <v>2320</v>
      </c>
      <c r="C1197" s="20" t="s">
        <v>775</v>
      </c>
      <c r="E1197" s="162" t="s">
        <v>8377</v>
      </c>
    </row>
    <row r="1198" spans="1:5">
      <c r="A1198" t="s">
        <v>2321</v>
      </c>
      <c r="B1198" s="20" t="s">
        <v>2322</v>
      </c>
      <c r="C1198" s="20" t="s">
        <v>775</v>
      </c>
      <c r="E1198" s="162" t="s">
        <v>6222</v>
      </c>
    </row>
    <row r="1199" spans="1:5">
      <c r="A1199" t="s">
        <v>2323</v>
      </c>
      <c r="B1199" s="20" t="s">
        <v>2324</v>
      </c>
      <c r="C1199" s="20" t="s">
        <v>775</v>
      </c>
      <c r="E1199" s="162" t="s">
        <v>6222</v>
      </c>
    </row>
    <row r="1200" spans="1:5">
      <c r="A1200" t="s">
        <v>2325</v>
      </c>
      <c r="B1200" s="20" t="s">
        <v>2326</v>
      </c>
      <c r="C1200" s="20" t="s">
        <v>90</v>
      </c>
      <c r="E1200" s="162" t="s">
        <v>8378</v>
      </c>
    </row>
    <row r="1201" spans="1:5">
      <c r="A1201" t="s">
        <v>2327</v>
      </c>
      <c r="B1201" s="20" t="s">
        <v>2328</v>
      </c>
      <c r="C1201" s="20" t="s">
        <v>247</v>
      </c>
      <c r="E1201" s="162" t="s">
        <v>8150</v>
      </c>
    </row>
    <row r="1202" spans="1:5">
      <c r="A1202" t="s">
        <v>2327</v>
      </c>
      <c r="B1202" s="20" t="s">
        <v>2328</v>
      </c>
      <c r="C1202" s="20" t="s">
        <v>247</v>
      </c>
      <c r="E1202" s="162" t="s">
        <v>8150</v>
      </c>
    </row>
    <row r="1203" spans="1:5">
      <c r="A1203" t="s">
        <v>2329</v>
      </c>
      <c r="B1203" s="20" t="s">
        <v>2330</v>
      </c>
      <c r="C1203" s="20" t="s">
        <v>247</v>
      </c>
      <c r="E1203" s="162" t="s">
        <v>8379</v>
      </c>
    </row>
    <row r="1204" spans="1:5">
      <c r="A1204" t="s">
        <v>2329</v>
      </c>
      <c r="B1204" s="20" t="s">
        <v>2330</v>
      </c>
      <c r="C1204" s="20" t="s">
        <v>247</v>
      </c>
      <c r="E1204" s="162" t="s">
        <v>8379</v>
      </c>
    </row>
    <row r="1205" spans="1:5">
      <c r="A1205" t="s">
        <v>2331</v>
      </c>
      <c r="B1205" s="20" t="s">
        <v>2332</v>
      </c>
      <c r="C1205" s="20" t="s">
        <v>247</v>
      </c>
      <c r="E1205" s="162" t="s">
        <v>5513</v>
      </c>
    </row>
    <row r="1206" spans="1:5">
      <c r="A1206" t="s">
        <v>2331</v>
      </c>
      <c r="B1206" s="20" t="s">
        <v>2332</v>
      </c>
      <c r="C1206" s="20" t="s">
        <v>247</v>
      </c>
      <c r="E1206" s="162" t="s">
        <v>5513</v>
      </c>
    </row>
    <row r="1207" spans="1:5">
      <c r="A1207" t="s">
        <v>2333</v>
      </c>
      <c r="B1207" s="20" t="s">
        <v>2334</v>
      </c>
      <c r="C1207" s="20" t="s">
        <v>247</v>
      </c>
      <c r="E1207" s="162" t="s">
        <v>8380</v>
      </c>
    </row>
    <row r="1208" spans="1:5">
      <c r="A1208" t="s">
        <v>2333</v>
      </c>
      <c r="B1208" s="20" t="s">
        <v>2334</v>
      </c>
      <c r="C1208" s="20" t="s">
        <v>247</v>
      </c>
      <c r="E1208" s="162" t="s">
        <v>8380</v>
      </c>
    </row>
    <row r="1209" spans="1:5">
      <c r="A1209" t="s">
        <v>2335</v>
      </c>
      <c r="B1209" s="20" t="s">
        <v>2336</v>
      </c>
      <c r="C1209" s="20" t="s">
        <v>247</v>
      </c>
      <c r="E1209" s="162" t="s">
        <v>8381</v>
      </c>
    </row>
    <row r="1210" spans="1:5">
      <c r="A1210" t="s">
        <v>2335</v>
      </c>
      <c r="B1210" s="20" t="s">
        <v>2336</v>
      </c>
      <c r="C1210" s="20" t="s">
        <v>247</v>
      </c>
      <c r="E1210" s="162" t="s">
        <v>8381</v>
      </c>
    </row>
    <row r="1211" spans="1:5">
      <c r="A1211" t="s">
        <v>2337</v>
      </c>
      <c r="B1211" s="20" t="s">
        <v>2338</v>
      </c>
      <c r="C1211" s="20" t="s">
        <v>247</v>
      </c>
      <c r="E1211" s="162" t="s">
        <v>5397</v>
      </c>
    </row>
    <row r="1212" spans="1:5">
      <c r="A1212" t="s">
        <v>2337</v>
      </c>
      <c r="B1212" s="20" t="s">
        <v>2338</v>
      </c>
      <c r="C1212" s="20" t="s">
        <v>247</v>
      </c>
      <c r="E1212" s="162" t="s">
        <v>5397</v>
      </c>
    </row>
    <row r="1213" spans="1:5">
      <c r="A1213" t="s">
        <v>2339</v>
      </c>
      <c r="B1213" s="20" t="s">
        <v>2340</v>
      </c>
      <c r="C1213" s="20" t="s">
        <v>247</v>
      </c>
      <c r="E1213" s="162" t="s">
        <v>6219</v>
      </c>
    </row>
    <row r="1214" spans="1:5">
      <c r="A1214" t="s">
        <v>2341</v>
      </c>
      <c r="B1214" s="20" t="s">
        <v>2342</v>
      </c>
      <c r="C1214" s="20" t="s">
        <v>247</v>
      </c>
      <c r="E1214" s="162" t="s">
        <v>6219</v>
      </c>
    </row>
    <row r="1215" spans="1:5">
      <c r="A1215" t="s">
        <v>2343</v>
      </c>
      <c r="B1215" s="20" t="s">
        <v>2344</v>
      </c>
      <c r="C1215" s="20" t="s">
        <v>194</v>
      </c>
      <c r="E1215" s="162" t="s">
        <v>5397</v>
      </c>
    </row>
    <row r="1216" spans="1:5">
      <c r="A1216" t="s">
        <v>2345</v>
      </c>
      <c r="B1216" s="20" t="s">
        <v>2346</v>
      </c>
      <c r="C1216" s="20" t="s">
        <v>247</v>
      </c>
      <c r="E1216" s="162" t="s">
        <v>5397</v>
      </c>
    </row>
    <row r="1217" spans="1:5">
      <c r="A1217" t="s">
        <v>2347</v>
      </c>
      <c r="B1217" s="20" t="s">
        <v>2348</v>
      </c>
      <c r="C1217" s="20">
        <v>0</v>
      </c>
      <c r="E1217" s="162" t="s">
        <v>6236</v>
      </c>
    </row>
    <row r="1218" spans="1:5">
      <c r="A1218" t="s">
        <v>2349</v>
      </c>
      <c r="B1218" s="20" t="s">
        <v>2350</v>
      </c>
      <c r="C1218" s="20" t="s">
        <v>247</v>
      </c>
      <c r="E1218" s="162" t="s">
        <v>6219</v>
      </c>
    </row>
    <row r="1219" spans="1:5">
      <c r="A1219" t="s">
        <v>2351</v>
      </c>
      <c r="B1219" s="20" t="s">
        <v>2352</v>
      </c>
      <c r="C1219" s="20" t="s">
        <v>194</v>
      </c>
      <c r="E1219" s="162" t="s">
        <v>5397</v>
      </c>
    </row>
    <row r="1220" spans="1:5">
      <c r="A1220" t="s">
        <v>2353</v>
      </c>
      <c r="B1220" s="20" t="s">
        <v>2354</v>
      </c>
      <c r="C1220" s="20">
        <v>0</v>
      </c>
      <c r="E1220" s="162" t="s">
        <v>6238</v>
      </c>
    </row>
    <row r="1221" spans="1:5">
      <c r="A1221" t="s">
        <v>2355</v>
      </c>
      <c r="B1221" s="20" t="s">
        <v>2356</v>
      </c>
      <c r="C1221" s="20" t="s">
        <v>90</v>
      </c>
      <c r="E1221" s="162" t="s">
        <v>6446</v>
      </c>
    </row>
    <row r="1222" spans="1:5">
      <c r="A1222" t="s">
        <v>2357</v>
      </c>
      <c r="B1222" s="20" t="s">
        <v>2358</v>
      </c>
      <c r="C1222" s="20" t="s">
        <v>775</v>
      </c>
      <c r="E1222" s="162" t="s">
        <v>6222</v>
      </c>
    </row>
    <row r="1223" spans="1:5">
      <c r="A1223" t="s">
        <v>2359</v>
      </c>
      <c r="B1223" s="20" t="s">
        <v>2360</v>
      </c>
      <c r="C1223" s="20" t="s">
        <v>88</v>
      </c>
      <c r="E1223" s="162" t="s">
        <v>6236</v>
      </c>
    </row>
    <row r="1224" spans="1:5">
      <c r="A1224" t="s">
        <v>2361</v>
      </c>
      <c r="B1224" s="20" t="s">
        <v>2362</v>
      </c>
      <c r="C1224" s="20" t="s">
        <v>259</v>
      </c>
      <c r="E1224" s="162" t="s">
        <v>5519</v>
      </c>
    </row>
    <row r="1225" spans="1:5">
      <c r="A1225" t="s">
        <v>2361</v>
      </c>
      <c r="B1225" s="20" t="s">
        <v>2362</v>
      </c>
      <c r="C1225" s="20" t="s">
        <v>259</v>
      </c>
      <c r="E1225" s="162" t="s">
        <v>5519</v>
      </c>
    </row>
    <row r="1226" spans="1:5">
      <c r="A1226" t="s">
        <v>2363</v>
      </c>
      <c r="B1226" s="20" t="s">
        <v>2364</v>
      </c>
      <c r="C1226" s="20" t="s">
        <v>247</v>
      </c>
      <c r="E1226" s="162" t="s">
        <v>6219</v>
      </c>
    </row>
    <row r="1227" spans="1:5">
      <c r="A1227" t="s">
        <v>2365</v>
      </c>
      <c r="B1227" s="20" t="s">
        <v>2366</v>
      </c>
      <c r="C1227" s="20" t="s">
        <v>247</v>
      </c>
      <c r="E1227" s="162" t="s">
        <v>6219</v>
      </c>
    </row>
    <row r="1228" spans="1:5">
      <c r="A1228" t="s">
        <v>2365</v>
      </c>
      <c r="B1228" s="20" t="s">
        <v>2366</v>
      </c>
      <c r="C1228" s="20" t="s">
        <v>247</v>
      </c>
      <c r="E1228" s="162" t="s">
        <v>6219</v>
      </c>
    </row>
    <row r="1229" spans="1:5">
      <c r="A1229" t="s">
        <v>2367</v>
      </c>
      <c r="B1229" s="20" t="s">
        <v>2368</v>
      </c>
      <c r="C1229" s="20" t="s">
        <v>247</v>
      </c>
      <c r="E1229" s="162" t="s">
        <v>5348</v>
      </c>
    </row>
    <row r="1230" spans="1:5">
      <c r="A1230" t="s">
        <v>2367</v>
      </c>
      <c r="B1230" s="20" t="s">
        <v>2368</v>
      </c>
      <c r="C1230" s="20" t="s">
        <v>247</v>
      </c>
      <c r="E1230" s="162" t="s">
        <v>5348</v>
      </c>
    </row>
    <row r="1231" spans="1:5">
      <c r="A1231" t="s">
        <v>2369</v>
      </c>
      <c r="B1231" s="20" t="s">
        <v>2370</v>
      </c>
      <c r="C1231" s="20" t="s">
        <v>247</v>
      </c>
      <c r="E1231" s="162" t="s">
        <v>5349</v>
      </c>
    </row>
    <row r="1232" spans="1:5">
      <c r="A1232" t="s">
        <v>2371</v>
      </c>
      <c r="B1232" s="20" t="s">
        <v>2372</v>
      </c>
      <c r="C1232" s="20" t="s">
        <v>247</v>
      </c>
      <c r="E1232" s="162" t="s">
        <v>5514</v>
      </c>
    </row>
    <row r="1233" spans="1:5">
      <c r="A1233" t="s">
        <v>2371</v>
      </c>
      <c r="B1233" s="20" t="s">
        <v>2372</v>
      </c>
      <c r="C1233" s="20" t="s">
        <v>247</v>
      </c>
      <c r="E1233" s="162" t="s">
        <v>5514</v>
      </c>
    </row>
    <row r="1234" spans="1:5">
      <c r="A1234" t="s">
        <v>2373</v>
      </c>
      <c r="B1234" s="20" t="s">
        <v>2374</v>
      </c>
      <c r="C1234" s="20" t="s">
        <v>247</v>
      </c>
      <c r="E1234" s="162" t="s">
        <v>6446</v>
      </c>
    </row>
    <row r="1235" spans="1:5">
      <c r="A1235" t="s">
        <v>2375</v>
      </c>
      <c r="B1235" s="20" t="s">
        <v>2376</v>
      </c>
      <c r="C1235" s="20" t="s">
        <v>259</v>
      </c>
      <c r="E1235" s="162" t="s">
        <v>5397</v>
      </c>
    </row>
    <row r="1236" spans="1:5">
      <c r="A1236" t="s">
        <v>2377</v>
      </c>
      <c r="B1236" s="20" t="s">
        <v>2378</v>
      </c>
      <c r="C1236" s="20" t="s">
        <v>194</v>
      </c>
      <c r="E1236" s="162" t="s">
        <v>5495</v>
      </c>
    </row>
    <row r="1237" spans="1:5">
      <c r="A1237" t="s">
        <v>2377</v>
      </c>
      <c r="B1237" s="20" t="s">
        <v>2378</v>
      </c>
      <c r="C1237" s="20" t="s">
        <v>194</v>
      </c>
      <c r="E1237" s="162" t="s">
        <v>5495</v>
      </c>
    </row>
    <row r="1238" spans="1:5">
      <c r="A1238" t="s">
        <v>2379</v>
      </c>
      <c r="B1238" s="20" t="s">
        <v>2380</v>
      </c>
      <c r="C1238" s="20" t="s">
        <v>194</v>
      </c>
      <c r="E1238" s="162" t="s">
        <v>5495</v>
      </c>
    </row>
    <row r="1239" spans="1:5">
      <c r="A1239" t="s">
        <v>2381</v>
      </c>
      <c r="B1239" s="20" t="s">
        <v>2382</v>
      </c>
      <c r="C1239" s="20" t="s">
        <v>194</v>
      </c>
      <c r="E1239" s="162" t="s">
        <v>5495</v>
      </c>
    </row>
    <row r="1240" spans="1:5">
      <c r="A1240" t="s">
        <v>2383</v>
      </c>
      <c r="B1240" s="20" t="s">
        <v>2384</v>
      </c>
      <c r="C1240" s="20" t="s">
        <v>775</v>
      </c>
      <c r="E1240" s="162" t="s">
        <v>5495</v>
      </c>
    </row>
    <row r="1241" spans="1:5">
      <c r="A1241" t="s">
        <v>2385</v>
      </c>
      <c r="B1241" s="20" t="s">
        <v>2386</v>
      </c>
      <c r="C1241" s="20" t="s">
        <v>775</v>
      </c>
      <c r="E1241" s="162" t="s">
        <v>8382</v>
      </c>
    </row>
    <row r="1242" spans="1:5">
      <c r="A1242" t="s">
        <v>2387</v>
      </c>
      <c r="B1242" s="20" t="s">
        <v>2388</v>
      </c>
      <c r="C1242" s="20" t="s">
        <v>775</v>
      </c>
      <c r="E1242" s="162" t="s">
        <v>5495</v>
      </c>
    </row>
    <row r="1243" spans="1:5">
      <c r="A1243" t="s">
        <v>2389</v>
      </c>
      <c r="B1243" s="20" t="s">
        <v>2390</v>
      </c>
      <c r="C1243" s="20" t="s">
        <v>259</v>
      </c>
      <c r="E1243" s="162" t="s">
        <v>8383</v>
      </c>
    </row>
    <row r="1244" spans="1:5">
      <c r="A1244" t="s">
        <v>2391</v>
      </c>
      <c r="B1244" s="20" t="s">
        <v>2392</v>
      </c>
      <c r="C1244" s="20" t="s">
        <v>259</v>
      </c>
      <c r="E1244" s="162" t="s">
        <v>5301</v>
      </c>
    </row>
    <row r="1245" spans="1:5">
      <c r="A1245" t="s">
        <v>2391</v>
      </c>
      <c r="B1245" s="20" t="s">
        <v>2392</v>
      </c>
      <c r="C1245" s="20" t="s">
        <v>259</v>
      </c>
      <c r="E1245" s="162" t="s">
        <v>5301</v>
      </c>
    </row>
    <row r="1246" spans="1:5">
      <c r="A1246" t="s">
        <v>2393</v>
      </c>
      <c r="B1246" s="20" t="s">
        <v>2394</v>
      </c>
      <c r="C1246" s="20" t="s">
        <v>89</v>
      </c>
      <c r="E1246" s="162" t="s">
        <v>118</v>
      </c>
    </row>
    <row r="1247" spans="1:5">
      <c r="A1247" t="s">
        <v>2393</v>
      </c>
      <c r="B1247" s="20" t="s">
        <v>2394</v>
      </c>
      <c r="C1247" s="20" t="s">
        <v>89</v>
      </c>
      <c r="E1247" s="162" t="s">
        <v>118</v>
      </c>
    </row>
    <row r="1248" spans="1:5">
      <c r="A1248" t="s">
        <v>2395</v>
      </c>
      <c r="B1248" s="20" t="s">
        <v>2396</v>
      </c>
      <c r="C1248" s="20" t="s">
        <v>89</v>
      </c>
      <c r="E1248" s="162" t="s">
        <v>5449</v>
      </c>
    </row>
    <row r="1249" spans="1:5">
      <c r="A1249" t="s">
        <v>2395</v>
      </c>
      <c r="B1249" s="20" t="s">
        <v>2396</v>
      </c>
      <c r="C1249" s="20" t="s">
        <v>89</v>
      </c>
      <c r="E1249" s="162" t="s">
        <v>5449</v>
      </c>
    </row>
    <row r="1250" spans="1:5">
      <c r="A1250" t="s">
        <v>2397</v>
      </c>
      <c r="B1250" s="20" t="s">
        <v>2398</v>
      </c>
      <c r="C1250" s="20" t="s">
        <v>89</v>
      </c>
      <c r="E1250" s="162" t="s">
        <v>6218</v>
      </c>
    </row>
    <row r="1251" spans="1:5">
      <c r="A1251" t="s">
        <v>2399</v>
      </c>
      <c r="B1251" s="20" t="s">
        <v>2400</v>
      </c>
      <c r="C1251" s="20" t="s">
        <v>89</v>
      </c>
      <c r="E1251" s="162" t="s">
        <v>8384</v>
      </c>
    </row>
    <row r="1252" spans="1:5">
      <c r="A1252" t="s">
        <v>2401</v>
      </c>
      <c r="B1252" s="20" t="s">
        <v>2402</v>
      </c>
      <c r="C1252" s="20" t="s">
        <v>89</v>
      </c>
      <c r="E1252" s="162" t="s">
        <v>8385</v>
      </c>
    </row>
    <row r="1253" spans="1:5">
      <c r="A1253" t="s">
        <v>2403</v>
      </c>
      <c r="B1253" s="20" t="s">
        <v>2404</v>
      </c>
      <c r="C1253" s="20" t="s">
        <v>89</v>
      </c>
      <c r="E1253" s="162" t="s">
        <v>5492</v>
      </c>
    </row>
    <row r="1254" spans="1:5">
      <c r="A1254" t="s">
        <v>2403</v>
      </c>
      <c r="B1254" s="20" t="s">
        <v>2404</v>
      </c>
      <c r="C1254" s="20" t="s">
        <v>89</v>
      </c>
      <c r="E1254" s="162" t="s">
        <v>5492</v>
      </c>
    </row>
    <row r="1255" spans="1:5">
      <c r="A1255" t="s">
        <v>2405</v>
      </c>
      <c r="B1255" s="20" t="s">
        <v>2406</v>
      </c>
      <c r="C1255" s="20" t="s">
        <v>89</v>
      </c>
      <c r="E1255" s="162" t="s">
        <v>5492</v>
      </c>
    </row>
    <row r="1256" spans="1:5">
      <c r="A1256" t="s">
        <v>2407</v>
      </c>
      <c r="B1256" s="20" t="s">
        <v>2408</v>
      </c>
      <c r="C1256" s="20" t="s">
        <v>90</v>
      </c>
      <c r="E1256" s="162" t="s">
        <v>8386</v>
      </c>
    </row>
    <row r="1257" spans="1:5">
      <c r="A1257" t="s">
        <v>2409</v>
      </c>
      <c r="B1257" s="20" t="s">
        <v>2410</v>
      </c>
      <c r="C1257" s="20" t="s">
        <v>89</v>
      </c>
      <c r="E1257" s="162" t="s">
        <v>5448</v>
      </c>
    </row>
    <row r="1258" spans="1:5">
      <c r="A1258" t="s">
        <v>2411</v>
      </c>
      <c r="B1258" s="20" t="s">
        <v>2412</v>
      </c>
      <c r="C1258" s="20" t="s">
        <v>89</v>
      </c>
      <c r="E1258" s="162" t="s">
        <v>5448</v>
      </c>
    </row>
    <row r="1259" spans="1:5">
      <c r="A1259" t="s">
        <v>2411</v>
      </c>
      <c r="B1259" s="20" t="s">
        <v>2412</v>
      </c>
      <c r="C1259" s="20" t="s">
        <v>89</v>
      </c>
      <c r="E1259" s="162" t="s">
        <v>5448</v>
      </c>
    </row>
    <row r="1260" spans="1:5">
      <c r="A1260" t="s">
        <v>2413</v>
      </c>
      <c r="B1260" s="20" t="s">
        <v>2414</v>
      </c>
      <c r="C1260" s="20" t="s">
        <v>194</v>
      </c>
      <c r="E1260" s="162" t="s">
        <v>8387</v>
      </c>
    </row>
    <row r="1261" spans="1:5">
      <c r="A1261" t="s">
        <v>2415</v>
      </c>
      <c r="B1261" s="20" t="s">
        <v>2416</v>
      </c>
      <c r="C1261" s="20" t="s">
        <v>89</v>
      </c>
      <c r="E1261" s="162" t="s">
        <v>6027</v>
      </c>
    </row>
    <row r="1262" spans="1:5">
      <c r="A1262" t="s">
        <v>2417</v>
      </c>
      <c r="B1262" s="20" t="s">
        <v>2418</v>
      </c>
      <c r="C1262" s="20" t="s">
        <v>194</v>
      </c>
      <c r="E1262" s="162" t="s">
        <v>8388</v>
      </c>
    </row>
    <row r="1263" spans="1:5">
      <c r="A1263" t="s">
        <v>2419</v>
      </c>
      <c r="B1263" s="20" t="s">
        <v>2420</v>
      </c>
      <c r="C1263" s="20" t="s">
        <v>545</v>
      </c>
      <c r="E1263" s="162" t="s">
        <v>8389</v>
      </c>
    </row>
    <row r="1264" spans="1:5">
      <c r="A1264" t="s">
        <v>2421</v>
      </c>
      <c r="B1264" s="20" t="s">
        <v>2422</v>
      </c>
      <c r="C1264" s="20" t="s">
        <v>545</v>
      </c>
      <c r="E1264" s="162" t="s">
        <v>8389</v>
      </c>
    </row>
    <row r="1265" spans="1:5">
      <c r="A1265" t="s">
        <v>2423</v>
      </c>
      <c r="B1265" s="20" t="s">
        <v>2424</v>
      </c>
      <c r="C1265" s="20" t="s">
        <v>88</v>
      </c>
      <c r="E1265" s="162" t="s">
        <v>8390</v>
      </c>
    </row>
    <row r="1266" spans="1:5">
      <c r="A1266" t="s">
        <v>2425</v>
      </c>
      <c r="B1266" s="20" t="s">
        <v>2426</v>
      </c>
      <c r="C1266" s="20" t="s">
        <v>88</v>
      </c>
      <c r="E1266" s="162" t="s">
        <v>8390</v>
      </c>
    </row>
    <row r="1267" spans="1:5">
      <c r="A1267" t="s">
        <v>2427</v>
      </c>
      <c r="B1267" s="20" t="s">
        <v>2428</v>
      </c>
      <c r="C1267" s="20" t="s">
        <v>545</v>
      </c>
      <c r="E1267" s="162" t="s">
        <v>8391</v>
      </c>
    </row>
    <row r="1268" spans="1:5">
      <c r="A1268" t="s">
        <v>2429</v>
      </c>
      <c r="B1268" s="20" t="s">
        <v>2430</v>
      </c>
      <c r="C1268" s="20" t="s">
        <v>545</v>
      </c>
      <c r="E1268" s="162" t="s">
        <v>8391</v>
      </c>
    </row>
    <row r="1269" spans="1:5">
      <c r="A1269" t="s">
        <v>2431</v>
      </c>
      <c r="B1269" s="20" t="s">
        <v>2432</v>
      </c>
      <c r="C1269" s="20" t="s">
        <v>259</v>
      </c>
      <c r="E1269" s="162" t="s">
        <v>8392</v>
      </c>
    </row>
    <row r="1270" spans="1:5">
      <c r="A1270" t="s">
        <v>2433</v>
      </c>
      <c r="B1270" s="20" t="s">
        <v>2434</v>
      </c>
      <c r="C1270" s="20" t="s">
        <v>259</v>
      </c>
      <c r="E1270" s="162" t="s">
        <v>8392</v>
      </c>
    </row>
    <row r="1271" spans="1:5">
      <c r="A1271" t="s">
        <v>2435</v>
      </c>
      <c r="B1271" s="20" t="s">
        <v>2436</v>
      </c>
      <c r="C1271" s="20" t="s">
        <v>88</v>
      </c>
      <c r="E1271" s="162" t="s">
        <v>8393</v>
      </c>
    </row>
    <row r="1272" spans="1:5">
      <c r="A1272" t="s">
        <v>2437</v>
      </c>
      <c r="B1272" s="20" t="s">
        <v>2438</v>
      </c>
      <c r="C1272" s="20" t="s">
        <v>88</v>
      </c>
      <c r="E1272" s="162" t="s">
        <v>8393</v>
      </c>
    </row>
    <row r="1273" spans="1:5">
      <c r="A1273" t="s">
        <v>2439</v>
      </c>
      <c r="B1273" s="20" t="s">
        <v>2440</v>
      </c>
      <c r="C1273" s="20">
        <v>0</v>
      </c>
      <c r="E1273" s="162" t="s">
        <v>8394</v>
      </c>
    </row>
    <row r="1274" spans="1:5">
      <c r="A1274" t="s">
        <v>2441</v>
      </c>
      <c r="B1274" s="20" t="s">
        <v>2442</v>
      </c>
      <c r="C1274" s="20">
        <v>0</v>
      </c>
      <c r="E1274" s="162" t="s">
        <v>8394</v>
      </c>
    </row>
    <row r="1275" spans="1:5">
      <c r="A1275" t="s">
        <v>2443</v>
      </c>
      <c r="B1275" s="20" t="s">
        <v>2444</v>
      </c>
      <c r="C1275" s="20" t="s">
        <v>89</v>
      </c>
      <c r="E1275" s="162" t="s">
        <v>5205</v>
      </c>
    </row>
    <row r="1276" spans="1:5">
      <c r="A1276" t="s">
        <v>46</v>
      </c>
      <c r="B1276" s="20" t="s">
        <v>84</v>
      </c>
      <c r="C1276" s="20" t="s">
        <v>89</v>
      </c>
      <c r="E1276" s="162" t="s">
        <v>118</v>
      </c>
    </row>
    <row r="1277" spans="1:5">
      <c r="A1277" t="s">
        <v>46</v>
      </c>
      <c r="B1277" s="20" t="s">
        <v>84</v>
      </c>
      <c r="C1277" s="20" t="s">
        <v>89</v>
      </c>
      <c r="E1277" s="162" t="s">
        <v>118</v>
      </c>
    </row>
    <row r="1278" spans="1:5">
      <c r="A1278" t="s">
        <v>47</v>
      </c>
      <c r="B1278" s="20" t="s">
        <v>85</v>
      </c>
      <c r="C1278" s="20" t="s">
        <v>89</v>
      </c>
      <c r="E1278" s="162" t="s">
        <v>118</v>
      </c>
    </row>
    <row r="1279" spans="1:5">
      <c r="A1279" t="s">
        <v>47</v>
      </c>
      <c r="B1279" s="20" t="s">
        <v>85</v>
      </c>
      <c r="C1279" s="20" t="s">
        <v>89</v>
      </c>
      <c r="E1279" s="162" t="s">
        <v>118</v>
      </c>
    </row>
    <row r="1280" spans="1:5">
      <c r="A1280" t="s">
        <v>2445</v>
      </c>
      <c r="B1280" s="20" t="s">
        <v>2446</v>
      </c>
      <c r="C1280" s="20" t="s">
        <v>1793</v>
      </c>
      <c r="E1280" s="162" t="s">
        <v>4842</v>
      </c>
    </row>
    <row r="1281" spans="1:5">
      <c r="A1281" t="s">
        <v>2447</v>
      </c>
      <c r="B1281" s="20" t="s">
        <v>2448</v>
      </c>
      <c r="C1281" s="20" t="s">
        <v>89</v>
      </c>
      <c r="E1281" s="162" t="s">
        <v>8395</v>
      </c>
    </row>
    <row r="1282" spans="1:5">
      <c r="A1282" t="s">
        <v>2449</v>
      </c>
      <c r="B1282" s="20" t="s">
        <v>2450</v>
      </c>
      <c r="C1282" s="20" t="s">
        <v>1793</v>
      </c>
      <c r="E1282" s="162" t="s">
        <v>4842</v>
      </c>
    </row>
    <row r="1283" spans="1:5">
      <c r="A1283" t="s">
        <v>2449</v>
      </c>
      <c r="B1283" s="20" t="s">
        <v>2450</v>
      </c>
      <c r="C1283" s="20" t="s">
        <v>1793</v>
      </c>
      <c r="E1283" s="162" t="s">
        <v>4842</v>
      </c>
    </row>
    <row r="1284" spans="1:5">
      <c r="A1284" t="s">
        <v>2451</v>
      </c>
      <c r="B1284" s="20" t="s">
        <v>2452</v>
      </c>
      <c r="C1284" s="20" t="s">
        <v>89</v>
      </c>
      <c r="E1284" s="162" t="s">
        <v>118</v>
      </c>
    </row>
    <row r="1285" spans="1:5">
      <c r="A1285" t="s">
        <v>2451</v>
      </c>
      <c r="B1285" s="20" t="s">
        <v>2452</v>
      </c>
      <c r="C1285" s="20" t="s">
        <v>89</v>
      </c>
      <c r="E1285" s="162" t="s">
        <v>118</v>
      </c>
    </row>
    <row r="1286" spans="1:5">
      <c r="A1286" t="s">
        <v>2453</v>
      </c>
      <c r="B1286" s="20" t="s">
        <v>2454</v>
      </c>
      <c r="C1286" s="20" t="s">
        <v>89</v>
      </c>
      <c r="E1286" s="162" t="s">
        <v>118</v>
      </c>
    </row>
    <row r="1287" spans="1:5">
      <c r="A1287" t="s">
        <v>2453</v>
      </c>
      <c r="B1287" s="20" t="s">
        <v>2454</v>
      </c>
      <c r="C1287" s="20" t="s">
        <v>89</v>
      </c>
      <c r="E1287" s="162" t="s">
        <v>118</v>
      </c>
    </row>
    <row r="1288" spans="1:5">
      <c r="A1288" t="s">
        <v>2455</v>
      </c>
      <c r="B1288" s="20" t="s">
        <v>2456</v>
      </c>
      <c r="C1288" s="20" t="s">
        <v>89</v>
      </c>
      <c r="E1288" s="162" t="s">
        <v>5295</v>
      </c>
    </row>
    <row r="1289" spans="1:5">
      <c r="A1289" t="s">
        <v>2457</v>
      </c>
      <c r="B1289" s="20" t="s">
        <v>2458</v>
      </c>
      <c r="C1289" s="20" t="s">
        <v>89</v>
      </c>
      <c r="E1289" s="162" t="s">
        <v>5295</v>
      </c>
    </row>
    <row r="1290" spans="1:5">
      <c r="A1290" t="s">
        <v>2459</v>
      </c>
      <c r="B1290" s="20" t="s">
        <v>2460</v>
      </c>
      <c r="C1290" s="20" t="s">
        <v>89</v>
      </c>
      <c r="E1290" s="162" t="s">
        <v>5512</v>
      </c>
    </row>
    <row r="1291" spans="1:5">
      <c r="A1291" t="s">
        <v>2459</v>
      </c>
      <c r="B1291" s="20" t="s">
        <v>2460</v>
      </c>
      <c r="C1291" s="20" t="s">
        <v>89</v>
      </c>
      <c r="E1291" s="162" t="s">
        <v>5512</v>
      </c>
    </row>
    <row r="1292" spans="1:5">
      <c r="A1292" t="s">
        <v>2461</v>
      </c>
      <c r="B1292" s="20" t="s">
        <v>2462</v>
      </c>
      <c r="C1292" s="20" t="s">
        <v>89</v>
      </c>
      <c r="E1292" s="162" t="s">
        <v>5512</v>
      </c>
    </row>
    <row r="1293" spans="1:5">
      <c r="A1293" t="s">
        <v>2463</v>
      </c>
      <c r="B1293" s="20" t="s">
        <v>2464</v>
      </c>
      <c r="C1293" s="20" t="s">
        <v>90</v>
      </c>
      <c r="E1293" s="162" t="s">
        <v>8396</v>
      </c>
    </row>
    <row r="1294" spans="1:5">
      <c r="A1294" t="s">
        <v>2465</v>
      </c>
      <c r="B1294" s="20" t="s">
        <v>2466</v>
      </c>
      <c r="C1294" s="20" t="s">
        <v>90</v>
      </c>
      <c r="E1294" s="162" t="s">
        <v>8397</v>
      </c>
    </row>
    <row r="1295" spans="1:5">
      <c r="A1295" t="s">
        <v>2467</v>
      </c>
      <c r="B1295" s="20" t="s">
        <v>2468</v>
      </c>
      <c r="C1295" s="20" t="s">
        <v>90</v>
      </c>
      <c r="E1295" s="162" t="s">
        <v>6245</v>
      </c>
    </row>
    <row r="1296" spans="1:5">
      <c r="A1296" t="s">
        <v>2469</v>
      </c>
      <c r="B1296" s="20" t="s">
        <v>2470</v>
      </c>
      <c r="C1296" s="20" t="s">
        <v>90</v>
      </c>
      <c r="E1296" s="162" t="s">
        <v>6245</v>
      </c>
    </row>
    <row r="1297" spans="1:5">
      <c r="A1297" t="s">
        <v>2471</v>
      </c>
      <c r="B1297" s="20" t="s">
        <v>2472</v>
      </c>
      <c r="C1297" s="20" t="s">
        <v>90</v>
      </c>
      <c r="E1297" s="162" t="s">
        <v>6245</v>
      </c>
    </row>
    <row r="1298" spans="1:5">
      <c r="A1298" t="s">
        <v>2473</v>
      </c>
      <c r="B1298" s="20" t="s">
        <v>2474</v>
      </c>
      <c r="C1298" s="20" t="s">
        <v>90</v>
      </c>
      <c r="E1298" s="162" t="s">
        <v>6245</v>
      </c>
    </row>
    <row r="1299" spans="1:5">
      <c r="A1299" t="s">
        <v>2475</v>
      </c>
      <c r="B1299" s="20" t="s">
        <v>2476</v>
      </c>
      <c r="C1299" s="20" t="s">
        <v>90</v>
      </c>
      <c r="E1299" s="162" t="s">
        <v>6245</v>
      </c>
    </row>
    <row r="1300" spans="1:5">
      <c r="A1300" t="s">
        <v>2477</v>
      </c>
      <c r="B1300" s="20" t="s">
        <v>2478</v>
      </c>
      <c r="C1300" s="20" t="s">
        <v>90</v>
      </c>
      <c r="E1300" s="162" t="s">
        <v>6245</v>
      </c>
    </row>
    <row r="1301" spans="1:5">
      <c r="A1301" t="s">
        <v>2479</v>
      </c>
      <c r="B1301" s="20" t="s">
        <v>2480</v>
      </c>
      <c r="C1301" s="20" t="s">
        <v>92</v>
      </c>
      <c r="E1301" s="162" t="s">
        <v>6245</v>
      </c>
    </row>
    <row r="1302" spans="1:5">
      <c r="A1302" t="s">
        <v>2481</v>
      </c>
      <c r="B1302" s="20" t="s">
        <v>2482</v>
      </c>
      <c r="C1302" s="20" t="s">
        <v>92</v>
      </c>
      <c r="E1302" s="162" t="s">
        <v>6245</v>
      </c>
    </row>
    <row r="1303" spans="1:5">
      <c r="A1303" t="s">
        <v>2481</v>
      </c>
      <c r="B1303" s="20" t="s">
        <v>2482</v>
      </c>
      <c r="C1303" s="20" t="s">
        <v>92</v>
      </c>
      <c r="E1303" s="162" t="s">
        <v>6245</v>
      </c>
    </row>
    <row r="1304" spans="1:5">
      <c r="A1304" t="s">
        <v>2483</v>
      </c>
      <c r="B1304" s="20" t="s">
        <v>2484</v>
      </c>
      <c r="C1304" s="20" t="s">
        <v>92</v>
      </c>
      <c r="E1304" s="162" t="s">
        <v>6245</v>
      </c>
    </row>
    <row r="1305" spans="1:5">
      <c r="A1305" t="s">
        <v>2483</v>
      </c>
      <c r="B1305" s="20" t="s">
        <v>2484</v>
      </c>
      <c r="C1305" s="20" t="s">
        <v>92</v>
      </c>
      <c r="E1305" s="162" t="s">
        <v>6245</v>
      </c>
    </row>
    <row r="1306" spans="1:5">
      <c r="A1306" t="s">
        <v>2485</v>
      </c>
      <c r="B1306" s="20" t="s">
        <v>2486</v>
      </c>
      <c r="C1306" s="20" t="s">
        <v>2125</v>
      </c>
      <c r="E1306" s="162" t="s">
        <v>6245</v>
      </c>
    </row>
    <row r="1307" spans="1:5">
      <c r="A1307" t="s">
        <v>2485</v>
      </c>
      <c r="B1307" s="20" t="s">
        <v>2486</v>
      </c>
      <c r="C1307" s="20" t="s">
        <v>2125</v>
      </c>
      <c r="E1307" s="162" t="s">
        <v>6245</v>
      </c>
    </row>
    <row r="1308" spans="1:5">
      <c r="A1308" t="s">
        <v>2487</v>
      </c>
      <c r="B1308" s="20" t="s">
        <v>2488</v>
      </c>
      <c r="C1308" s="20" t="s">
        <v>2125</v>
      </c>
      <c r="E1308" s="162" t="s">
        <v>6245</v>
      </c>
    </row>
    <row r="1309" spans="1:5">
      <c r="A1309" t="s">
        <v>2487</v>
      </c>
      <c r="B1309" s="20" t="s">
        <v>2488</v>
      </c>
      <c r="C1309" s="20" t="s">
        <v>2125</v>
      </c>
      <c r="E1309" s="162" t="s">
        <v>6245</v>
      </c>
    </row>
    <row r="1310" spans="1:5">
      <c r="A1310" t="s">
        <v>2489</v>
      </c>
      <c r="B1310" s="20" t="s">
        <v>2490</v>
      </c>
      <c r="C1310" s="20" t="s">
        <v>2125</v>
      </c>
      <c r="E1310" s="162" t="s">
        <v>6245</v>
      </c>
    </row>
    <row r="1311" spans="1:5">
      <c r="A1311" t="s">
        <v>2489</v>
      </c>
      <c r="B1311" s="20" t="s">
        <v>2490</v>
      </c>
      <c r="C1311" s="20" t="s">
        <v>2125</v>
      </c>
      <c r="E1311" s="162" t="s">
        <v>6245</v>
      </c>
    </row>
    <row r="1312" spans="1:5">
      <c r="A1312" t="s">
        <v>2491</v>
      </c>
      <c r="B1312" s="20" t="s">
        <v>2492</v>
      </c>
      <c r="C1312" s="20" t="s">
        <v>89</v>
      </c>
      <c r="E1312" s="162" t="s">
        <v>6245</v>
      </c>
    </row>
    <row r="1313" spans="1:5">
      <c r="A1313" t="s">
        <v>2493</v>
      </c>
      <c r="B1313" s="20" t="s">
        <v>2494</v>
      </c>
      <c r="C1313" s="20" t="s">
        <v>90</v>
      </c>
      <c r="E1313" s="162" t="s">
        <v>6245</v>
      </c>
    </row>
    <row r="1314" spans="1:5">
      <c r="A1314" t="s">
        <v>2495</v>
      </c>
      <c r="B1314" s="20" t="s">
        <v>2496</v>
      </c>
      <c r="C1314" s="20" t="s">
        <v>2497</v>
      </c>
      <c r="E1314" s="162" t="s">
        <v>5432</v>
      </c>
    </row>
    <row r="1315" spans="1:5">
      <c r="A1315" t="s">
        <v>2495</v>
      </c>
      <c r="B1315" s="20" t="s">
        <v>2496</v>
      </c>
      <c r="C1315" s="20" t="s">
        <v>2497</v>
      </c>
      <c r="E1315" s="162" t="s">
        <v>5432</v>
      </c>
    </row>
    <row r="1316" spans="1:5">
      <c r="A1316" t="s">
        <v>2498</v>
      </c>
      <c r="B1316" s="20" t="s">
        <v>2499</v>
      </c>
      <c r="C1316" s="20" t="s">
        <v>2497</v>
      </c>
      <c r="E1316" s="162" t="s">
        <v>5432</v>
      </c>
    </row>
    <row r="1317" spans="1:5">
      <c r="A1317" t="s">
        <v>2498</v>
      </c>
      <c r="B1317" s="20" t="s">
        <v>2499</v>
      </c>
      <c r="C1317" s="20" t="s">
        <v>2497</v>
      </c>
      <c r="E1317" s="162" t="s">
        <v>5432</v>
      </c>
    </row>
    <row r="1318" spans="1:5">
      <c r="A1318" t="s">
        <v>2500</v>
      </c>
      <c r="B1318" s="20" t="s">
        <v>2501</v>
      </c>
      <c r="C1318" s="20" t="s">
        <v>2497</v>
      </c>
      <c r="E1318" s="162" t="s">
        <v>5432</v>
      </c>
    </row>
    <row r="1319" spans="1:5">
      <c r="A1319" t="s">
        <v>2500</v>
      </c>
      <c r="B1319" s="20" t="s">
        <v>2501</v>
      </c>
      <c r="C1319" s="20" t="s">
        <v>2497</v>
      </c>
      <c r="E1319" s="162" t="s">
        <v>5432</v>
      </c>
    </row>
    <row r="1320" spans="1:5">
      <c r="A1320" t="s">
        <v>2502</v>
      </c>
      <c r="B1320" s="20" t="s">
        <v>2503</v>
      </c>
      <c r="C1320" s="20" t="s">
        <v>2497</v>
      </c>
      <c r="E1320" s="162" t="s">
        <v>5432</v>
      </c>
    </row>
    <row r="1321" spans="1:5">
      <c r="A1321" t="s">
        <v>2502</v>
      </c>
      <c r="B1321" s="20" t="s">
        <v>2503</v>
      </c>
      <c r="C1321" s="20" t="s">
        <v>2497</v>
      </c>
      <c r="E1321" s="162" t="s">
        <v>5432</v>
      </c>
    </row>
    <row r="1322" spans="1:5">
      <c r="A1322" t="s">
        <v>2504</v>
      </c>
      <c r="B1322" s="20" t="s">
        <v>2505</v>
      </c>
      <c r="C1322" s="20" t="s">
        <v>91</v>
      </c>
      <c r="E1322" s="162" t="s">
        <v>8398</v>
      </c>
    </row>
    <row r="1323" spans="1:5">
      <c r="A1323" t="s">
        <v>2506</v>
      </c>
      <c r="B1323" s="20" t="s">
        <v>2507</v>
      </c>
      <c r="C1323" s="20" t="s">
        <v>91</v>
      </c>
      <c r="E1323" s="162" t="s">
        <v>8398</v>
      </c>
    </row>
    <row r="1324" spans="1:5">
      <c r="A1324" t="s">
        <v>2508</v>
      </c>
      <c r="B1324" s="20" t="s">
        <v>2509</v>
      </c>
      <c r="C1324" s="20" t="s">
        <v>91</v>
      </c>
      <c r="E1324" s="162" t="s">
        <v>8398</v>
      </c>
    </row>
    <row r="1325" spans="1:5">
      <c r="A1325" t="s">
        <v>2510</v>
      </c>
      <c r="B1325" s="20" t="s">
        <v>2511</v>
      </c>
      <c r="C1325" s="20" t="s">
        <v>2512</v>
      </c>
      <c r="E1325" s="162" t="s">
        <v>5432</v>
      </c>
    </row>
    <row r="1326" spans="1:5">
      <c r="A1326" t="s">
        <v>2513</v>
      </c>
      <c r="B1326" s="20" t="s">
        <v>2514</v>
      </c>
      <c r="C1326" s="20" t="s">
        <v>2512</v>
      </c>
      <c r="E1326" s="162" t="s">
        <v>5432</v>
      </c>
    </row>
    <row r="1327" spans="1:5">
      <c r="A1327" t="s">
        <v>2515</v>
      </c>
      <c r="B1327" s="20" t="s">
        <v>2516</v>
      </c>
      <c r="C1327" s="20" t="s">
        <v>2512</v>
      </c>
      <c r="E1327" s="162" t="s">
        <v>5432</v>
      </c>
    </row>
    <row r="1328" spans="1:5">
      <c r="A1328" t="s">
        <v>2517</v>
      </c>
      <c r="B1328" s="20" t="s">
        <v>2518</v>
      </c>
      <c r="C1328" s="20" t="s">
        <v>2512</v>
      </c>
      <c r="E1328" s="162" t="s">
        <v>5432</v>
      </c>
    </row>
    <row r="1329" spans="1:5">
      <c r="A1329" t="s">
        <v>2519</v>
      </c>
      <c r="B1329" s="20" t="s">
        <v>2520</v>
      </c>
      <c r="C1329" s="20" t="s">
        <v>2512</v>
      </c>
      <c r="E1329" s="162" t="s">
        <v>5432</v>
      </c>
    </row>
    <row r="1330" spans="1:5">
      <c r="A1330" t="s">
        <v>2521</v>
      </c>
      <c r="B1330" s="20" t="s">
        <v>2522</v>
      </c>
      <c r="C1330" s="20" t="s">
        <v>2512</v>
      </c>
      <c r="E1330" s="162" t="s">
        <v>5260</v>
      </c>
    </row>
    <row r="1331" spans="1:5">
      <c r="A1331" t="s">
        <v>2521</v>
      </c>
      <c r="B1331" s="20" t="s">
        <v>2522</v>
      </c>
      <c r="C1331" s="20" t="s">
        <v>2512</v>
      </c>
      <c r="E1331" s="162" t="s">
        <v>5260</v>
      </c>
    </row>
    <row r="1332" spans="1:5">
      <c r="A1332" t="s">
        <v>2523</v>
      </c>
      <c r="B1332" s="20" t="s">
        <v>2524</v>
      </c>
      <c r="C1332" s="20" t="s">
        <v>2512</v>
      </c>
      <c r="E1332" s="162" t="s">
        <v>5260</v>
      </c>
    </row>
    <row r="1333" spans="1:5">
      <c r="A1333" t="s">
        <v>2523</v>
      </c>
      <c r="B1333" s="20" t="s">
        <v>2524</v>
      </c>
      <c r="C1333" s="20" t="s">
        <v>2512</v>
      </c>
      <c r="E1333" s="162" t="s">
        <v>5260</v>
      </c>
    </row>
    <row r="1334" spans="1:5">
      <c r="A1334" t="s">
        <v>2525</v>
      </c>
      <c r="B1334" s="20" t="s">
        <v>2526</v>
      </c>
      <c r="C1334" s="20" t="s">
        <v>2512</v>
      </c>
      <c r="E1334" s="162" t="s">
        <v>5260</v>
      </c>
    </row>
    <row r="1335" spans="1:5">
      <c r="A1335" t="s">
        <v>2525</v>
      </c>
      <c r="B1335" s="20" t="s">
        <v>2526</v>
      </c>
      <c r="C1335" s="20" t="s">
        <v>2512</v>
      </c>
      <c r="E1335" s="162" t="s">
        <v>5260</v>
      </c>
    </row>
    <row r="1336" spans="1:5">
      <c r="A1336" t="s">
        <v>2527</v>
      </c>
      <c r="B1336" s="20" t="s">
        <v>2528</v>
      </c>
      <c r="C1336" s="20">
        <v>0</v>
      </c>
      <c r="E1336" s="162" t="s">
        <v>8399</v>
      </c>
    </row>
    <row r="1337" spans="1:5">
      <c r="A1337" t="s">
        <v>2529</v>
      </c>
      <c r="B1337" s="20" t="s">
        <v>2530</v>
      </c>
      <c r="C1337" s="20">
        <v>0</v>
      </c>
      <c r="E1337" s="162" t="s">
        <v>8400</v>
      </c>
    </row>
    <row r="1338" spans="1:5">
      <c r="A1338" t="s">
        <v>2531</v>
      </c>
      <c r="B1338" s="20" t="s">
        <v>2532</v>
      </c>
      <c r="C1338" s="20" t="s">
        <v>91</v>
      </c>
      <c r="E1338" s="162" t="s">
        <v>6214</v>
      </c>
    </row>
    <row r="1339" spans="1:5">
      <c r="A1339" t="s">
        <v>2533</v>
      </c>
      <c r="B1339" s="20" t="s">
        <v>2534</v>
      </c>
      <c r="C1339" s="20" t="s">
        <v>91</v>
      </c>
      <c r="E1339" s="162" t="s">
        <v>6214</v>
      </c>
    </row>
    <row r="1340" spans="1:5">
      <c r="A1340" t="s">
        <v>2535</v>
      </c>
      <c r="B1340" s="20" t="s">
        <v>2536</v>
      </c>
      <c r="C1340" s="20">
        <v>0</v>
      </c>
      <c r="E1340" s="162" t="s">
        <v>8401</v>
      </c>
    </row>
    <row r="1341" spans="1:5">
      <c r="A1341" t="s">
        <v>2537</v>
      </c>
      <c r="B1341" s="20" t="s">
        <v>2538</v>
      </c>
      <c r="C1341" s="20">
        <v>0</v>
      </c>
      <c r="E1341" s="162" t="s">
        <v>8402</v>
      </c>
    </row>
    <row r="1342" spans="1:5">
      <c r="A1342" t="s">
        <v>2539</v>
      </c>
      <c r="B1342" s="20" t="s">
        <v>2540</v>
      </c>
      <c r="C1342" s="20">
        <v>0</v>
      </c>
      <c r="E1342" s="162" t="s">
        <v>8403</v>
      </c>
    </row>
    <row r="1343" spans="1:5">
      <c r="A1343" t="s">
        <v>2541</v>
      </c>
      <c r="B1343" s="20" t="s">
        <v>2542</v>
      </c>
      <c r="C1343" s="20" t="s">
        <v>88</v>
      </c>
      <c r="E1343" s="162" t="s">
        <v>8404</v>
      </c>
    </row>
    <row r="1344" spans="1:5">
      <c r="A1344" t="s">
        <v>2543</v>
      </c>
      <c r="B1344" s="20" t="s">
        <v>2544</v>
      </c>
      <c r="C1344" s="20" t="s">
        <v>88</v>
      </c>
      <c r="E1344" s="162" t="s">
        <v>8404</v>
      </c>
    </row>
    <row r="1345" spans="1:5">
      <c r="A1345" t="s">
        <v>2545</v>
      </c>
      <c r="B1345" s="20" t="s">
        <v>2546</v>
      </c>
      <c r="C1345" s="20">
        <v>0</v>
      </c>
      <c r="E1345" s="162" t="s">
        <v>8405</v>
      </c>
    </row>
    <row r="1346" spans="1:5">
      <c r="A1346" t="s">
        <v>2547</v>
      </c>
      <c r="B1346" s="20" t="s">
        <v>2548</v>
      </c>
      <c r="C1346" s="20">
        <v>0</v>
      </c>
      <c r="E1346" s="162" t="s">
        <v>8406</v>
      </c>
    </row>
    <row r="1347" spans="1:5">
      <c r="A1347" t="s">
        <v>2549</v>
      </c>
      <c r="B1347" s="20" t="s">
        <v>2550</v>
      </c>
      <c r="C1347" s="20">
        <v>0</v>
      </c>
      <c r="E1347" s="162" t="s">
        <v>8407</v>
      </c>
    </row>
    <row r="1348" spans="1:5">
      <c r="A1348" t="s">
        <v>2551</v>
      </c>
      <c r="B1348" s="20" t="s">
        <v>2552</v>
      </c>
      <c r="C1348" s="20" t="s">
        <v>194</v>
      </c>
      <c r="E1348" s="162" t="s">
        <v>8408</v>
      </c>
    </row>
    <row r="1349" spans="1:5">
      <c r="A1349" t="s">
        <v>2553</v>
      </c>
      <c r="B1349" s="20" t="s">
        <v>2554</v>
      </c>
      <c r="C1349" s="20" t="s">
        <v>194</v>
      </c>
      <c r="E1349" s="162" t="s">
        <v>8408</v>
      </c>
    </row>
    <row r="1350" spans="1:5">
      <c r="A1350" t="s">
        <v>2555</v>
      </c>
      <c r="B1350" s="20" t="s">
        <v>2556</v>
      </c>
      <c r="C1350" s="20" t="s">
        <v>194</v>
      </c>
      <c r="E1350" s="162" t="s">
        <v>8409</v>
      </c>
    </row>
    <row r="1351" spans="1:5">
      <c r="A1351" t="s">
        <v>2557</v>
      </c>
      <c r="B1351" s="20" t="s">
        <v>2558</v>
      </c>
      <c r="C1351" s="20" t="s">
        <v>194</v>
      </c>
      <c r="E1351" s="162" t="s">
        <v>8409</v>
      </c>
    </row>
    <row r="1352" spans="1:5">
      <c r="A1352" t="s">
        <v>2559</v>
      </c>
      <c r="B1352" s="20" t="s">
        <v>2560</v>
      </c>
      <c r="C1352" s="20" t="s">
        <v>88</v>
      </c>
      <c r="E1352" s="162" t="s">
        <v>6337</v>
      </c>
    </row>
    <row r="1353" spans="1:5">
      <c r="A1353" t="s">
        <v>2561</v>
      </c>
      <c r="B1353" s="20" t="s">
        <v>2562</v>
      </c>
      <c r="C1353" s="20" t="s">
        <v>2563</v>
      </c>
      <c r="E1353" s="162" t="s">
        <v>8410</v>
      </c>
    </row>
    <row r="1354" spans="1:5">
      <c r="A1354" t="s">
        <v>2564</v>
      </c>
      <c r="B1354" s="20" t="s">
        <v>2565</v>
      </c>
      <c r="C1354" s="20" t="s">
        <v>2563</v>
      </c>
      <c r="E1354" s="162" t="s">
        <v>8411</v>
      </c>
    </row>
    <row r="1355" spans="1:5">
      <c r="A1355" t="s">
        <v>2566</v>
      </c>
      <c r="B1355" s="20" t="s">
        <v>2567</v>
      </c>
      <c r="C1355" s="20" t="s">
        <v>2563</v>
      </c>
      <c r="E1355" s="162" t="s">
        <v>8412</v>
      </c>
    </row>
    <row r="1356" spans="1:5">
      <c r="A1356" t="s">
        <v>2568</v>
      </c>
      <c r="B1356" s="20" t="s">
        <v>2569</v>
      </c>
      <c r="C1356" s="20" t="s">
        <v>2563</v>
      </c>
      <c r="E1356" s="162" t="s">
        <v>8413</v>
      </c>
    </row>
    <row r="1357" spans="1:5">
      <c r="A1357" t="s">
        <v>2570</v>
      </c>
      <c r="B1357" s="20" t="s">
        <v>2571</v>
      </c>
      <c r="C1357" s="20" t="s">
        <v>90</v>
      </c>
      <c r="E1357" s="162" t="s">
        <v>5730</v>
      </c>
    </row>
    <row r="1358" spans="1:5">
      <c r="A1358" t="s">
        <v>2572</v>
      </c>
      <c r="B1358" s="20" t="s">
        <v>2573</v>
      </c>
      <c r="C1358" s="20" t="s">
        <v>90</v>
      </c>
      <c r="E1358" s="162" t="s">
        <v>8414</v>
      </c>
    </row>
    <row r="1359" spans="1:5">
      <c r="A1359" t="s">
        <v>2574</v>
      </c>
      <c r="B1359" s="20" t="s">
        <v>2575</v>
      </c>
      <c r="C1359" s="20" t="s">
        <v>90</v>
      </c>
      <c r="E1359" s="162" t="s">
        <v>5717</v>
      </c>
    </row>
    <row r="1360" spans="1:5">
      <c r="A1360" t="s">
        <v>2576</v>
      </c>
      <c r="B1360" s="20" t="s">
        <v>2577</v>
      </c>
      <c r="C1360" s="20" t="s">
        <v>90</v>
      </c>
      <c r="E1360" s="162" t="s">
        <v>5856</v>
      </c>
    </row>
    <row r="1361" spans="1:5">
      <c r="A1361" t="s">
        <v>2578</v>
      </c>
      <c r="B1361" s="20" t="s">
        <v>2579</v>
      </c>
      <c r="C1361" s="20" t="s">
        <v>88</v>
      </c>
      <c r="E1361" s="162" t="s">
        <v>5856</v>
      </c>
    </row>
    <row r="1362" spans="1:5">
      <c r="A1362" t="s">
        <v>2580</v>
      </c>
      <c r="B1362" s="20" t="s">
        <v>2581</v>
      </c>
      <c r="C1362" s="20" t="s">
        <v>90</v>
      </c>
      <c r="E1362" s="162" t="s">
        <v>8415</v>
      </c>
    </row>
    <row r="1363" spans="1:5">
      <c r="A1363" t="s">
        <v>2582</v>
      </c>
      <c r="B1363" s="20" t="s">
        <v>2583</v>
      </c>
      <c r="C1363" s="20" t="s">
        <v>90</v>
      </c>
      <c r="E1363" s="162" t="s">
        <v>5856</v>
      </c>
    </row>
    <row r="1364" spans="1:5">
      <c r="A1364" t="s">
        <v>2584</v>
      </c>
      <c r="B1364" s="20" t="s">
        <v>2585</v>
      </c>
      <c r="C1364" s="20" t="s">
        <v>90</v>
      </c>
      <c r="E1364" s="162" t="s">
        <v>8416</v>
      </c>
    </row>
    <row r="1365" spans="1:5">
      <c r="A1365" t="s">
        <v>2586</v>
      </c>
      <c r="B1365" s="20" t="s">
        <v>2587</v>
      </c>
      <c r="C1365" s="20" t="s">
        <v>88</v>
      </c>
      <c r="E1365" s="162" t="s">
        <v>6413</v>
      </c>
    </row>
    <row r="1366" spans="1:5">
      <c r="A1366" t="s">
        <v>2588</v>
      </c>
      <c r="B1366" s="20" t="s">
        <v>2589</v>
      </c>
      <c r="C1366" s="20" t="s">
        <v>93</v>
      </c>
      <c r="E1366" s="162" t="s">
        <v>6249</v>
      </c>
    </row>
    <row r="1367" spans="1:5">
      <c r="A1367" t="s">
        <v>2590</v>
      </c>
      <c r="B1367" s="20" t="s">
        <v>2591</v>
      </c>
      <c r="C1367" s="20" t="s">
        <v>93</v>
      </c>
      <c r="E1367" s="162" t="s">
        <v>6249</v>
      </c>
    </row>
    <row r="1368" spans="1:5">
      <c r="A1368" t="s">
        <v>2592</v>
      </c>
      <c r="B1368" s="20" t="s">
        <v>2593</v>
      </c>
      <c r="C1368" s="20" t="s">
        <v>93</v>
      </c>
      <c r="E1368" s="162" t="s">
        <v>6250</v>
      </c>
    </row>
    <row r="1369" spans="1:5">
      <c r="A1369" t="s">
        <v>2594</v>
      </c>
      <c r="B1369" s="20" t="s">
        <v>2595</v>
      </c>
      <c r="C1369" s="20" t="s">
        <v>90</v>
      </c>
      <c r="E1369" s="162" t="s">
        <v>6248</v>
      </c>
    </row>
    <row r="1370" spans="1:5">
      <c r="A1370" t="s">
        <v>2596</v>
      </c>
      <c r="B1370" s="20" t="s">
        <v>2597</v>
      </c>
      <c r="C1370" s="20" t="s">
        <v>88</v>
      </c>
      <c r="E1370" s="162" t="s">
        <v>6583</v>
      </c>
    </row>
    <row r="1371" spans="1:5">
      <c r="A1371" t="s">
        <v>2598</v>
      </c>
      <c r="B1371" s="20" t="s">
        <v>2599</v>
      </c>
      <c r="C1371" s="20">
        <v>0</v>
      </c>
      <c r="E1371" s="162" t="s">
        <v>8417</v>
      </c>
    </row>
    <row r="1372" spans="1:5">
      <c r="A1372" t="s">
        <v>2600</v>
      </c>
      <c r="B1372" s="20" t="s">
        <v>2601</v>
      </c>
      <c r="C1372" s="20">
        <v>0</v>
      </c>
      <c r="E1372" s="162" t="s">
        <v>8417</v>
      </c>
    </row>
    <row r="1373" spans="1:5">
      <c r="A1373" t="s">
        <v>2602</v>
      </c>
      <c r="B1373" s="20" t="s">
        <v>2603</v>
      </c>
      <c r="C1373" s="20" t="s">
        <v>194</v>
      </c>
      <c r="E1373" s="162" t="s">
        <v>8418</v>
      </c>
    </row>
    <row r="1374" spans="1:5">
      <c r="A1374" t="s">
        <v>2604</v>
      </c>
      <c r="B1374" s="20" t="s">
        <v>2605</v>
      </c>
      <c r="C1374" s="20" t="s">
        <v>93</v>
      </c>
      <c r="E1374" s="162" t="s">
        <v>5788</v>
      </c>
    </row>
    <row r="1375" spans="1:5">
      <c r="A1375" t="s">
        <v>2606</v>
      </c>
      <c r="B1375" s="20" t="s">
        <v>2607</v>
      </c>
      <c r="C1375" s="20" t="s">
        <v>194</v>
      </c>
      <c r="E1375" s="162" t="s">
        <v>8418</v>
      </c>
    </row>
    <row r="1376" spans="1:5">
      <c r="A1376" t="s">
        <v>2608</v>
      </c>
      <c r="B1376" s="20" t="s">
        <v>2609</v>
      </c>
      <c r="C1376" s="20" t="s">
        <v>93</v>
      </c>
      <c r="E1376" s="162" t="s">
        <v>8419</v>
      </c>
    </row>
    <row r="1377" spans="1:5">
      <c r="A1377" t="s">
        <v>2610</v>
      </c>
      <c r="B1377" s="20" t="s">
        <v>2611</v>
      </c>
      <c r="C1377" s="20">
        <v>0</v>
      </c>
      <c r="E1377" s="162" t="s">
        <v>8420</v>
      </c>
    </row>
    <row r="1378" spans="1:5">
      <c r="A1378" t="s">
        <v>2612</v>
      </c>
      <c r="B1378" s="20" t="s">
        <v>2613</v>
      </c>
      <c r="C1378" s="20">
        <v>0</v>
      </c>
      <c r="E1378" s="162" t="s">
        <v>8418</v>
      </c>
    </row>
    <row r="1379" spans="1:5">
      <c r="A1379" t="s">
        <v>2614</v>
      </c>
      <c r="B1379" s="20" t="s">
        <v>2615</v>
      </c>
      <c r="C1379" s="20" t="s">
        <v>88</v>
      </c>
      <c r="E1379" s="162" t="s">
        <v>8421</v>
      </c>
    </row>
    <row r="1380" spans="1:5">
      <c r="A1380" t="s">
        <v>2616</v>
      </c>
      <c r="B1380" s="20" t="s">
        <v>2617</v>
      </c>
      <c r="C1380" s="20" t="s">
        <v>194</v>
      </c>
      <c r="E1380" s="162" t="s">
        <v>8422</v>
      </c>
    </row>
    <row r="1381" spans="1:5">
      <c r="A1381" t="s">
        <v>2618</v>
      </c>
      <c r="B1381" s="20" t="s">
        <v>2619</v>
      </c>
      <c r="C1381" s="20" t="s">
        <v>93</v>
      </c>
      <c r="E1381" s="162" t="s">
        <v>8422</v>
      </c>
    </row>
    <row r="1382" spans="1:5">
      <c r="A1382" t="s">
        <v>2620</v>
      </c>
      <c r="B1382" s="20" t="s">
        <v>2621</v>
      </c>
      <c r="C1382" s="20" t="s">
        <v>194</v>
      </c>
      <c r="E1382" s="162" t="s">
        <v>8422</v>
      </c>
    </row>
    <row r="1383" spans="1:5">
      <c r="A1383" t="s">
        <v>2622</v>
      </c>
      <c r="B1383" s="20" t="s">
        <v>2623</v>
      </c>
      <c r="C1383" s="20">
        <v>0</v>
      </c>
      <c r="E1383" s="162" t="s">
        <v>8423</v>
      </c>
    </row>
    <row r="1384" spans="1:5">
      <c r="A1384" t="s">
        <v>2624</v>
      </c>
      <c r="B1384" s="20" t="s">
        <v>2625</v>
      </c>
      <c r="C1384" s="20">
        <v>0</v>
      </c>
      <c r="E1384" s="162" t="s">
        <v>8424</v>
      </c>
    </row>
    <row r="1385" spans="1:5">
      <c r="A1385" t="s">
        <v>2626</v>
      </c>
      <c r="B1385" s="20" t="s">
        <v>2627</v>
      </c>
      <c r="C1385" s="20">
        <v>0</v>
      </c>
      <c r="E1385" s="162" t="s">
        <v>8422</v>
      </c>
    </row>
    <row r="1386" spans="1:5">
      <c r="A1386" t="s">
        <v>2628</v>
      </c>
      <c r="B1386" s="20" t="s">
        <v>2629</v>
      </c>
      <c r="C1386" s="20" t="s">
        <v>89</v>
      </c>
      <c r="E1386" s="162" t="s">
        <v>8425</v>
      </c>
    </row>
    <row r="1387" spans="1:5">
      <c r="A1387" t="s">
        <v>2628</v>
      </c>
      <c r="B1387" s="20" t="s">
        <v>2629</v>
      </c>
      <c r="C1387" s="20" t="s">
        <v>89</v>
      </c>
      <c r="E1387" s="162" t="s">
        <v>8425</v>
      </c>
    </row>
    <row r="1388" spans="1:5">
      <c r="A1388" t="s">
        <v>2630</v>
      </c>
      <c r="B1388" s="20" t="s">
        <v>2631</v>
      </c>
      <c r="C1388" s="20" t="s">
        <v>194</v>
      </c>
      <c r="E1388" s="162" t="s">
        <v>5729</v>
      </c>
    </row>
    <row r="1389" spans="1:5">
      <c r="A1389" t="s">
        <v>2630</v>
      </c>
      <c r="B1389" s="20" t="s">
        <v>2631</v>
      </c>
      <c r="C1389" s="20" t="s">
        <v>194</v>
      </c>
      <c r="E1389" s="162" t="s">
        <v>5729</v>
      </c>
    </row>
    <row r="1390" spans="1:5">
      <c r="A1390" t="s">
        <v>2632</v>
      </c>
      <c r="B1390" s="20" t="s">
        <v>2633</v>
      </c>
      <c r="C1390" s="20" t="s">
        <v>88</v>
      </c>
      <c r="E1390" s="162" t="s">
        <v>5971</v>
      </c>
    </row>
    <row r="1391" spans="1:5">
      <c r="A1391" t="s">
        <v>2634</v>
      </c>
      <c r="B1391" s="20" t="s">
        <v>2635</v>
      </c>
      <c r="C1391" s="20" t="s">
        <v>88</v>
      </c>
      <c r="E1391" s="162" t="s">
        <v>5971</v>
      </c>
    </row>
    <row r="1392" spans="1:5">
      <c r="A1392" t="s">
        <v>2636</v>
      </c>
      <c r="B1392" s="20" t="s">
        <v>2637</v>
      </c>
      <c r="C1392" s="20" t="s">
        <v>194</v>
      </c>
      <c r="E1392" s="162" t="s">
        <v>5699</v>
      </c>
    </row>
    <row r="1393" spans="1:5">
      <c r="A1393" t="s">
        <v>2636</v>
      </c>
      <c r="B1393" s="20" t="s">
        <v>2637</v>
      </c>
      <c r="C1393" s="20" t="s">
        <v>194</v>
      </c>
      <c r="E1393" s="162" t="s">
        <v>5699</v>
      </c>
    </row>
    <row r="1394" spans="1:5">
      <c r="A1394" t="s">
        <v>2638</v>
      </c>
      <c r="B1394" s="20" t="s">
        <v>2639</v>
      </c>
      <c r="C1394" s="20" t="s">
        <v>88</v>
      </c>
      <c r="E1394" s="162" t="s">
        <v>5972</v>
      </c>
    </row>
    <row r="1395" spans="1:5">
      <c r="A1395" t="s">
        <v>2640</v>
      </c>
      <c r="B1395" s="20" t="s">
        <v>2641</v>
      </c>
      <c r="C1395" s="20" t="s">
        <v>88</v>
      </c>
      <c r="E1395" s="162" t="s">
        <v>5972</v>
      </c>
    </row>
    <row r="1396" spans="1:5">
      <c r="A1396" t="s">
        <v>2642</v>
      </c>
      <c r="B1396" s="20" t="s">
        <v>2643</v>
      </c>
      <c r="C1396" s="20" t="s">
        <v>90</v>
      </c>
      <c r="E1396" s="162" t="s">
        <v>8426</v>
      </c>
    </row>
    <row r="1397" spans="1:5">
      <c r="A1397" t="s">
        <v>2644</v>
      </c>
      <c r="B1397" s="20" t="s">
        <v>2645</v>
      </c>
      <c r="C1397" s="20" t="s">
        <v>90</v>
      </c>
      <c r="E1397" s="162" t="s">
        <v>8426</v>
      </c>
    </row>
    <row r="1398" spans="1:5">
      <c r="A1398" t="s">
        <v>2646</v>
      </c>
      <c r="B1398" s="20" t="s">
        <v>2647</v>
      </c>
      <c r="C1398" s="20" t="s">
        <v>89</v>
      </c>
      <c r="E1398" s="162" t="s">
        <v>7991</v>
      </c>
    </row>
    <row r="1399" spans="1:5">
      <c r="A1399" t="s">
        <v>2648</v>
      </c>
      <c r="B1399" s="20" t="s">
        <v>2649</v>
      </c>
      <c r="C1399" s="20" t="s">
        <v>89</v>
      </c>
      <c r="E1399" s="162" t="s">
        <v>7991</v>
      </c>
    </row>
    <row r="1400" spans="1:5">
      <c r="A1400" t="s">
        <v>2650</v>
      </c>
      <c r="B1400" s="20" t="s">
        <v>2651</v>
      </c>
      <c r="C1400" s="20" t="s">
        <v>89</v>
      </c>
      <c r="E1400" s="162" t="s">
        <v>5700</v>
      </c>
    </row>
    <row r="1401" spans="1:5">
      <c r="A1401" t="s">
        <v>2650</v>
      </c>
      <c r="B1401" s="20" t="s">
        <v>2651</v>
      </c>
      <c r="C1401" s="20" t="s">
        <v>89</v>
      </c>
      <c r="E1401" s="162" t="s">
        <v>5700</v>
      </c>
    </row>
    <row r="1402" spans="1:5">
      <c r="A1402" t="s">
        <v>2652</v>
      </c>
      <c r="B1402" s="20" t="s">
        <v>2653</v>
      </c>
      <c r="C1402" s="20" t="s">
        <v>89</v>
      </c>
      <c r="E1402" s="162" t="s">
        <v>5700</v>
      </c>
    </row>
    <row r="1403" spans="1:5">
      <c r="A1403" t="s">
        <v>2652</v>
      </c>
      <c r="B1403" s="20" t="s">
        <v>2653</v>
      </c>
      <c r="C1403" s="20" t="s">
        <v>89</v>
      </c>
      <c r="E1403" s="162" t="s">
        <v>5700</v>
      </c>
    </row>
    <row r="1404" spans="1:5">
      <c r="A1404" t="s">
        <v>2654</v>
      </c>
      <c r="B1404" s="20" t="s">
        <v>2655</v>
      </c>
      <c r="C1404" s="20" t="s">
        <v>90</v>
      </c>
      <c r="E1404" s="162" t="s">
        <v>5700</v>
      </c>
    </row>
    <row r="1405" spans="1:5">
      <c r="A1405" t="s">
        <v>2656</v>
      </c>
      <c r="B1405" s="20" t="s">
        <v>2657</v>
      </c>
      <c r="C1405" s="20" t="s">
        <v>89</v>
      </c>
      <c r="E1405" s="162" t="s">
        <v>5700</v>
      </c>
    </row>
    <row r="1406" spans="1:5">
      <c r="A1406" t="s">
        <v>2656</v>
      </c>
      <c r="B1406" s="20" t="s">
        <v>2657</v>
      </c>
      <c r="C1406" s="20" t="s">
        <v>89</v>
      </c>
      <c r="E1406" s="162" t="s">
        <v>5700</v>
      </c>
    </row>
    <row r="1407" spans="1:5">
      <c r="A1407" t="s">
        <v>2658</v>
      </c>
      <c r="B1407" s="20" t="s">
        <v>2659</v>
      </c>
      <c r="C1407" s="20" t="s">
        <v>89</v>
      </c>
      <c r="E1407" s="162" t="s">
        <v>7991</v>
      </c>
    </row>
    <row r="1408" spans="1:5">
      <c r="A1408" t="s">
        <v>2658</v>
      </c>
      <c r="B1408" s="20" t="s">
        <v>2659</v>
      </c>
      <c r="C1408" s="20" t="s">
        <v>89</v>
      </c>
      <c r="E1408" s="162" t="s">
        <v>7991</v>
      </c>
    </row>
    <row r="1409" spans="1:5">
      <c r="A1409" t="s">
        <v>2660</v>
      </c>
      <c r="B1409" s="20" t="s">
        <v>2661</v>
      </c>
      <c r="C1409" s="20" t="s">
        <v>89</v>
      </c>
      <c r="E1409" s="162" t="s">
        <v>7991</v>
      </c>
    </row>
    <row r="1410" spans="1:5">
      <c r="A1410" t="s">
        <v>2662</v>
      </c>
      <c r="B1410" s="20" t="s">
        <v>2663</v>
      </c>
      <c r="C1410" s="20" t="s">
        <v>89</v>
      </c>
      <c r="E1410" s="162" t="s">
        <v>5700</v>
      </c>
    </row>
    <row r="1411" spans="1:5">
      <c r="A1411" t="s">
        <v>2662</v>
      </c>
      <c r="B1411" s="20" t="s">
        <v>2663</v>
      </c>
      <c r="C1411" s="20" t="s">
        <v>89</v>
      </c>
      <c r="E1411" s="162" t="s">
        <v>5700</v>
      </c>
    </row>
    <row r="1412" spans="1:5">
      <c r="A1412" t="s">
        <v>2664</v>
      </c>
      <c r="B1412" s="20" t="s">
        <v>2665</v>
      </c>
      <c r="C1412" s="20" t="s">
        <v>89</v>
      </c>
      <c r="E1412" s="162" t="s">
        <v>5700</v>
      </c>
    </row>
    <row r="1413" spans="1:5">
      <c r="A1413" t="s">
        <v>2664</v>
      </c>
      <c r="B1413" s="20" t="s">
        <v>2665</v>
      </c>
      <c r="C1413" s="20" t="s">
        <v>89</v>
      </c>
      <c r="E1413" s="162" t="s">
        <v>5700</v>
      </c>
    </row>
    <row r="1414" spans="1:5">
      <c r="A1414" t="s">
        <v>2666</v>
      </c>
      <c r="B1414" s="20" t="s">
        <v>2667</v>
      </c>
      <c r="C1414" s="20" t="s">
        <v>89</v>
      </c>
      <c r="E1414" s="162" t="s">
        <v>5700</v>
      </c>
    </row>
    <row r="1415" spans="1:5">
      <c r="A1415" t="s">
        <v>2666</v>
      </c>
      <c r="B1415" s="20" t="s">
        <v>2667</v>
      </c>
      <c r="C1415" s="20" t="s">
        <v>89</v>
      </c>
      <c r="E1415" s="162" t="s">
        <v>5700</v>
      </c>
    </row>
    <row r="1416" spans="1:5">
      <c r="A1416" t="s">
        <v>2668</v>
      </c>
      <c r="B1416" s="20" t="s">
        <v>2669</v>
      </c>
      <c r="C1416" s="20" t="s">
        <v>89</v>
      </c>
      <c r="E1416" s="162" t="s">
        <v>5700</v>
      </c>
    </row>
    <row r="1417" spans="1:5">
      <c r="A1417" t="s">
        <v>2668</v>
      </c>
      <c r="B1417" s="20" t="s">
        <v>2669</v>
      </c>
      <c r="C1417" s="20" t="s">
        <v>89</v>
      </c>
      <c r="E1417" s="162" t="s">
        <v>5700</v>
      </c>
    </row>
    <row r="1418" spans="1:5">
      <c r="A1418" t="s">
        <v>2670</v>
      </c>
      <c r="B1418" s="20" t="s">
        <v>2671</v>
      </c>
      <c r="C1418" s="20" t="s">
        <v>89</v>
      </c>
      <c r="E1418" s="162" t="s">
        <v>5700</v>
      </c>
    </row>
    <row r="1419" spans="1:5">
      <c r="A1419" t="s">
        <v>2672</v>
      </c>
      <c r="B1419" s="20" t="s">
        <v>2673</v>
      </c>
      <c r="C1419" s="20" t="s">
        <v>89</v>
      </c>
      <c r="E1419" s="162" t="s">
        <v>5700</v>
      </c>
    </row>
    <row r="1420" spans="1:5">
      <c r="A1420" t="s">
        <v>2672</v>
      </c>
      <c r="B1420" s="20" t="s">
        <v>2673</v>
      </c>
      <c r="C1420" s="20" t="s">
        <v>89</v>
      </c>
      <c r="E1420" s="162" t="s">
        <v>5700</v>
      </c>
    </row>
    <row r="1421" spans="1:5">
      <c r="A1421" t="s">
        <v>2674</v>
      </c>
      <c r="B1421" s="20" t="s">
        <v>2675</v>
      </c>
      <c r="C1421" s="20" t="s">
        <v>89</v>
      </c>
      <c r="E1421" s="162" t="s">
        <v>5700</v>
      </c>
    </row>
    <row r="1422" spans="1:5">
      <c r="A1422" t="s">
        <v>2674</v>
      </c>
      <c r="B1422" s="20" t="s">
        <v>2675</v>
      </c>
      <c r="C1422" s="20" t="s">
        <v>89</v>
      </c>
      <c r="E1422" s="162" t="s">
        <v>5700</v>
      </c>
    </row>
    <row r="1423" spans="1:5">
      <c r="A1423" t="s">
        <v>2676</v>
      </c>
      <c r="B1423" s="20" t="s">
        <v>2677</v>
      </c>
      <c r="C1423" s="20" t="s">
        <v>90</v>
      </c>
      <c r="E1423" s="162" t="s">
        <v>8427</v>
      </c>
    </row>
    <row r="1424" spans="1:5">
      <c r="A1424" t="s">
        <v>2678</v>
      </c>
      <c r="B1424" s="20" t="s">
        <v>2679</v>
      </c>
      <c r="C1424" s="20" t="s">
        <v>90</v>
      </c>
      <c r="E1424" s="162" t="s">
        <v>5684</v>
      </c>
    </row>
    <row r="1425" spans="1:5">
      <c r="A1425" t="s">
        <v>2680</v>
      </c>
      <c r="B1425" s="20" t="s">
        <v>2681</v>
      </c>
      <c r="C1425" s="20" t="s">
        <v>90</v>
      </c>
      <c r="E1425" s="162" t="s">
        <v>5973</v>
      </c>
    </row>
    <row r="1426" spans="1:5">
      <c r="A1426" t="s">
        <v>2682</v>
      </c>
      <c r="B1426" s="20" t="s">
        <v>2683</v>
      </c>
      <c r="C1426" s="20" t="s">
        <v>88</v>
      </c>
      <c r="E1426" s="162" t="s">
        <v>5973</v>
      </c>
    </row>
    <row r="1427" spans="1:5">
      <c r="A1427" t="s">
        <v>2684</v>
      </c>
      <c r="B1427" s="20" t="s">
        <v>2685</v>
      </c>
      <c r="C1427" s="20" t="s">
        <v>90</v>
      </c>
      <c r="E1427" s="162" t="s">
        <v>8428</v>
      </c>
    </row>
    <row r="1428" spans="1:5">
      <c r="A1428" t="s">
        <v>2686</v>
      </c>
      <c r="B1428" s="20" t="s">
        <v>2687</v>
      </c>
      <c r="C1428" s="20" t="s">
        <v>90</v>
      </c>
      <c r="E1428" s="162" t="s">
        <v>5973</v>
      </c>
    </row>
    <row r="1429" spans="1:5">
      <c r="A1429" t="s">
        <v>2688</v>
      </c>
      <c r="B1429" s="20" t="s">
        <v>2689</v>
      </c>
      <c r="C1429" s="20" t="s">
        <v>90</v>
      </c>
      <c r="E1429" s="162" t="s">
        <v>8429</v>
      </c>
    </row>
    <row r="1430" spans="1:5">
      <c r="A1430" t="s">
        <v>2690</v>
      </c>
      <c r="B1430" s="20" t="s">
        <v>2691</v>
      </c>
      <c r="C1430" s="20" t="s">
        <v>88</v>
      </c>
      <c r="E1430" s="162" t="s">
        <v>6414</v>
      </c>
    </row>
    <row r="1431" spans="1:5">
      <c r="A1431" t="s">
        <v>2692</v>
      </c>
      <c r="B1431" s="20" t="s">
        <v>2693</v>
      </c>
      <c r="C1431" s="20" t="s">
        <v>88</v>
      </c>
      <c r="E1431" s="162" t="s">
        <v>5446</v>
      </c>
    </row>
    <row r="1432" spans="1:5">
      <c r="A1432" t="s">
        <v>2694</v>
      </c>
      <c r="B1432" s="20" t="s">
        <v>2695</v>
      </c>
      <c r="C1432" s="20" t="s">
        <v>88</v>
      </c>
      <c r="E1432" s="162" t="s">
        <v>8430</v>
      </c>
    </row>
    <row r="1433" spans="1:5">
      <c r="A1433" t="s">
        <v>2696</v>
      </c>
      <c r="B1433" s="20" t="s">
        <v>2697</v>
      </c>
      <c r="C1433" s="20" t="s">
        <v>88</v>
      </c>
      <c r="E1433" s="162" t="s">
        <v>4823</v>
      </c>
    </row>
    <row r="1434" spans="1:5">
      <c r="A1434" t="s">
        <v>2698</v>
      </c>
      <c r="B1434" s="20" t="s">
        <v>2699</v>
      </c>
      <c r="C1434" s="20" t="s">
        <v>88</v>
      </c>
      <c r="E1434" s="162" t="s">
        <v>4823</v>
      </c>
    </row>
    <row r="1435" spans="1:5">
      <c r="A1435" t="s">
        <v>2700</v>
      </c>
      <c r="B1435" s="20" t="s">
        <v>2701</v>
      </c>
      <c r="C1435" s="20" t="s">
        <v>88</v>
      </c>
      <c r="E1435" s="162" t="s">
        <v>4823</v>
      </c>
    </row>
    <row r="1436" spans="1:5">
      <c r="A1436" t="s">
        <v>2702</v>
      </c>
      <c r="B1436" s="20" t="s">
        <v>2703</v>
      </c>
      <c r="C1436" s="20" t="s">
        <v>88</v>
      </c>
      <c r="E1436" s="162" t="s">
        <v>4823</v>
      </c>
    </row>
    <row r="1437" spans="1:5">
      <c r="A1437" t="s">
        <v>2704</v>
      </c>
      <c r="B1437" s="20" t="s">
        <v>2705</v>
      </c>
      <c r="C1437" s="20" t="s">
        <v>88</v>
      </c>
      <c r="E1437" s="162" t="s">
        <v>5446</v>
      </c>
    </row>
    <row r="1438" spans="1:5">
      <c r="A1438" t="s">
        <v>2706</v>
      </c>
      <c r="B1438" s="20" t="s">
        <v>2707</v>
      </c>
      <c r="C1438" s="20" t="s">
        <v>88</v>
      </c>
      <c r="E1438" s="162" t="s">
        <v>5446</v>
      </c>
    </row>
    <row r="1439" spans="1:5">
      <c r="A1439" t="s">
        <v>2708</v>
      </c>
      <c r="B1439" s="20" t="s">
        <v>2709</v>
      </c>
      <c r="C1439" s="20" t="s">
        <v>88</v>
      </c>
      <c r="E1439" s="162" t="s">
        <v>5446</v>
      </c>
    </row>
    <row r="1440" spans="1:5">
      <c r="A1440" t="s">
        <v>2710</v>
      </c>
      <c r="B1440" s="20" t="s">
        <v>2711</v>
      </c>
      <c r="C1440" s="20" t="s">
        <v>88</v>
      </c>
      <c r="E1440" s="162" t="s">
        <v>4823</v>
      </c>
    </row>
    <row r="1441" spans="1:5">
      <c r="A1441" t="s">
        <v>2712</v>
      </c>
      <c r="B1441" s="20" t="s">
        <v>2713</v>
      </c>
      <c r="C1441" s="20" t="s">
        <v>88</v>
      </c>
      <c r="E1441" s="162" t="s">
        <v>4823</v>
      </c>
    </row>
    <row r="1442" spans="1:5">
      <c r="A1442" t="s">
        <v>2714</v>
      </c>
      <c r="B1442" s="20" t="s">
        <v>2715</v>
      </c>
      <c r="C1442" s="20" t="s">
        <v>88</v>
      </c>
      <c r="E1442" s="162" t="s">
        <v>4823</v>
      </c>
    </row>
    <row r="1443" spans="1:5">
      <c r="A1443" t="s">
        <v>2716</v>
      </c>
      <c r="B1443" s="20" t="s">
        <v>2717</v>
      </c>
      <c r="C1443" s="20" t="s">
        <v>88</v>
      </c>
      <c r="E1443" s="162" t="s">
        <v>4823</v>
      </c>
    </row>
    <row r="1444" spans="1:5">
      <c r="A1444" t="s">
        <v>2718</v>
      </c>
      <c r="B1444" s="20" t="s">
        <v>2719</v>
      </c>
      <c r="C1444" s="20" t="s">
        <v>88</v>
      </c>
      <c r="E1444" s="162" t="s">
        <v>4823</v>
      </c>
    </row>
    <row r="1445" spans="1:5">
      <c r="A1445" t="s">
        <v>2720</v>
      </c>
      <c r="B1445" s="20" t="s">
        <v>2721</v>
      </c>
      <c r="C1445" s="20" t="s">
        <v>88</v>
      </c>
      <c r="E1445" s="162" t="s">
        <v>4823</v>
      </c>
    </row>
    <row r="1446" spans="1:5">
      <c r="A1446" t="s">
        <v>2722</v>
      </c>
      <c r="B1446" s="20" t="s">
        <v>2723</v>
      </c>
      <c r="C1446" s="20" t="s">
        <v>88</v>
      </c>
      <c r="E1446" s="162" t="s">
        <v>4823</v>
      </c>
    </row>
    <row r="1447" spans="1:5">
      <c r="A1447" t="s">
        <v>2724</v>
      </c>
      <c r="B1447" s="20" t="s">
        <v>2725</v>
      </c>
      <c r="C1447" s="20" t="s">
        <v>88</v>
      </c>
      <c r="E1447" s="162" t="s">
        <v>4823</v>
      </c>
    </row>
    <row r="1448" spans="1:5">
      <c r="A1448" t="s">
        <v>2726</v>
      </c>
      <c r="B1448" s="20" t="s">
        <v>2727</v>
      </c>
      <c r="C1448" s="20" t="s">
        <v>88</v>
      </c>
      <c r="E1448" s="162" t="s">
        <v>4823</v>
      </c>
    </row>
    <row r="1449" spans="1:5">
      <c r="A1449" t="s">
        <v>2728</v>
      </c>
      <c r="B1449" s="20" t="s">
        <v>2729</v>
      </c>
      <c r="C1449" s="20" t="s">
        <v>88</v>
      </c>
      <c r="E1449" s="162" t="s">
        <v>4823</v>
      </c>
    </row>
    <row r="1450" spans="1:5">
      <c r="A1450" t="s">
        <v>2730</v>
      </c>
      <c r="B1450" s="20" t="s">
        <v>2731</v>
      </c>
      <c r="C1450" s="20" t="s">
        <v>88</v>
      </c>
      <c r="E1450" s="162" t="s">
        <v>4823</v>
      </c>
    </row>
    <row r="1451" spans="1:5">
      <c r="A1451" t="s">
        <v>2732</v>
      </c>
      <c r="B1451" s="20" t="s">
        <v>2733</v>
      </c>
      <c r="C1451" s="20" t="s">
        <v>88</v>
      </c>
      <c r="E1451" s="162" t="s">
        <v>4823</v>
      </c>
    </row>
    <row r="1452" spans="1:5">
      <c r="A1452" t="s">
        <v>2734</v>
      </c>
      <c r="B1452" s="20" t="s">
        <v>2735</v>
      </c>
      <c r="C1452" s="20" t="s">
        <v>88</v>
      </c>
      <c r="E1452" s="162" t="s">
        <v>4823</v>
      </c>
    </row>
    <row r="1453" spans="1:5">
      <c r="A1453" t="s">
        <v>2736</v>
      </c>
      <c r="B1453" s="20" t="s">
        <v>2737</v>
      </c>
      <c r="C1453" s="20" t="s">
        <v>88</v>
      </c>
      <c r="E1453" s="162" t="s">
        <v>4823</v>
      </c>
    </row>
    <row r="1454" spans="1:5">
      <c r="A1454" t="s">
        <v>2738</v>
      </c>
      <c r="B1454" s="20" t="s">
        <v>2739</v>
      </c>
      <c r="C1454" s="20" t="s">
        <v>88</v>
      </c>
      <c r="E1454" s="162" t="s">
        <v>6077</v>
      </c>
    </row>
    <row r="1455" spans="1:5">
      <c r="A1455" t="s">
        <v>2740</v>
      </c>
      <c r="B1455" s="20" t="s">
        <v>2741</v>
      </c>
      <c r="C1455" s="20" t="s">
        <v>88</v>
      </c>
      <c r="E1455" s="162" t="s">
        <v>4826</v>
      </c>
    </row>
    <row r="1456" spans="1:5">
      <c r="A1456" t="s">
        <v>2742</v>
      </c>
      <c r="B1456" s="20" t="s">
        <v>2743</v>
      </c>
      <c r="C1456" s="20" t="s">
        <v>88</v>
      </c>
      <c r="E1456" s="162" t="s">
        <v>4823</v>
      </c>
    </row>
    <row r="1457" spans="1:5">
      <c r="A1457" t="s">
        <v>2744</v>
      </c>
      <c r="B1457" s="20" t="s">
        <v>2745</v>
      </c>
      <c r="C1457" s="20" t="s">
        <v>88</v>
      </c>
      <c r="E1457" s="162" t="s">
        <v>4823</v>
      </c>
    </row>
    <row r="1458" spans="1:5">
      <c r="A1458" t="s">
        <v>2746</v>
      </c>
      <c r="B1458" s="20" t="s">
        <v>2747</v>
      </c>
      <c r="C1458" s="20" t="s">
        <v>88</v>
      </c>
      <c r="E1458" s="162" t="s">
        <v>5447</v>
      </c>
    </row>
    <row r="1459" spans="1:5">
      <c r="A1459" t="s">
        <v>2748</v>
      </c>
      <c r="B1459" s="20" t="s">
        <v>2749</v>
      </c>
      <c r="C1459" s="20" t="s">
        <v>88</v>
      </c>
      <c r="E1459" s="162" t="s">
        <v>8430</v>
      </c>
    </row>
    <row r="1460" spans="1:5">
      <c r="A1460" t="s">
        <v>2750</v>
      </c>
      <c r="B1460" s="20" t="s">
        <v>2751</v>
      </c>
      <c r="C1460" s="20" t="s">
        <v>88</v>
      </c>
      <c r="E1460" s="162" t="s">
        <v>4821</v>
      </c>
    </row>
    <row r="1461" spans="1:5">
      <c r="A1461" t="s">
        <v>2752</v>
      </c>
      <c r="B1461" s="20" t="s">
        <v>2753</v>
      </c>
      <c r="C1461" s="20" t="s">
        <v>88</v>
      </c>
      <c r="E1461" s="162" t="s">
        <v>4821</v>
      </c>
    </row>
    <row r="1462" spans="1:5">
      <c r="A1462" t="s">
        <v>2754</v>
      </c>
      <c r="B1462" s="20" t="s">
        <v>2755</v>
      </c>
      <c r="C1462" s="20" t="s">
        <v>88</v>
      </c>
      <c r="E1462" s="162" t="s">
        <v>4821</v>
      </c>
    </row>
    <row r="1463" spans="1:5">
      <c r="A1463" t="s">
        <v>2756</v>
      </c>
      <c r="B1463" s="20" t="s">
        <v>2757</v>
      </c>
      <c r="C1463" s="20" t="s">
        <v>414</v>
      </c>
      <c r="E1463" s="162" t="s">
        <v>8431</v>
      </c>
    </row>
    <row r="1464" spans="1:5">
      <c r="A1464" t="s">
        <v>2758</v>
      </c>
      <c r="B1464" s="20" t="s">
        <v>2759</v>
      </c>
      <c r="C1464" s="20" t="s">
        <v>88</v>
      </c>
      <c r="E1464" s="162" t="s">
        <v>4821</v>
      </c>
    </row>
    <row r="1465" spans="1:5">
      <c r="A1465" t="s">
        <v>2760</v>
      </c>
      <c r="B1465" s="20" t="s">
        <v>2761</v>
      </c>
      <c r="C1465" s="20" t="s">
        <v>88</v>
      </c>
      <c r="E1465" s="162" t="s">
        <v>5447</v>
      </c>
    </row>
    <row r="1466" spans="1:5">
      <c r="A1466" t="s">
        <v>2762</v>
      </c>
      <c r="B1466" s="20" t="s">
        <v>2763</v>
      </c>
      <c r="C1466" s="20" t="s">
        <v>88</v>
      </c>
      <c r="E1466" s="162" t="s">
        <v>5447</v>
      </c>
    </row>
    <row r="1467" spans="1:5">
      <c r="A1467" t="s">
        <v>2764</v>
      </c>
      <c r="B1467" s="20" t="s">
        <v>2765</v>
      </c>
      <c r="C1467" s="20" t="s">
        <v>88</v>
      </c>
      <c r="E1467" s="162" t="s">
        <v>5447</v>
      </c>
    </row>
    <row r="1468" spans="1:5">
      <c r="A1468" t="s">
        <v>2766</v>
      </c>
      <c r="B1468" s="20" t="s">
        <v>2767</v>
      </c>
      <c r="C1468" s="20" t="s">
        <v>88</v>
      </c>
      <c r="E1468" s="162" t="s">
        <v>5384</v>
      </c>
    </row>
    <row r="1469" spans="1:5">
      <c r="A1469" t="s">
        <v>2768</v>
      </c>
      <c r="B1469" s="20" t="s">
        <v>2769</v>
      </c>
      <c r="C1469" s="20" t="s">
        <v>88</v>
      </c>
      <c r="E1469" s="162" t="s">
        <v>5384</v>
      </c>
    </row>
    <row r="1470" spans="1:5">
      <c r="A1470" t="s">
        <v>2770</v>
      </c>
      <c r="B1470" s="20" t="s">
        <v>2771</v>
      </c>
      <c r="C1470" s="20" t="s">
        <v>90</v>
      </c>
      <c r="E1470" s="162" t="s">
        <v>8432</v>
      </c>
    </row>
    <row r="1471" spans="1:5">
      <c r="A1471" t="s">
        <v>2772</v>
      </c>
      <c r="B1471" s="20" t="s">
        <v>2773</v>
      </c>
      <c r="C1471" s="20" t="s">
        <v>90</v>
      </c>
      <c r="E1471" s="162" t="s">
        <v>8432</v>
      </c>
    </row>
    <row r="1472" spans="1:5">
      <c r="A1472" t="s">
        <v>2774</v>
      </c>
      <c r="B1472" s="20" t="s">
        <v>2775</v>
      </c>
      <c r="C1472" s="20" t="s">
        <v>88</v>
      </c>
      <c r="E1472" s="162" t="s">
        <v>4821</v>
      </c>
    </row>
    <row r="1473" spans="1:5">
      <c r="A1473" t="s">
        <v>2776</v>
      </c>
      <c r="B1473" s="20" t="s">
        <v>2777</v>
      </c>
      <c r="C1473" s="20" t="s">
        <v>88</v>
      </c>
      <c r="E1473" s="162" t="s">
        <v>4821</v>
      </c>
    </row>
    <row r="1474" spans="1:5">
      <c r="A1474" t="s">
        <v>2778</v>
      </c>
      <c r="B1474" s="20" t="s">
        <v>2779</v>
      </c>
      <c r="C1474" s="20" t="s">
        <v>88</v>
      </c>
      <c r="E1474" s="162" t="s">
        <v>4821</v>
      </c>
    </row>
    <row r="1475" spans="1:5">
      <c r="A1475" t="s">
        <v>2780</v>
      </c>
      <c r="B1475" s="20" t="s">
        <v>2781</v>
      </c>
      <c r="C1475" s="20" t="s">
        <v>88</v>
      </c>
      <c r="E1475" s="162" t="s">
        <v>4821</v>
      </c>
    </row>
    <row r="1476" spans="1:5">
      <c r="A1476" t="s">
        <v>2782</v>
      </c>
      <c r="B1476" s="20" t="s">
        <v>2783</v>
      </c>
      <c r="C1476" s="20" t="s">
        <v>88</v>
      </c>
      <c r="E1476" s="162" t="s">
        <v>4821</v>
      </c>
    </row>
    <row r="1477" spans="1:5">
      <c r="A1477" t="s">
        <v>2784</v>
      </c>
      <c r="B1477" s="20" t="s">
        <v>2785</v>
      </c>
      <c r="C1477" s="20" t="s">
        <v>88</v>
      </c>
      <c r="E1477" s="162" t="s">
        <v>4821</v>
      </c>
    </row>
    <row r="1478" spans="1:5">
      <c r="A1478" t="s">
        <v>2786</v>
      </c>
      <c r="B1478" s="20" t="s">
        <v>2787</v>
      </c>
      <c r="C1478" s="20" t="s">
        <v>775</v>
      </c>
      <c r="E1478" s="162" t="s">
        <v>8356</v>
      </c>
    </row>
    <row r="1479" spans="1:5">
      <c r="A1479" t="s">
        <v>2788</v>
      </c>
      <c r="B1479" s="20" t="s">
        <v>2789</v>
      </c>
      <c r="C1479" s="20" t="s">
        <v>88</v>
      </c>
      <c r="E1479" s="162" t="s">
        <v>6098</v>
      </c>
    </row>
    <row r="1480" spans="1:5">
      <c r="A1480" t="s">
        <v>2790</v>
      </c>
      <c r="B1480" s="20" t="s">
        <v>2791</v>
      </c>
      <c r="C1480" s="20" t="s">
        <v>88</v>
      </c>
      <c r="E1480" s="162" t="s">
        <v>4824</v>
      </c>
    </row>
    <row r="1481" spans="1:5">
      <c r="A1481" t="s">
        <v>2792</v>
      </c>
      <c r="B1481" s="20" t="s">
        <v>2793</v>
      </c>
      <c r="C1481" s="20" t="s">
        <v>88</v>
      </c>
      <c r="E1481" s="162" t="s">
        <v>4821</v>
      </c>
    </row>
    <row r="1482" spans="1:5">
      <c r="A1482" t="s">
        <v>2794</v>
      </c>
      <c r="B1482" s="20" t="s">
        <v>2795</v>
      </c>
      <c r="C1482" s="20" t="s">
        <v>88</v>
      </c>
      <c r="E1482" s="162" t="s">
        <v>4821</v>
      </c>
    </row>
    <row r="1483" spans="1:5">
      <c r="A1483" t="s">
        <v>2796</v>
      </c>
      <c r="B1483" s="20" t="s">
        <v>2797</v>
      </c>
      <c r="C1483" s="20" t="s">
        <v>88</v>
      </c>
      <c r="E1483" s="162" t="s">
        <v>8433</v>
      </c>
    </row>
    <row r="1484" spans="1:5">
      <c r="A1484" t="s">
        <v>2798</v>
      </c>
      <c r="B1484" s="20" t="s">
        <v>2799</v>
      </c>
      <c r="C1484" s="20" t="s">
        <v>88</v>
      </c>
      <c r="E1484" s="162" t="s">
        <v>5761</v>
      </c>
    </row>
    <row r="1485" spans="1:5">
      <c r="A1485" t="s">
        <v>2800</v>
      </c>
      <c r="B1485" s="20" t="s">
        <v>2801</v>
      </c>
      <c r="C1485" s="20" t="s">
        <v>88</v>
      </c>
      <c r="E1485" s="162" t="s">
        <v>5761</v>
      </c>
    </row>
    <row r="1486" spans="1:5">
      <c r="A1486" t="s">
        <v>2802</v>
      </c>
      <c r="B1486" s="20" t="s">
        <v>2803</v>
      </c>
      <c r="C1486" s="20" t="s">
        <v>194</v>
      </c>
      <c r="E1486" s="162" t="s">
        <v>8434</v>
      </c>
    </row>
    <row r="1487" spans="1:5">
      <c r="A1487" t="s">
        <v>2804</v>
      </c>
      <c r="B1487" s="20" t="s">
        <v>2805</v>
      </c>
      <c r="C1487" s="20">
        <v>0</v>
      </c>
      <c r="E1487" s="162" t="s">
        <v>7913</v>
      </c>
    </row>
    <row r="1488" spans="1:5">
      <c r="A1488" t="s">
        <v>2806</v>
      </c>
      <c r="B1488" s="20" t="s">
        <v>2807</v>
      </c>
      <c r="C1488" s="20">
        <v>0</v>
      </c>
      <c r="E1488" s="162" t="s">
        <v>7913</v>
      </c>
    </row>
    <row r="1489" spans="1:5">
      <c r="A1489" t="s">
        <v>2808</v>
      </c>
      <c r="B1489" s="20" t="s">
        <v>2809</v>
      </c>
      <c r="C1489" s="20" t="s">
        <v>88</v>
      </c>
      <c r="E1489" s="162" t="s">
        <v>5761</v>
      </c>
    </row>
    <row r="1490" spans="1:5">
      <c r="A1490" t="s">
        <v>2810</v>
      </c>
      <c r="B1490" s="20" t="s">
        <v>2811</v>
      </c>
      <c r="C1490" s="20">
        <v>0</v>
      </c>
      <c r="E1490" s="162" t="s">
        <v>7913</v>
      </c>
    </row>
    <row r="1491" spans="1:5">
      <c r="A1491" t="s">
        <v>2812</v>
      </c>
      <c r="B1491" s="20" t="s">
        <v>2813</v>
      </c>
      <c r="C1491" s="20" t="s">
        <v>88</v>
      </c>
      <c r="E1491" s="162" t="s">
        <v>8433</v>
      </c>
    </row>
    <row r="1492" spans="1:5">
      <c r="A1492" t="s">
        <v>2814</v>
      </c>
      <c r="B1492" s="20" t="s">
        <v>2815</v>
      </c>
      <c r="C1492" s="20" t="s">
        <v>247</v>
      </c>
      <c r="E1492" s="162" t="s">
        <v>5761</v>
      </c>
    </row>
    <row r="1493" spans="1:5">
      <c r="A1493" t="s">
        <v>2816</v>
      </c>
      <c r="B1493" s="20" t="s">
        <v>2817</v>
      </c>
      <c r="C1493" s="20" t="s">
        <v>88</v>
      </c>
      <c r="E1493" s="162" t="s">
        <v>5761</v>
      </c>
    </row>
    <row r="1494" spans="1:5">
      <c r="A1494" t="s">
        <v>2818</v>
      </c>
      <c r="B1494" s="20" t="s">
        <v>2819</v>
      </c>
      <c r="C1494" s="20" t="s">
        <v>88</v>
      </c>
      <c r="E1494" s="162" t="s">
        <v>5761</v>
      </c>
    </row>
    <row r="1495" spans="1:5">
      <c r="A1495" t="s">
        <v>2820</v>
      </c>
      <c r="B1495" s="20" t="s">
        <v>2821</v>
      </c>
      <c r="C1495" s="20" t="s">
        <v>88</v>
      </c>
      <c r="E1495" s="162" t="s">
        <v>5761</v>
      </c>
    </row>
    <row r="1496" spans="1:5">
      <c r="A1496" t="s">
        <v>2822</v>
      </c>
      <c r="B1496" s="20" t="s">
        <v>2823</v>
      </c>
      <c r="C1496" s="20" t="s">
        <v>88</v>
      </c>
      <c r="E1496" s="162" t="s">
        <v>5761</v>
      </c>
    </row>
    <row r="1497" spans="1:5">
      <c r="A1497" t="s">
        <v>2824</v>
      </c>
      <c r="B1497" s="20" t="s">
        <v>2825</v>
      </c>
      <c r="C1497" s="20" t="s">
        <v>88</v>
      </c>
      <c r="E1497" s="162" t="s">
        <v>8435</v>
      </c>
    </row>
    <row r="1498" spans="1:5">
      <c r="A1498" t="s">
        <v>2826</v>
      </c>
      <c r="B1498" s="20" t="s">
        <v>2827</v>
      </c>
      <c r="C1498" s="20" t="s">
        <v>88</v>
      </c>
      <c r="E1498" s="162" t="s">
        <v>8436</v>
      </c>
    </row>
    <row r="1499" spans="1:5">
      <c r="A1499" t="s">
        <v>2828</v>
      </c>
      <c r="B1499" s="20" t="s">
        <v>2829</v>
      </c>
      <c r="C1499" s="20" t="s">
        <v>88</v>
      </c>
      <c r="E1499" s="162" t="s">
        <v>8437</v>
      </c>
    </row>
    <row r="1500" spans="1:5">
      <c r="A1500" t="s">
        <v>2830</v>
      </c>
      <c r="B1500" s="20" t="s">
        <v>2831</v>
      </c>
      <c r="C1500" s="20" t="s">
        <v>88</v>
      </c>
      <c r="E1500" s="162" t="s">
        <v>5689</v>
      </c>
    </row>
    <row r="1501" spans="1:5">
      <c r="A1501" t="s">
        <v>2832</v>
      </c>
      <c r="B1501" s="20" t="s">
        <v>2833</v>
      </c>
      <c r="C1501" s="20" t="s">
        <v>88</v>
      </c>
      <c r="E1501" s="162" t="s">
        <v>5689</v>
      </c>
    </row>
    <row r="1502" spans="1:5">
      <c r="A1502" t="s">
        <v>2834</v>
      </c>
      <c r="B1502" s="20" t="s">
        <v>2835</v>
      </c>
      <c r="C1502" s="20" t="s">
        <v>194</v>
      </c>
      <c r="E1502" s="162" t="s">
        <v>8438</v>
      </c>
    </row>
    <row r="1503" spans="1:5">
      <c r="A1503" t="s">
        <v>2836</v>
      </c>
      <c r="B1503" s="20" t="s">
        <v>2837</v>
      </c>
      <c r="C1503" s="20" t="s">
        <v>88</v>
      </c>
      <c r="E1503" s="162" t="s">
        <v>8437</v>
      </c>
    </row>
    <row r="1504" spans="1:5">
      <c r="A1504" t="s">
        <v>2838</v>
      </c>
      <c r="B1504" s="20" t="s">
        <v>2839</v>
      </c>
      <c r="C1504" s="20" t="s">
        <v>247</v>
      </c>
      <c r="E1504" s="162" t="s">
        <v>5689</v>
      </c>
    </row>
    <row r="1505" spans="1:5">
      <c r="A1505" t="s">
        <v>2840</v>
      </c>
      <c r="B1505" s="20" t="s">
        <v>2841</v>
      </c>
      <c r="C1505" s="20" t="s">
        <v>88</v>
      </c>
      <c r="E1505" s="162" t="s">
        <v>5689</v>
      </c>
    </row>
    <row r="1506" spans="1:5">
      <c r="A1506" t="s">
        <v>2842</v>
      </c>
      <c r="B1506" s="20" t="s">
        <v>2843</v>
      </c>
      <c r="C1506" s="20" t="s">
        <v>88</v>
      </c>
      <c r="E1506" s="162" t="s">
        <v>5689</v>
      </c>
    </row>
    <row r="1507" spans="1:5">
      <c r="A1507" t="s">
        <v>2844</v>
      </c>
      <c r="B1507" s="20" t="s">
        <v>2845</v>
      </c>
      <c r="C1507" s="20" t="s">
        <v>88</v>
      </c>
      <c r="E1507" s="162" t="s">
        <v>5689</v>
      </c>
    </row>
    <row r="1508" spans="1:5">
      <c r="A1508" t="s">
        <v>2846</v>
      </c>
      <c r="B1508" s="20" t="s">
        <v>2847</v>
      </c>
      <c r="C1508" s="20" t="s">
        <v>88</v>
      </c>
      <c r="E1508" s="162" t="s">
        <v>5689</v>
      </c>
    </row>
    <row r="1509" spans="1:5">
      <c r="A1509" t="s">
        <v>2848</v>
      </c>
      <c r="B1509" s="20" t="s">
        <v>2849</v>
      </c>
      <c r="C1509" s="20" t="s">
        <v>88</v>
      </c>
      <c r="E1509" s="162" t="s">
        <v>8435</v>
      </c>
    </row>
    <row r="1510" spans="1:5">
      <c r="A1510" t="s">
        <v>2850</v>
      </c>
      <c r="B1510" s="20" t="s">
        <v>2851</v>
      </c>
      <c r="C1510" s="20" t="s">
        <v>88</v>
      </c>
      <c r="E1510" s="162" t="s">
        <v>8439</v>
      </c>
    </row>
    <row r="1511" spans="1:5">
      <c r="A1511" t="s">
        <v>2852</v>
      </c>
      <c r="B1511" s="20" t="s">
        <v>2853</v>
      </c>
      <c r="C1511" s="20" t="s">
        <v>90</v>
      </c>
      <c r="E1511" s="162" t="s">
        <v>8440</v>
      </c>
    </row>
    <row r="1512" spans="1:5">
      <c r="A1512" t="s">
        <v>2854</v>
      </c>
      <c r="B1512" s="20" t="s">
        <v>2855</v>
      </c>
      <c r="C1512" s="20" t="s">
        <v>89</v>
      </c>
      <c r="E1512" s="162" t="s">
        <v>8441</v>
      </c>
    </row>
    <row r="1513" spans="1:5">
      <c r="A1513" t="s">
        <v>2854</v>
      </c>
      <c r="B1513" s="20" t="s">
        <v>2855</v>
      </c>
      <c r="C1513" s="20" t="s">
        <v>89</v>
      </c>
      <c r="E1513" s="162" t="s">
        <v>8441</v>
      </c>
    </row>
    <row r="1514" spans="1:5">
      <c r="A1514" t="s">
        <v>2856</v>
      </c>
      <c r="B1514" s="20" t="s">
        <v>2857</v>
      </c>
      <c r="C1514" s="20">
        <v>0</v>
      </c>
      <c r="E1514" s="162" t="s">
        <v>8442</v>
      </c>
    </row>
    <row r="1515" spans="1:5">
      <c r="A1515" t="s">
        <v>2858</v>
      </c>
      <c r="B1515" s="20" t="s">
        <v>2859</v>
      </c>
      <c r="C1515" s="20">
        <v>0</v>
      </c>
      <c r="E1515" s="162" t="s">
        <v>8442</v>
      </c>
    </row>
    <row r="1516" spans="1:5">
      <c r="A1516" t="s">
        <v>2860</v>
      </c>
      <c r="B1516" s="20" t="s">
        <v>2861</v>
      </c>
      <c r="C1516" s="20" t="s">
        <v>88</v>
      </c>
      <c r="E1516" s="162" t="s">
        <v>6616</v>
      </c>
    </row>
    <row r="1517" spans="1:5">
      <c r="A1517" t="s">
        <v>2862</v>
      </c>
      <c r="B1517" s="20" t="s">
        <v>2863</v>
      </c>
      <c r="C1517" s="20">
        <v>0</v>
      </c>
      <c r="E1517" s="162" t="s">
        <v>8442</v>
      </c>
    </row>
    <row r="1518" spans="1:5">
      <c r="A1518" t="s">
        <v>2864</v>
      </c>
      <c r="B1518" s="20" t="s">
        <v>2865</v>
      </c>
      <c r="C1518" s="20" t="s">
        <v>88</v>
      </c>
      <c r="E1518" s="162" t="s">
        <v>8443</v>
      </c>
    </row>
    <row r="1519" spans="1:5">
      <c r="A1519" t="s">
        <v>2866</v>
      </c>
      <c r="B1519" s="20" t="s">
        <v>2867</v>
      </c>
      <c r="C1519" s="20" t="s">
        <v>88</v>
      </c>
      <c r="E1519" s="162" t="s">
        <v>8444</v>
      </c>
    </row>
    <row r="1520" spans="1:5">
      <c r="A1520" t="s">
        <v>2868</v>
      </c>
      <c r="B1520" s="20" t="s">
        <v>2869</v>
      </c>
      <c r="C1520" s="20" t="s">
        <v>1138</v>
      </c>
      <c r="E1520" s="162" t="s">
        <v>6638</v>
      </c>
    </row>
    <row r="1521" spans="1:5">
      <c r="A1521" t="s">
        <v>2868</v>
      </c>
      <c r="B1521" s="20" t="s">
        <v>2869</v>
      </c>
      <c r="C1521" s="20" t="s">
        <v>1138</v>
      </c>
      <c r="E1521" s="162" t="s">
        <v>6638</v>
      </c>
    </row>
    <row r="1522" spans="1:5">
      <c r="A1522" t="s">
        <v>2868</v>
      </c>
      <c r="B1522" s="20" t="s">
        <v>2870</v>
      </c>
      <c r="C1522" s="20" t="s">
        <v>88</v>
      </c>
      <c r="E1522" s="162" t="s">
        <v>7916</v>
      </c>
    </row>
    <row r="1523" spans="1:5">
      <c r="A1523" t="s">
        <v>2871</v>
      </c>
      <c r="B1523" s="20" t="s">
        <v>2872</v>
      </c>
      <c r="C1523" s="20" t="s">
        <v>1138</v>
      </c>
      <c r="E1523" s="162" t="s">
        <v>7916</v>
      </c>
    </row>
    <row r="1524" spans="1:5">
      <c r="A1524" t="s">
        <v>2871</v>
      </c>
      <c r="B1524" s="20" t="s">
        <v>2872</v>
      </c>
      <c r="C1524" s="20" t="s">
        <v>1138</v>
      </c>
      <c r="E1524" s="162" t="s">
        <v>7916</v>
      </c>
    </row>
    <row r="1525" spans="1:5">
      <c r="A1525" t="s">
        <v>2873</v>
      </c>
      <c r="B1525" s="20" t="s">
        <v>2874</v>
      </c>
      <c r="C1525" s="20" t="s">
        <v>2875</v>
      </c>
      <c r="E1525" s="162" t="s">
        <v>7916</v>
      </c>
    </row>
    <row r="1526" spans="1:5">
      <c r="A1526" t="s">
        <v>2871</v>
      </c>
      <c r="B1526" s="20" t="s">
        <v>2876</v>
      </c>
      <c r="C1526" s="20" t="s">
        <v>88</v>
      </c>
      <c r="E1526" s="162" t="s">
        <v>7916</v>
      </c>
    </row>
    <row r="1527" spans="1:5">
      <c r="A1527" t="s">
        <v>2877</v>
      </c>
      <c r="B1527" s="20" t="s">
        <v>2878</v>
      </c>
      <c r="C1527" s="20" t="s">
        <v>1138</v>
      </c>
      <c r="E1527" s="162" t="s">
        <v>7916</v>
      </c>
    </row>
    <row r="1528" spans="1:5">
      <c r="A1528" t="s">
        <v>2877</v>
      </c>
      <c r="B1528" s="20" t="s">
        <v>2878</v>
      </c>
      <c r="C1528" s="20" t="s">
        <v>1138</v>
      </c>
      <c r="E1528" s="162" t="s">
        <v>7916</v>
      </c>
    </row>
    <row r="1529" spans="1:5">
      <c r="A1529" t="s">
        <v>2879</v>
      </c>
      <c r="B1529" s="20" t="s">
        <v>2880</v>
      </c>
      <c r="C1529" s="20" t="s">
        <v>2875</v>
      </c>
      <c r="E1529" s="162" t="s">
        <v>7916</v>
      </c>
    </row>
    <row r="1530" spans="1:5">
      <c r="A1530" t="s">
        <v>2877</v>
      </c>
      <c r="B1530" s="20" t="s">
        <v>2881</v>
      </c>
      <c r="C1530" s="20" t="s">
        <v>88</v>
      </c>
      <c r="E1530" s="162" t="s">
        <v>7916</v>
      </c>
    </row>
    <row r="1531" spans="1:5">
      <c r="A1531" t="s">
        <v>2882</v>
      </c>
      <c r="B1531" s="20" t="s">
        <v>2883</v>
      </c>
      <c r="C1531" s="20" t="s">
        <v>1138</v>
      </c>
      <c r="E1531" s="162" t="s">
        <v>6639</v>
      </c>
    </row>
    <row r="1532" spans="1:5">
      <c r="A1532" t="s">
        <v>2882</v>
      </c>
      <c r="B1532" s="20" t="s">
        <v>2883</v>
      </c>
      <c r="C1532" s="20" t="s">
        <v>1138</v>
      </c>
      <c r="E1532" s="162" t="s">
        <v>6639</v>
      </c>
    </row>
    <row r="1533" spans="1:5">
      <c r="A1533" t="s">
        <v>2882</v>
      </c>
      <c r="B1533" s="20" t="s">
        <v>2884</v>
      </c>
      <c r="C1533" s="20" t="s">
        <v>88</v>
      </c>
      <c r="E1533" s="162" t="s">
        <v>7918</v>
      </c>
    </row>
    <row r="1534" spans="1:5">
      <c r="A1534" t="s">
        <v>2885</v>
      </c>
      <c r="B1534" s="20" t="s">
        <v>2886</v>
      </c>
      <c r="C1534" s="20" t="s">
        <v>1138</v>
      </c>
      <c r="E1534" s="162" t="s">
        <v>7918</v>
      </c>
    </row>
    <row r="1535" spans="1:5">
      <c r="A1535" t="s">
        <v>2885</v>
      </c>
      <c r="B1535" s="20" t="s">
        <v>2886</v>
      </c>
      <c r="C1535" s="20" t="s">
        <v>1138</v>
      </c>
      <c r="E1535" s="162" t="s">
        <v>7918</v>
      </c>
    </row>
    <row r="1536" spans="1:5">
      <c r="A1536" t="s">
        <v>2887</v>
      </c>
      <c r="B1536" s="20" t="s">
        <v>2888</v>
      </c>
      <c r="C1536" s="20" t="s">
        <v>2875</v>
      </c>
      <c r="E1536" s="162" t="s">
        <v>7918</v>
      </c>
    </row>
    <row r="1537" spans="1:5">
      <c r="A1537" t="s">
        <v>2885</v>
      </c>
      <c r="B1537" s="20" t="s">
        <v>2889</v>
      </c>
      <c r="C1537" s="20" t="s">
        <v>88</v>
      </c>
      <c r="E1537" s="162" t="s">
        <v>7918</v>
      </c>
    </row>
    <row r="1538" spans="1:5">
      <c r="A1538" t="s">
        <v>2890</v>
      </c>
      <c r="B1538" s="20" t="s">
        <v>2891</v>
      </c>
      <c r="C1538" s="20" t="s">
        <v>1138</v>
      </c>
      <c r="E1538" s="162" t="s">
        <v>7918</v>
      </c>
    </row>
    <row r="1539" spans="1:5">
      <c r="A1539" t="s">
        <v>2890</v>
      </c>
      <c r="B1539" s="20" t="s">
        <v>2891</v>
      </c>
      <c r="C1539" s="20" t="s">
        <v>1138</v>
      </c>
      <c r="E1539" s="162" t="s">
        <v>7918</v>
      </c>
    </row>
    <row r="1540" spans="1:5">
      <c r="A1540" t="s">
        <v>2892</v>
      </c>
      <c r="B1540" s="20" t="s">
        <v>2893</v>
      </c>
      <c r="C1540" s="20" t="s">
        <v>2875</v>
      </c>
      <c r="E1540" s="162" t="s">
        <v>7918</v>
      </c>
    </row>
    <row r="1541" spans="1:5">
      <c r="A1541" t="s">
        <v>2890</v>
      </c>
      <c r="B1541" s="20" t="s">
        <v>2894</v>
      </c>
      <c r="C1541" s="20" t="s">
        <v>88</v>
      </c>
      <c r="E1541" s="162" t="s">
        <v>7918</v>
      </c>
    </row>
    <row r="1542" spans="1:5">
      <c r="A1542" t="s">
        <v>2895</v>
      </c>
      <c r="B1542" s="20" t="s">
        <v>2896</v>
      </c>
      <c r="C1542" s="20" t="s">
        <v>1138</v>
      </c>
      <c r="E1542" s="162" t="s">
        <v>5943</v>
      </c>
    </row>
    <row r="1543" spans="1:5">
      <c r="A1543" t="s">
        <v>2895</v>
      </c>
      <c r="B1543" s="20" t="s">
        <v>2896</v>
      </c>
      <c r="C1543" s="20" t="s">
        <v>1138</v>
      </c>
      <c r="E1543" s="162" t="s">
        <v>5943</v>
      </c>
    </row>
    <row r="1544" spans="1:5">
      <c r="A1544" t="s">
        <v>2897</v>
      </c>
      <c r="B1544" s="20" t="s">
        <v>2898</v>
      </c>
      <c r="C1544" s="20" t="s">
        <v>2875</v>
      </c>
      <c r="E1544" s="162" t="s">
        <v>5943</v>
      </c>
    </row>
    <row r="1545" spans="1:5">
      <c r="A1545" t="s">
        <v>2895</v>
      </c>
      <c r="B1545" s="20" t="s">
        <v>2899</v>
      </c>
      <c r="C1545" s="20" t="s">
        <v>88</v>
      </c>
      <c r="E1545" s="162" t="s">
        <v>5943</v>
      </c>
    </row>
    <row r="1546" spans="1:5">
      <c r="A1546" t="s">
        <v>2900</v>
      </c>
      <c r="B1546" s="20" t="s">
        <v>2901</v>
      </c>
      <c r="C1546" s="20" t="s">
        <v>90</v>
      </c>
      <c r="E1546" s="162" t="s">
        <v>8445</v>
      </c>
    </row>
    <row r="1547" spans="1:5">
      <c r="A1547" t="s">
        <v>2902</v>
      </c>
      <c r="B1547" s="20" t="s">
        <v>2903</v>
      </c>
      <c r="C1547" s="20" t="s">
        <v>90</v>
      </c>
      <c r="E1547" s="162" t="s">
        <v>8446</v>
      </c>
    </row>
    <row r="1548" spans="1:5">
      <c r="A1548" t="s">
        <v>2904</v>
      </c>
      <c r="B1548" s="20" t="s">
        <v>2905</v>
      </c>
      <c r="C1548" s="20" t="s">
        <v>1138</v>
      </c>
      <c r="E1548" s="162" t="s">
        <v>6628</v>
      </c>
    </row>
    <row r="1549" spans="1:5">
      <c r="A1549" t="s">
        <v>2904</v>
      </c>
      <c r="B1549" s="20" t="s">
        <v>2905</v>
      </c>
      <c r="C1549" s="20" t="s">
        <v>1138</v>
      </c>
      <c r="E1549" s="162" t="s">
        <v>6628</v>
      </c>
    </row>
    <row r="1550" spans="1:5">
      <c r="A1550" t="s">
        <v>2904</v>
      </c>
      <c r="B1550" s="20" t="s">
        <v>2906</v>
      </c>
      <c r="C1550" s="20" t="s">
        <v>88</v>
      </c>
      <c r="E1550" s="162" t="s">
        <v>5943</v>
      </c>
    </row>
    <row r="1551" spans="1:5">
      <c r="A1551" t="s">
        <v>2907</v>
      </c>
      <c r="B1551" s="20" t="s">
        <v>2908</v>
      </c>
      <c r="C1551" s="20" t="s">
        <v>89</v>
      </c>
      <c r="E1551" s="162" t="s">
        <v>6629</v>
      </c>
    </row>
    <row r="1552" spans="1:5">
      <c r="A1552" t="s">
        <v>2907</v>
      </c>
      <c r="B1552" s="20" t="s">
        <v>2908</v>
      </c>
      <c r="C1552" s="20" t="s">
        <v>89</v>
      </c>
      <c r="E1552" s="162" t="s">
        <v>6629</v>
      </c>
    </row>
    <row r="1553" spans="1:5">
      <c r="A1553" t="s">
        <v>2907</v>
      </c>
      <c r="B1553" s="20" t="s">
        <v>2908</v>
      </c>
      <c r="C1553" s="20" t="s">
        <v>89</v>
      </c>
      <c r="E1553" s="162" t="s">
        <v>6629</v>
      </c>
    </row>
    <row r="1554" spans="1:5">
      <c r="A1554" t="s">
        <v>2909</v>
      </c>
      <c r="B1554" s="20" t="s">
        <v>2910</v>
      </c>
      <c r="C1554" s="20" t="s">
        <v>1138</v>
      </c>
      <c r="E1554" s="162" t="s">
        <v>8447</v>
      </c>
    </row>
    <row r="1555" spans="1:5">
      <c r="A1555" t="s">
        <v>2909</v>
      </c>
      <c r="B1555" s="20" t="s">
        <v>2910</v>
      </c>
      <c r="C1555" s="20" t="s">
        <v>1138</v>
      </c>
      <c r="E1555" s="162" t="s">
        <v>8447</v>
      </c>
    </row>
    <row r="1556" spans="1:5">
      <c r="A1556" t="s">
        <v>2911</v>
      </c>
      <c r="B1556" s="20" t="s">
        <v>2912</v>
      </c>
      <c r="C1556" s="20" t="s">
        <v>2875</v>
      </c>
      <c r="E1556" s="162" t="s">
        <v>8447</v>
      </c>
    </row>
    <row r="1557" spans="1:5">
      <c r="A1557" t="s">
        <v>2909</v>
      </c>
      <c r="B1557" s="20" t="s">
        <v>2913</v>
      </c>
      <c r="C1557" s="20" t="s">
        <v>88</v>
      </c>
      <c r="E1557" s="162" t="s">
        <v>8447</v>
      </c>
    </row>
    <row r="1558" spans="1:5">
      <c r="A1558" t="s">
        <v>2914</v>
      </c>
      <c r="B1558" s="20" t="s">
        <v>2915</v>
      </c>
      <c r="C1558" s="20" t="s">
        <v>194</v>
      </c>
      <c r="E1558" s="162" t="s">
        <v>6392</v>
      </c>
    </row>
    <row r="1559" spans="1:5">
      <c r="A1559" t="s">
        <v>2914</v>
      </c>
      <c r="B1559" s="20" t="s">
        <v>2915</v>
      </c>
      <c r="C1559" s="20" t="s">
        <v>194</v>
      </c>
      <c r="E1559" s="162" t="s">
        <v>6392</v>
      </c>
    </row>
    <row r="1560" spans="1:5">
      <c r="A1560" t="s">
        <v>2916</v>
      </c>
      <c r="B1560" s="20" t="s">
        <v>2917</v>
      </c>
      <c r="C1560" s="20" t="s">
        <v>259</v>
      </c>
      <c r="E1560" s="162" t="s">
        <v>6392</v>
      </c>
    </row>
    <row r="1561" spans="1:5">
      <c r="A1561" t="s">
        <v>2916</v>
      </c>
      <c r="B1561" s="20" t="s">
        <v>2917</v>
      </c>
      <c r="C1561" s="20" t="s">
        <v>259</v>
      </c>
      <c r="E1561" s="162" t="s">
        <v>6392</v>
      </c>
    </row>
    <row r="1562" spans="1:5">
      <c r="A1562" t="s">
        <v>2918</v>
      </c>
      <c r="B1562" s="20" t="s">
        <v>2919</v>
      </c>
      <c r="C1562" s="20" t="s">
        <v>414</v>
      </c>
      <c r="E1562" s="162" t="s">
        <v>6411</v>
      </c>
    </row>
    <row r="1563" spans="1:5">
      <c r="A1563" t="s">
        <v>2920</v>
      </c>
      <c r="B1563" s="20" t="s">
        <v>2921</v>
      </c>
      <c r="C1563" s="20" t="s">
        <v>194</v>
      </c>
      <c r="E1563" s="162" t="s">
        <v>6411</v>
      </c>
    </row>
    <row r="1564" spans="1:5">
      <c r="A1564" t="s">
        <v>2920</v>
      </c>
      <c r="B1564" s="20" t="s">
        <v>2921</v>
      </c>
      <c r="C1564" s="20" t="s">
        <v>194</v>
      </c>
      <c r="E1564" s="162" t="s">
        <v>6411</v>
      </c>
    </row>
    <row r="1565" spans="1:5">
      <c r="A1565" t="s">
        <v>2922</v>
      </c>
      <c r="B1565" s="20" t="s">
        <v>2923</v>
      </c>
      <c r="C1565" s="20" t="s">
        <v>90</v>
      </c>
      <c r="E1565" s="162" t="s">
        <v>8448</v>
      </c>
    </row>
    <row r="1566" spans="1:5">
      <c r="A1566" t="s">
        <v>2924</v>
      </c>
      <c r="B1566" s="20" t="s">
        <v>2925</v>
      </c>
      <c r="C1566" s="20" t="s">
        <v>194</v>
      </c>
      <c r="E1566" s="162" t="s">
        <v>8007</v>
      </c>
    </row>
    <row r="1567" spans="1:5">
      <c r="A1567" t="s">
        <v>2924</v>
      </c>
      <c r="B1567" s="20" t="s">
        <v>2925</v>
      </c>
      <c r="C1567" s="20" t="s">
        <v>194</v>
      </c>
      <c r="E1567" s="162" t="s">
        <v>8007</v>
      </c>
    </row>
    <row r="1568" spans="1:5">
      <c r="A1568" t="s">
        <v>2926</v>
      </c>
      <c r="B1568" s="20" t="s">
        <v>2927</v>
      </c>
      <c r="C1568" s="20" t="s">
        <v>89</v>
      </c>
      <c r="E1568" s="162" t="s">
        <v>8449</v>
      </c>
    </row>
    <row r="1569" spans="1:5">
      <c r="A1569" t="s">
        <v>2928</v>
      </c>
      <c r="B1569" s="20" t="s">
        <v>2929</v>
      </c>
      <c r="C1569" s="20" t="s">
        <v>259</v>
      </c>
      <c r="E1569" s="162" t="s">
        <v>5875</v>
      </c>
    </row>
    <row r="1570" spans="1:5">
      <c r="A1570" t="s">
        <v>2928</v>
      </c>
      <c r="B1570" s="20" t="s">
        <v>2929</v>
      </c>
      <c r="C1570" s="20" t="s">
        <v>259</v>
      </c>
      <c r="E1570" s="162" t="s">
        <v>5875</v>
      </c>
    </row>
    <row r="1571" spans="1:5">
      <c r="A1571" t="s">
        <v>2930</v>
      </c>
      <c r="B1571" s="20" t="s">
        <v>2931</v>
      </c>
      <c r="C1571" s="20" t="s">
        <v>259</v>
      </c>
      <c r="E1571" s="162" t="s">
        <v>5875</v>
      </c>
    </row>
    <row r="1572" spans="1:5">
      <c r="A1572" t="s">
        <v>2930</v>
      </c>
      <c r="B1572" s="20" t="s">
        <v>2931</v>
      </c>
      <c r="C1572" s="20" t="s">
        <v>259</v>
      </c>
      <c r="E1572" s="162" t="s">
        <v>5875</v>
      </c>
    </row>
    <row r="1573" spans="1:5">
      <c r="A1573" t="s">
        <v>2932</v>
      </c>
      <c r="B1573" s="20" t="s">
        <v>2933</v>
      </c>
      <c r="C1573" s="20" t="s">
        <v>90</v>
      </c>
      <c r="E1573" s="162" t="s">
        <v>5791</v>
      </c>
    </row>
    <row r="1574" spans="1:5">
      <c r="A1574" t="s">
        <v>2934</v>
      </c>
      <c r="B1574" s="20" t="s">
        <v>2935</v>
      </c>
      <c r="C1574" s="20" t="s">
        <v>414</v>
      </c>
      <c r="E1574" s="162" t="s">
        <v>5791</v>
      </c>
    </row>
    <row r="1575" spans="1:5">
      <c r="A1575" t="s">
        <v>2936</v>
      </c>
      <c r="B1575" s="20" t="s">
        <v>2937</v>
      </c>
      <c r="C1575" s="20" t="s">
        <v>259</v>
      </c>
      <c r="E1575" s="162" t="s">
        <v>5791</v>
      </c>
    </row>
    <row r="1576" spans="1:5">
      <c r="A1576" t="s">
        <v>2938</v>
      </c>
      <c r="B1576" s="20" t="s">
        <v>2939</v>
      </c>
      <c r="C1576" s="20" t="s">
        <v>259</v>
      </c>
      <c r="E1576" s="162" t="s">
        <v>5790</v>
      </c>
    </row>
    <row r="1577" spans="1:5">
      <c r="A1577" t="s">
        <v>2938</v>
      </c>
      <c r="B1577" s="20" t="s">
        <v>2939</v>
      </c>
      <c r="C1577" s="20" t="s">
        <v>259</v>
      </c>
      <c r="E1577" s="162" t="s">
        <v>5790</v>
      </c>
    </row>
    <row r="1578" spans="1:5">
      <c r="A1578" t="s">
        <v>2940</v>
      </c>
      <c r="B1578" s="20" t="s">
        <v>2941</v>
      </c>
      <c r="C1578" s="20" t="s">
        <v>259</v>
      </c>
      <c r="E1578" s="162" t="s">
        <v>5790</v>
      </c>
    </row>
    <row r="1579" spans="1:5">
      <c r="A1579" t="s">
        <v>2942</v>
      </c>
      <c r="B1579" s="20" t="s">
        <v>2943</v>
      </c>
      <c r="C1579" s="20" t="s">
        <v>259</v>
      </c>
      <c r="E1579" s="162" t="s">
        <v>5875</v>
      </c>
    </row>
    <row r="1580" spans="1:5">
      <c r="A1580" t="s">
        <v>2942</v>
      </c>
      <c r="B1580" s="20" t="s">
        <v>2943</v>
      </c>
      <c r="C1580" s="20" t="s">
        <v>259</v>
      </c>
      <c r="E1580" s="162" t="s">
        <v>5875</v>
      </c>
    </row>
    <row r="1581" spans="1:5">
      <c r="A1581" t="s">
        <v>2944</v>
      </c>
      <c r="B1581" s="20" t="s">
        <v>2945</v>
      </c>
      <c r="C1581" s="20" t="s">
        <v>259</v>
      </c>
      <c r="E1581" s="162" t="s">
        <v>5875</v>
      </c>
    </row>
    <row r="1582" spans="1:5">
      <c r="A1582" t="s">
        <v>2944</v>
      </c>
      <c r="B1582" s="20" t="s">
        <v>2945</v>
      </c>
      <c r="C1582" s="20" t="s">
        <v>259</v>
      </c>
      <c r="E1582" s="162" t="s">
        <v>5875</v>
      </c>
    </row>
    <row r="1583" spans="1:5">
      <c r="A1583" t="s">
        <v>2946</v>
      </c>
      <c r="B1583" s="20" t="s">
        <v>2947</v>
      </c>
      <c r="C1583" s="20" t="s">
        <v>259</v>
      </c>
      <c r="E1583" s="162" t="s">
        <v>5875</v>
      </c>
    </row>
    <row r="1584" spans="1:5">
      <c r="A1584" t="s">
        <v>2946</v>
      </c>
      <c r="B1584" s="20" t="s">
        <v>2947</v>
      </c>
      <c r="C1584" s="20" t="s">
        <v>259</v>
      </c>
      <c r="E1584" s="162" t="s">
        <v>5875</v>
      </c>
    </row>
    <row r="1585" spans="1:5">
      <c r="A1585" t="s">
        <v>2948</v>
      </c>
      <c r="B1585" s="20" t="s">
        <v>2949</v>
      </c>
      <c r="C1585" s="20" t="s">
        <v>89</v>
      </c>
      <c r="E1585" s="162" t="s">
        <v>5640</v>
      </c>
    </row>
    <row r="1586" spans="1:5">
      <c r="A1586" t="s">
        <v>2948</v>
      </c>
      <c r="B1586" s="20" t="s">
        <v>2949</v>
      </c>
      <c r="C1586" s="20" t="s">
        <v>89</v>
      </c>
      <c r="E1586" s="162" t="s">
        <v>5640</v>
      </c>
    </row>
    <row r="1587" spans="1:5">
      <c r="A1587" t="s">
        <v>2950</v>
      </c>
      <c r="B1587" s="20" t="s">
        <v>2951</v>
      </c>
      <c r="C1587" s="20" t="s">
        <v>259</v>
      </c>
      <c r="E1587" s="162" t="s">
        <v>8450</v>
      </c>
    </row>
    <row r="1588" spans="1:5">
      <c r="A1588" t="s">
        <v>2950</v>
      </c>
      <c r="B1588" s="20" t="s">
        <v>2951</v>
      </c>
      <c r="C1588" s="20" t="s">
        <v>259</v>
      </c>
      <c r="E1588" s="162" t="s">
        <v>8450</v>
      </c>
    </row>
    <row r="1589" spans="1:5">
      <c r="A1589" t="s">
        <v>2952</v>
      </c>
      <c r="B1589" s="20" t="s">
        <v>2953</v>
      </c>
      <c r="C1589" s="20" t="s">
        <v>259</v>
      </c>
      <c r="E1589" s="162" t="s">
        <v>5857</v>
      </c>
    </row>
    <row r="1590" spans="1:5">
      <c r="A1590" t="s">
        <v>2952</v>
      </c>
      <c r="B1590" s="20" t="s">
        <v>2953</v>
      </c>
      <c r="C1590" s="20" t="s">
        <v>259</v>
      </c>
      <c r="E1590" s="162" t="s">
        <v>5857</v>
      </c>
    </row>
    <row r="1591" spans="1:5">
      <c r="A1591" t="s">
        <v>2954</v>
      </c>
      <c r="B1591" s="20" t="s">
        <v>2955</v>
      </c>
      <c r="C1591" s="20" t="s">
        <v>259</v>
      </c>
      <c r="E1591" s="162" t="s">
        <v>5821</v>
      </c>
    </row>
    <row r="1592" spans="1:5">
      <c r="A1592" t="s">
        <v>2954</v>
      </c>
      <c r="B1592" s="20" t="s">
        <v>2955</v>
      </c>
      <c r="C1592" s="20" t="s">
        <v>259</v>
      </c>
      <c r="E1592" s="162" t="s">
        <v>5821</v>
      </c>
    </row>
    <row r="1593" spans="1:5">
      <c r="A1593" t="s">
        <v>2956</v>
      </c>
      <c r="B1593" s="20" t="s">
        <v>2957</v>
      </c>
      <c r="C1593" s="20" t="s">
        <v>259</v>
      </c>
      <c r="E1593" s="162" t="s">
        <v>8451</v>
      </c>
    </row>
    <row r="1594" spans="1:5">
      <c r="A1594" t="s">
        <v>2956</v>
      </c>
      <c r="B1594" s="20" t="s">
        <v>2957</v>
      </c>
      <c r="C1594" s="20" t="s">
        <v>259</v>
      </c>
      <c r="E1594" s="162" t="s">
        <v>8451</v>
      </c>
    </row>
    <row r="1595" spans="1:5">
      <c r="A1595" t="s">
        <v>2958</v>
      </c>
      <c r="B1595" s="20" t="s">
        <v>2959</v>
      </c>
      <c r="C1595" s="20">
        <v>0</v>
      </c>
      <c r="E1595" s="162" t="s">
        <v>8452</v>
      </c>
    </row>
    <row r="1596" spans="1:5">
      <c r="A1596" t="s">
        <v>2960</v>
      </c>
      <c r="B1596" s="20" t="s">
        <v>2961</v>
      </c>
      <c r="C1596" s="20">
        <v>0</v>
      </c>
      <c r="E1596" s="162" t="s">
        <v>8452</v>
      </c>
    </row>
    <row r="1597" spans="1:5">
      <c r="A1597" t="s">
        <v>2962</v>
      </c>
      <c r="B1597" s="20" t="s">
        <v>2963</v>
      </c>
      <c r="C1597" s="20">
        <v>0</v>
      </c>
      <c r="E1597" s="162" t="s">
        <v>8453</v>
      </c>
    </row>
    <row r="1598" spans="1:5">
      <c r="A1598" t="s">
        <v>2964</v>
      </c>
      <c r="B1598" s="20" t="s">
        <v>2965</v>
      </c>
      <c r="C1598" s="20">
        <v>0</v>
      </c>
      <c r="E1598" s="162" t="s">
        <v>8452</v>
      </c>
    </row>
    <row r="1599" spans="1:5">
      <c r="A1599" t="s">
        <v>2966</v>
      </c>
      <c r="B1599" s="20" t="s">
        <v>2967</v>
      </c>
      <c r="C1599" s="20" t="s">
        <v>259</v>
      </c>
      <c r="E1599" s="162" t="s">
        <v>8454</v>
      </c>
    </row>
    <row r="1600" spans="1:5">
      <c r="A1600" t="s">
        <v>2968</v>
      </c>
      <c r="B1600" s="20" t="s">
        <v>2969</v>
      </c>
      <c r="C1600" s="20" t="s">
        <v>259</v>
      </c>
      <c r="E1600" s="162" t="s">
        <v>8454</v>
      </c>
    </row>
    <row r="1601" spans="1:5">
      <c r="A1601" t="s">
        <v>2970</v>
      </c>
      <c r="B1601" s="20" t="s">
        <v>2971</v>
      </c>
      <c r="C1601" s="20" t="s">
        <v>194</v>
      </c>
      <c r="E1601" s="162" t="s">
        <v>5701</v>
      </c>
    </row>
    <row r="1602" spans="1:5">
      <c r="A1602" t="s">
        <v>2970</v>
      </c>
      <c r="B1602" s="20" t="s">
        <v>2971</v>
      </c>
      <c r="C1602" s="20" t="s">
        <v>194</v>
      </c>
      <c r="E1602" s="162" t="s">
        <v>5701</v>
      </c>
    </row>
    <row r="1603" spans="1:5">
      <c r="A1603" t="s">
        <v>2972</v>
      </c>
      <c r="B1603" s="20" t="s">
        <v>2973</v>
      </c>
      <c r="C1603" s="20" t="s">
        <v>194</v>
      </c>
      <c r="E1603" s="162" t="s">
        <v>5701</v>
      </c>
    </row>
    <row r="1604" spans="1:5">
      <c r="A1604" t="s">
        <v>2972</v>
      </c>
      <c r="B1604" s="20" t="s">
        <v>2973</v>
      </c>
      <c r="C1604" s="20" t="s">
        <v>194</v>
      </c>
      <c r="E1604" s="162" t="s">
        <v>5701</v>
      </c>
    </row>
    <row r="1605" spans="1:5">
      <c r="A1605" t="s">
        <v>2974</v>
      </c>
      <c r="B1605" s="20" t="s">
        <v>2975</v>
      </c>
      <c r="C1605" s="20" t="s">
        <v>194</v>
      </c>
      <c r="E1605" s="162" t="s">
        <v>8454</v>
      </c>
    </row>
    <row r="1606" spans="1:5">
      <c r="A1606" t="s">
        <v>2976</v>
      </c>
      <c r="B1606" s="20" t="s">
        <v>2977</v>
      </c>
      <c r="C1606" s="20" t="s">
        <v>259</v>
      </c>
      <c r="E1606" s="162" t="s">
        <v>8455</v>
      </c>
    </row>
    <row r="1607" spans="1:5">
      <c r="A1607" t="s">
        <v>2978</v>
      </c>
      <c r="B1607" s="20" t="s">
        <v>2979</v>
      </c>
      <c r="C1607" s="20" t="s">
        <v>194</v>
      </c>
      <c r="E1607" s="162" t="s">
        <v>8456</v>
      </c>
    </row>
    <row r="1608" spans="1:5">
      <c r="A1608" t="s">
        <v>2978</v>
      </c>
      <c r="B1608" s="20" t="s">
        <v>2979</v>
      </c>
      <c r="C1608" s="20" t="s">
        <v>194</v>
      </c>
      <c r="E1608" s="162" t="s">
        <v>8456</v>
      </c>
    </row>
    <row r="1609" spans="1:5">
      <c r="A1609" t="s">
        <v>2980</v>
      </c>
      <c r="B1609" s="20" t="s">
        <v>2981</v>
      </c>
      <c r="C1609" s="20" t="s">
        <v>194</v>
      </c>
      <c r="E1609" s="162" t="s">
        <v>8457</v>
      </c>
    </row>
    <row r="1610" spans="1:5">
      <c r="A1610" t="s">
        <v>2982</v>
      </c>
      <c r="B1610" s="20" t="s">
        <v>2983</v>
      </c>
      <c r="C1610" s="20" t="s">
        <v>259</v>
      </c>
      <c r="E1610" s="162" t="s">
        <v>8458</v>
      </c>
    </row>
    <row r="1611" spans="1:5">
      <c r="A1611" t="s">
        <v>2984</v>
      </c>
      <c r="B1611" s="20" t="s">
        <v>2985</v>
      </c>
      <c r="C1611" s="20" t="s">
        <v>194</v>
      </c>
      <c r="E1611" s="162" t="s">
        <v>8010</v>
      </c>
    </row>
    <row r="1612" spans="1:5">
      <c r="A1612" t="s">
        <v>2984</v>
      </c>
      <c r="B1612" s="20" t="s">
        <v>2985</v>
      </c>
      <c r="C1612" s="20" t="s">
        <v>194</v>
      </c>
      <c r="E1612" s="162" t="s">
        <v>8010</v>
      </c>
    </row>
    <row r="1613" spans="1:5">
      <c r="A1613" t="s">
        <v>2986</v>
      </c>
      <c r="B1613" s="20" t="s">
        <v>2987</v>
      </c>
      <c r="C1613" s="20" t="s">
        <v>259</v>
      </c>
      <c r="E1613" s="162" t="s">
        <v>8459</v>
      </c>
    </row>
    <row r="1614" spans="1:5">
      <c r="A1614" t="s">
        <v>2988</v>
      </c>
      <c r="B1614" s="20" t="s">
        <v>2989</v>
      </c>
      <c r="C1614" s="20" t="s">
        <v>259</v>
      </c>
      <c r="E1614" s="162" t="s">
        <v>8460</v>
      </c>
    </row>
    <row r="1615" spans="1:5">
      <c r="A1615" t="s">
        <v>2990</v>
      </c>
      <c r="B1615" s="20" t="s">
        <v>2991</v>
      </c>
      <c r="C1615" s="20">
        <v>0</v>
      </c>
      <c r="E1615" s="162" t="s">
        <v>8461</v>
      </c>
    </row>
    <row r="1616" spans="1:5">
      <c r="A1616" t="s">
        <v>2992</v>
      </c>
      <c r="B1616" s="20" t="s">
        <v>2993</v>
      </c>
      <c r="C1616" s="20" t="s">
        <v>194</v>
      </c>
      <c r="E1616" s="162" t="s">
        <v>8117</v>
      </c>
    </row>
    <row r="1617" spans="1:5">
      <c r="A1617" t="s">
        <v>2992</v>
      </c>
      <c r="B1617" s="20" t="s">
        <v>2993</v>
      </c>
      <c r="C1617" s="20" t="s">
        <v>194</v>
      </c>
      <c r="E1617" s="162" t="s">
        <v>8117</v>
      </c>
    </row>
    <row r="1618" spans="1:5">
      <c r="A1618" t="s">
        <v>2994</v>
      </c>
      <c r="B1618" s="20" t="s">
        <v>2995</v>
      </c>
      <c r="C1618" s="20">
        <v>0</v>
      </c>
      <c r="E1618" s="162" t="s">
        <v>8117</v>
      </c>
    </row>
    <row r="1619" spans="1:5">
      <c r="A1619" t="s">
        <v>2996</v>
      </c>
      <c r="B1619" s="20" t="s">
        <v>2997</v>
      </c>
      <c r="C1619" s="20" t="s">
        <v>194</v>
      </c>
      <c r="E1619" s="162" t="s">
        <v>8117</v>
      </c>
    </row>
    <row r="1620" spans="1:5">
      <c r="A1620" t="s">
        <v>2996</v>
      </c>
      <c r="B1620" s="20" t="s">
        <v>2997</v>
      </c>
      <c r="C1620" s="20" t="s">
        <v>194</v>
      </c>
      <c r="E1620" s="162" t="s">
        <v>8117</v>
      </c>
    </row>
    <row r="1621" spans="1:5">
      <c r="A1621" t="s">
        <v>2998</v>
      </c>
      <c r="B1621" s="20" t="s">
        <v>2999</v>
      </c>
      <c r="C1621" s="20" t="s">
        <v>194</v>
      </c>
      <c r="E1621" s="162" t="s">
        <v>8117</v>
      </c>
    </row>
    <row r="1622" spans="1:5">
      <c r="A1622" t="s">
        <v>2998</v>
      </c>
      <c r="B1622" s="20" t="s">
        <v>2999</v>
      </c>
      <c r="C1622" s="20" t="s">
        <v>194</v>
      </c>
      <c r="E1622" s="162" t="s">
        <v>8117</v>
      </c>
    </row>
    <row r="1623" spans="1:5">
      <c r="A1623" t="s">
        <v>3000</v>
      </c>
      <c r="B1623" s="20" t="s">
        <v>3001</v>
      </c>
      <c r="C1623" s="20" t="s">
        <v>194</v>
      </c>
      <c r="E1623" s="162" t="s">
        <v>8117</v>
      </c>
    </row>
    <row r="1624" spans="1:5">
      <c r="A1624" t="s">
        <v>3000</v>
      </c>
      <c r="B1624" s="20" t="s">
        <v>3001</v>
      </c>
      <c r="C1624" s="20" t="s">
        <v>194</v>
      </c>
      <c r="E1624" s="162" t="s">
        <v>8117</v>
      </c>
    </row>
    <row r="1625" spans="1:5">
      <c r="A1625" t="s">
        <v>3002</v>
      </c>
      <c r="B1625" s="20" t="s">
        <v>3003</v>
      </c>
      <c r="C1625" s="20">
        <v>0</v>
      </c>
      <c r="E1625" s="162" t="s">
        <v>8117</v>
      </c>
    </row>
    <row r="1626" spans="1:5">
      <c r="A1626" t="s">
        <v>3004</v>
      </c>
      <c r="B1626" s="20" t="s">
        <v>3005</v>
      </c>
      <c r="C1626" s="20" t="s">
        <v>93</v>
      </c>
      <c r="E1626" s="162" t="s">
        <v>8462</v>
      </c>
    </row>
    <row r="1627" spans="1:5">
      <c r="A1627" t="s">
        <v>3006</v>
      </c>
      <c r="B1627" s="20" t="s">
        <v>3007</v>
      </c>
      <c r="C1627" s="20" t="s">
        <v>93</v>
      </c>
      <c r="E1627" s="162" t="s">
        <v>8462</v>
      </c>
    </row>
    <row r="1628" spans="1:5">
      <c r="A1628" t="s">
        <v>3008</v>
      </c>
      <c r="B1628" s="20" t="s">
        <v>3009</v>
      </c>
      <c r="C1628" s="20">
        <v>0</v>
      </c>
      <c r="E1628" s="162" t="s">
        <v>8463</v>
      </c>
    </row>
    <row r="1629" spans="1:5">
      <c r="A1629" t="s">
        <v>3010</v>
      </c>
      <c r="B1629" s="20" t="s">
        <v>3011</v>
      </c>
      <c r="C1629" s="20" t="s">
        <v>194</v>
      </c>
      <c r="E1629" s="162" t="s">
        <v>8120</v>
      </c>
    </row>
    <row r="1630" spans="1:5">
      <c r="A1630" t="s">
        <v>3010</v>
      </c>
      <c r="B1630" s="20" t="s">
        <v>3011</v>
      </c>
      <c r="C1630" s="20" t="s">
        <v>194</v>
      </c>
      <c r="E1630" s="162" t="s">
        <v>8120</v>
      </c>
    </row>
    <row r="1631" spans="1:5">
      <c r="A1631" t="s">
        <v>3012</v>
      </c>
      <c r="B1631" s="20" t="s">
        <v>3013</v>
      </c>
      <c r="C1631" s="20">
        <v>0</v>
      </c>
      <c r="E1631" s="162" t="s">
        <v>8120</v>
      </c>
    </row>
    <row r="1632" spans="1:5">
      <c r="A1632" t="s">
        <v>3014</v>
      </c>
      <c r="B1632" s="20" t="s">
        <v>3015</v>
      </c>
      <c r="C1632" s="20" t="s">
        <v>194</v>
      </c>
      <c r="E1632" s="162" t="s">
        <v>8120</v>
      </c>
    </row>
    <row r="1633" spans="1:5">
      <c r="A1633" t="s">
        <v>3014</v>
      </c>
      <c r="B1633" s="20" t="s">
        <v>3015</v>
      </c>
      <c r="C1633" s="20" t="s">
        <v>194</v>
      </c>
      <c r="E1633" s="162" t="s">
        <v>8120</v>
      </c>
    </row>
    <row r="1634" spans="1:5">
      <c r="A1634" t="s">
        <v>3016</v>
      </c>
      <c r="B1634" s="20" t="s">
        <v>3017</v>
      </c>
      <c r="C1634" s="20" t="s">
        <v>194</v>
      </c>
      <c r="E1634" s="162" t="s">
        <v>8120</v>
      </c>
    </row>
    <row r="1635" spans="1:5">
      <c r="A1635" t="s">
        <v>3016</v>
      </c>
      <c r="B1635" s="20" t="s">
        <v>3017</v>
      </c>
      <c r="C1635" s="20" t="s">
        <v>194</v>
      </c>
      <c r="E1635" s="162" t="s">
        <v>8120</v>
      </c>
    </row>
    <row r="1636" spans="1:5">
      <c r="A1636" t="s">
        <v>3018</v>
      </c>
      <c r="B1636" s="20" t="s">
        <v>3019</v>
      </c>
      <c r="C1636" s="20" t="s">
        <v>194</v>
      </c>
      <c r="E1636" s="162" t="s">
        <v>8120</v>
      </c>
    </row>
    <row r="1637" spans="1:5">
      <c r="A1637" t="s">
        <v>3018</v>
      </c>
      <c r="B1637" s="20" t="s">
        <v>3019</v>
      </c>
      <c r="C1637" s="20" t="s">
        <v>194</v>
      </c>
      <c r="E1637" s="162" t="s">
        <v>8120</v>
      </c>
    </row>
    <row r="1638" spans="1:5">
      <c r="A1638" t="s">
        <v>3020</v>
      </c>
      <c r="B1638" s="20" t="s">
        <v>3021</v>
      </c>
      <c r="C1638" s="20">
        <v>0</v>
      </c>
      <c r="E1638" s="162" t="s">
        <v>8120</v>
      </c>
    </row>
    <row r="1639" spans="1:5">
      <c r="A1639" t="s">
        <v>3022</v>
      </c>
      <c r="B1639" s="20" t="s">
        <v>3023</v>
      </c>
      <c r="C1639" s="20" t="s">
        <v>93</v>
      </c>
      <c r="E1639" s="162" t="s">
        <v>5570</v>
      </c>
    </row>
    <row r="1640" spans="1:5">
      <c r="A1640" t="s">
        <v>3024</v>
      </c>
      <c r="B1640" s="20" t="s">
        <v>3025</v>
      </c>
      <c r="C1640" s="20" t="s">
        <v>93</v>
      </c>
      <c r="E1640" s="162" t="s">
        <v>5570</v>
      </c>
    </row>
    <row r="1641" spans="1:5">
      <c r="A1641" t="s">
        <v>3026</v>
      </c>
      <c r="B1641" s="20" t="s">
        <v>3027</v>
      </c>
      <c r="C1641" s="20" t="s">
        <v>90</v>
      </c>
      <c r="E1641" s="162" t="s">
        <v>5406</v>
      </c>
    </row>
    <row r="1642" spans="1:5">
      <c r="A1642" t="s">
        <v>3028</v>
      </c>
      <c r="B1642" s="20" t="s">
        <v>3029</v>
      </c>
      <c r="C1642" s="20" t="s">
        <v>90</v>
      </c>
      <c r="E1642" s="162" t="s">
        <v>5406</v>
      </c>
    </row>
    <row r="1643" spans="1:5">
      <c r="A1643" t="s">
        <v>3030</v>
      </c>
      <c r="B1643" s="20" t="s">
        <v>3031</v>
      </c>
      <c r="C1643" s="20" t="s">
        <v>90</v>
      </c>
      <c r="E1643" s="162" t="s">
        <v>8464</v>
      </c>
    </row>
    <row r="1644" spans="1:5">
      <c r="A1644" t="s">
        <v>3032</v>
      </c>
      <c r="B1644" s="20" t="s">
        <v>3033</v>
      </c>
      <c r="C1644" s="20" t="s">
        <v>194</v>
      </c>
      <c r="E1644" s="162" t="s">
        <v>8465</v>
      </c>
    </row>
    <row r="1645" spans="1:5">
      <c r="A1645" t="s">
        <v>3034</v>
      </c>
      <c r="B1645" s="20" t="s">
        <v>3035</v>
      </c>
      <c r="C1645" s="20" t="s">
        <v>194</v>
      </c>
      <c r="E1645" s="162" t="s">
        <v>8466</v>
      </c>
    </row>
    <row r="1646" spans="1:5">
      <c r="A1646" t="s">
        <v>3036</v>
      </c>
      <c r="B1646" s="20" t="s">
        <v>3037</v>
      </c>
      <c r="C1646" s="20" t="s">
        <v>604</v>
      </c>
      <c r="E1646" s="162" t="s">
        <v>8467</v>
      </c>
    </row>
    <row r="1647" spans="1:5">
      <c r="A1647" t="s">
        <v>3036</v>
      </c>
      <c r="B1647" s="20" t="s">
        <v>3037</v>
      </c>
      <c r="C1647" s="20" t="s">
        <v>604</v>
      </c>
      <c r="E1647" s="162" t="s">
        <v>8467</v>
      </c>
    </row>
    <row r="1648" spans="1:5">
      <c r="A1648" t="s">
        <v>3038</v>
      </c>
      <c r="B1648" s="20" t="s">
        <v>3039</v>
      </c>
      <c r="C1648" s="20" t="s">
        <v>604</v>
      </c>
      <c r="E1648" s="162" t="s">
        <v>8467</v>
      </c>
    </row>
    <row r="1649" spans="1:5">
      <c r="A1649" t="s">
        <v>3038</v>
      </c>
      <c r="B1649" s="20" t="s">
        <v>3039</v>
      </c>
      <c r="C1649" s="20" t="s">
        <v>604</v>
      </c>
      <c r="E1649" s="162" t="s">
        <v>8467</v>
      </c>
    </row>
    <row r="1650" spans="1:5">
      <c r="A1650" t="s">
        <v>3040</v>
      </c>
      <c r="B1650" s="20" t="s">
        <v>3041</v>
      </c>
      <c r="C1650" s="20" t="s">
        <v>604</v>
      </c>
      <c r="E1650" s="162" t="s">
        <v>8468</v>
      </c>
    </row>
    <row r="1651" spans="1:5">
      <c r="A1651" t="s">
        <v>3040</v>
      </c>
      <c r="B1651" s="20" t="s">
        <v>3041</v>
      </c>
      <c r="C1651" s="20" t="s">
        <v>604</v>
      </c>
      <c r="E1651" s="162" t="s">
        <v>8468</v>
      </c>
    </row>
    <row r="1652" spans="1:5">
      <c r="A1652" t="s">
        <v>3042</v>
      </c>
      <c r="B1652" s="20" t="s">
        <v>3043</v>
      </c>
      <c r="C1652" s="20" t="s">
        <v>90</v>
      </c>
      <c r="E1652" s="162" t="s">
        <v>5403</v>
      </c>
    </row>
    <row r="1653" spans="1:5">
      <c r="A1653" t="s">
        <v>3044</v>
      </c>
      <c r="B1653" s="20" t="s">
        <v>3045</v>
      </c>
      <c r="C1653" s="20" t="s">
        <v>90</v>
      </c>
      <c r="E1653" s="162" t="s">
        <v>5403</v>
      </c>
    </row>
    <row r="1654" spans="1:5">
      <c r="A1654" t="s">
        <v>3046</v>
      </c>
      <c r="B1654" s="20" t="s">
        <v>3047</v>
      </c>
      <c r="C1654" s="20" t="s">
        <v>90</v>
      </c>
      <c r="E1654" s="162" t="s">
        <v>8469</v>
      </c>
    </row>
    <row r="1655" spans="1:5">
      <c r="A1655" t="s">
        <v>3048</v>
      </c>
      <c r="B1655" s="20" t="s">
        <v>3049</v>
      </c>
      <c r="C1655" s="20" t="s">
        <v>589</v>
      </c>
      <c r="E1655" s="162" t="s">
        <v>4979</v>
      </c>
    </row>
    <row r="1656" spans="1:5">
      <c r="A1656" t="s">
        <v>3048</v>
      </c>
      <c r="B1656" s="20" t="s">
        <v>3049</v>
      </c>
      <c r="C1656" s="20" t="s">
        <v>589</v>
      </c>
      <c r="E1656" s="162" t="s">
        <v>4979</v>
      </c>
    </row>
    <row r="1657" spans="1:5">
      <c r="A1657" t="s">
        <v>3050</v>
      </c>
      <c r="B1657" s="20" t="s">
        <v>3051</v>
      </c>
      <c r="C1657" s="20" t="s">
        <v>90</v>
      </c>
      <c r="E1657" s="162" t="s">
        <v>8098</v>
      </c>
    </row>
    <row r="1658" spans="1:5">
      <c r="A1658" t="s">
        <v>3052</v>
      </c>
      <c r="B1658" s="20" t="s">
        <v>3053</v>
      </c>
      <c r="C1658" s="20" t="s">
        <v>3054</v>
      </c>
      <c r="E1658" s="162" t="s">
        <v>8098</v>
      </c>
    </row>
    <row r="1659" spans="1:5">
      <c r="A1659" t="s">
        <v>3052</v>
      </c>
      <c r="B1659" s="20" t="s">
        <v>3053</v>
      </c>
      <c r="C1659" s="20" t="s">
        <v>3054</v>
      </c>
      <c r="E1659" s="162" t="s">
        <v>8098</v>
      </c>
    </row>
    <row r="1660" spans="1:5">
      <c r="A1660" t="s">
        <v>3055</v>
      </c>
      <c r="B1660" s="20" t="s">
        <v>3056</v>
      </c>
      <c r="C1660" s="20" t="s">
        <v>3054</v>
      </c>
      <c r="E1660" s="162" t="s">
        <v>8098</v>
      </c>
    </row>
    <row r="1661" spans="1:5">
      <c r="A1661" t="s">
        <v>3055</v>
      </c>
      <c r="B1661" s="20" t="s">
        <v>3056</v>
      </c>
      <c r="C1661" s="20" t="s">
        <v>3054</v>
      </c>
      <c r="E1661" s="162" t="s">
        <v>8098</v>
      </c>
    </row>
    <row r="1662" spans="1:5">
      <c r="A1662" t="s">
        <v>3057</v>
      </c>
      <c r="B1662" s="20" t="s">
        <v>3058</v>
      </c>
      <c r="C1662" s="20" t="s">
        <v>3054</v>
      </c>
      <c r="E1662" s="162" t="s">
        <v>8098</v>
      </c>
    </row>
    <row r="1663" spans="1:5">
      <c r="A1663" t="s">
        <v>3057</v>
      </c>
      <c r="B1663" s="20" t="s">
        <v>3058</v>
      </c>
      <c r="C1663" s="20" t="s">
        <v>3054</v>
      </c>
      <c r="E1663" s="162" t="s">
        <v>8098</v>
      </c>
    </row>
    <row r="1664" spans="1:5">
      <c r="A1664" t="s">
        <v>3059</v>
      </c>
      <c r="B1664" s="20" t="s">
        <v>3060</v>
      </c>
      <c r="C1664" s="20" t="s">
        <v>89</v>
      </c>
      <c r="E1664" s="162" t="s">
        <v>5557</v>
      </c>
    </row>
    <row r="1665" spans="1:5">
      <c r="A1665" t="s">
        <v>3061</v>
      </c>
      <c r="B1665" s="20" t="s">
        <v>3062</v>
      </c>
      <c r="C1665" s="20" t="s">
        <v>89</v>
      </c>
      <c r="E1665" s="162" t="s">
        <v>5557</v>
      </c>
    </row>
    <row r="1666" spans="1:5">
      <c r="A1666" t="s">
        <v>3063</v>
      </c>
      <c r="B1666" s="20" t="s">
        <v>3064</v>
      </c>
      <c r="C1666" s="20" t="s">
        <v>89</v>
      </c>
      <c r="E1666" s="162" t="s">
        <v>5557</v>
      </c>
    </row>
    <row r="1667" spans="1:5">
      <c r="A1667" t="s">
        <v>3065</v>
      </c>
      <c r="B1667" s="20" t="s">
        <v>3066</v>
      </c>
      <c r="C1667" s="20" t="s">
        <v>89</v>
      </c>
      <c r="E1667" s="162" t="s">
        <v>5557</v>
      </c>
    </row>
    <row r="1668" spans="1:5">
      <c r="A1668" t="s">
        <v>3067</v>
      </c>
      <c r="B1668" s="20" t="s">
        <v>3068</v>
      </c>
      <c r="C1668" s="20" t="s">
        <v>89</v>
      </c>
      <c r="E1668" s="162" t="s">
        <v>5557</v>
      </c>
    </row>
    <row r="1669" spans="1:5">
      <c r="A1669" t="s">
        <v>3069</v>
      </c>
      <c r="B1669" s="20" t="s">
        <v>3070</v>
      </c>
      <c r="C1669" s="20" t="s">
        <v>89</v>
      </c>
      <c r="E1669" s="162" t="s">
        <v>5557</v>
      </c>
    </row>
    <row r="1670" spans="1:5">
      <c r="A1670" t="s">
        <v>3069</v>
      </c>
      <c r="B1670" s="20" t="s">
        <v>3070</v>
      </c>
      <c r="C1670" s="20" t="s">
        <v>89</v>
      </c>
      <c r="E1670" s="162" t="s">
        <v>5557</v>
      </c>
    </row>
    <row r="1671" spans="1:5">
      <c r="A1671" t="s">
        <v>3071</v>
      </c>
      <c r="B1671" s="20" t="s">
        <v>3072</v>
      </c>
      <c r="C1671" s="20" t="s">
        <v>90</v>
      </c>
      <c r="E1671" s="162" t="s">
        <v>8470</v>
      </c>
    </row>
    <row r="1672" spans="1:5">
      <c r="A1672" t="s">
        <v>3073</v>
      </c>
      <c r="B1672" s="20" t="s">
        <v>3074</v>
      </c>
      <c r="C1672" s="20" t="s">
        <v>89</v>
      </c>
      <c r="E1672" s="162" t="s">
        <v>5578</v>
      </c>
    </row>
    <row r="1673" spans="1:5">
      <c r="A1673" t="s">
        <v>3073</v>
      </c>
      <c r="B1673" s="20" t="s">
        <v>3074</v>
      </c>
      <c r="C1673" s="20" t="s">
        <v>89</v>
      </c>
      <c r="E1673" s="162" t="s">
        <v>5578</v>
      </c>
    </row>
    <row r="1674" spans="1:5">
      <c r="A1674" t="s">
        <v>3075</v>
      </c>
      <c r="B1674" s="20" t="s">
        <v>3076</v>
      </c>
      <c r="C1674" s="20">
        <v>0</v>
      </c>
      <c r="E1674" s="162" t="s">
        <v>8110</v>
      </c>
    </row>
    <row r="1675" spans="1:5">
      <c r="A1675" t="s">
        <v>3075</v>
      </c>
      <c r="B1675" s="20" t="s">
        <v>3076</v>
      </c>
      <c r="C1675" s="20">
        <v>0</v>
      </c>
      <c r="E1675" s="162" t="s">
        <v>8110</v>
      </c>
    </row>
    <row r="1676" spans="1:5">
      <c r="A1676" t="s">
        <v>3077</v>
      </c>
      <c r="B1676" s="20" t="s">
        <v>3078</v>
      </c>
      <c r="C1676" s="20" t="s">
        <v>259</v>
      </c>
      <c r="E1676" s="162" t="s">
        <v>8471</v>
      </c>
    </row>
    <row r="1677" spans="1:5">
      <c r="A1677" t="s">
        <v>3079</v>
      </c>
      <c r="B1677" s="20" t="s">
        <v>3080</v>
      </c>
      <c r="C1677" s="20" t="s">
        <v>259</v>
      </c>
      <c r="E1677" s="162" t="s">
        <v>8471</v>
      </c>
    </row>
    <row r="1678" spans="1:5">
      <c r="A1678" t="s">
        <v>3081</v>
      </c>
      <c r="B1678" s="20" t="s">
        <v>3082</v>
      </c>
      <c r="C1678" s="20" t="s">
        <v>259</v>
      </c>
      <c r="E1678" s="162" t="s">
        <v>8471</v>
      </c>
    </row>
    <row r="1679" spans="1:5">
      <c r="A1679" t="s">
        <v>3083</v>
      </c>
      <c r="B1679" s="20" t="s">
        <v>3084</v>
      </c>
      <c r="C1679" s="20">
        <v>0</v>
      </c>
      <c r="E1679" s="162" t="s">
        <v>8111</v>
      </c>
    </row>
    <row r="1680" spans="1:5">
      <c r="A1680" t="s">
        <v>3083</v>
      </c>
      <c r="B1680" s="20" t="s">
        <v>3084</v>
      </c>
      <c r="C1680" s="20">
        <v>0</v>
      </c>
      <c r="E1680" s="162" t="s">
        <v>8111</v>
      </c>
    </row>
    <row r="1681" spans="1:5">
      <c r="A1681" t="s">
        <v>3085</v>
      </c>
      <c r="B1681" s="20" t="s">
        <v>3086</v>
      </c>
      <c r="C1681" s="20" t="s">
        <v>259</v>
      </c>
      <c r="E1681" s="162" t="s">
        <v>8472</v>
      </c>
    </row>
    <row r="1682" spans="1:5">
      <c r="A1682" t="s">
        <v>3087</v>
      </c>
      <c r="B1682" s="20" t="s">
        <v>3088</v>
      </c>
      <c r="C1682" s="20" t="s">
        <v>259</v>
      </c>
      <c r="E1682" s="162" t="s">
        <v>8472</v>
      </c>
    </row>
    <row r="1683" spans="1:5">
      <c r="A1683" t="s">
        <v>3089</v>
      </c>
      <c r="B1683" s="20" t="s">
        <v>3090</v>
      </c>
      <c r="C1683" s="20">
        <v>0</v>
      </c>
      <c r="E1683" s="162" t="s">
        <v>8088</v>
      </c>
    </row>
    <row r="1684" spans="1:5">
      <c r="A1684" t="s">
        <v>3089</v>
      </c>
      <c r="B1684" s="20" t="s">
        <v>3090</v>
      </c>
      <c r="C1684" s="20">
        <v>0</v>
      </c>
      <c r="E1684" s="162" t="s">
        <v>8088</v>
      </c>
    </row>
    <row r="1685" spans="1:5">
      <c r="A1685" t="s">
        <v>3091</v>
      </c>
      <c r="B1685" s="20" t="s">
        <v>3092</v>
      </c>
      <c r="C1685" s="20">
        <v>0</v>
      </c>
      <c r="E1685" s="162" t="s">
        <v>8088</v>
      </c>
    </row>
    <row r="1686" spans="1:5">
      <c r="A1686" t="s">
        <v>3091</v>
      </c>
      <c r="B1686" s="20" t="s">
        <v>3092</v>
      </c>
      <c r="C1686" s="20">
        <v>0</v>
      </c>
      <c r="E1686" s="162" t="s">
        <v>8088</v>
      </c>
    </row>
    <row r="1687" spans="1:5">
      <c r="A1687" t="s">
        <v>3093</v>
      </c>
      <c r="B1687" s="20" t="s">
        <v>3094</v>
      </c>
      <c r="C1687" s="20" t="s">
        <v>604</v>
      </c>
      <c r="E1687" s="162" t="s">
        <v>5523</v>
      </c>
    </row>
    <row r="1688" spans="1:5">
      <c r="A1688" t="s">
        <v>3095</v>
      </c>
      <c r="B1688" s="20" t="s">
        <v>3096</v>
      </c>
      <c r="C1688" s="20" t="s">
        <v>604</v>
      </c>
      <c r="E1688" s="162" t="s">
        <v>5523</v>
      </c>
    </row>
    <row r="1689" spans="1:5">
      <c r="A1689" t="s">
        <v>3097</v>
      </c>
      <c r="B1689" s="20" t="s">
        <v>3098</v>
      </c>
      <c r="C1689" s="20" t="s">
        <v>604</v>
      </c>
      <c r="E1689" s="162" t="s">
        <v>5523</v>
      </c>
    </row>
    <row r="1690" spans="1:5">
      <c r="A1690" t="s">
        <v>3099</v>
      </c>
      <c r="B1690" s="20" t="s">
        <v>3100</v>
      </c>
      <c r="C1690" s="20" t="s">
        <v>604</v>
      </c>
      <c r="E1690" s="162" t="s">
        <v>5523</v>
      </c>
    </row>
    <row r="1691" spans="1:5">
      <c r="A1691" t="s">
        <v>3101</v>
      </c>
      <c r="B1691" s="20" t="s">
        <v>3102</v>
      </c>
      <c r="C1691" s="20" t="s">
        <v>259</v>
      </c>
      <c r="E1691" s="162" t="s">
        <v>8473</v>
      </c>
    </row>
    <row r="1692" spans="1:5">
      <c r="A1692" t="s">
        <v>3103</v>
      </c>
      <c r="B1692" s="20" t="s">
        <v>3104</v>
      </c>
      <c r="C1692" s="20" t="s">
        <v>91</v>
      </c>
      <c r="E1692" s="162" t="s">
        <v>5613</v>
      </c>
    </row>
    <row r="1693" spans="1:5">
      <c r="A1693" t="s">
        <v>3103</v>
      </c>
      <c r="B1693" s="20" t="s">
        <v>3104</v>
      </c>
      <c r="C1693" s="20" t="s">
        <v>91</v>
      </c>
      <c r="E1693" s="162" t="s">
        <v>5613</v>
      </c>
    </row>
    <row r="1694" spans="1:5">
      <c r="A1694" t="s">
        <v>3105</v>
      </c>
      <c r="B1694" s="20" t="s">
        <v>3106</v>
      </c>
      <c r="C1694" s="20" t="s">
        <v>91</v>
      </c>
      <c r="E1694" s="162" t="s">
        <v>5613</v>
      </c>
    </row>
    <row r="1695" spans="1:5">
      <c r="A1695" t="s">
        <v>3107</v>
      </c>
      <c r="B1695" s="20" t="s">
        <v>3108</v>
      </c>
      <c r="C1695" s="20">
        <v>0</v>
      </c>
      <c r="E1695" s="162" t="s">
        <v>8112</v>
      </c>
    </row>
    <row r="1696" spans="1:5">
      <c r="A1696" t="s">
        <v>3107</v>
      </c>
      <c r="B1696" s="20" t="s">
        <v>3108</v>
      </c>
      <c r="C1696" s="20">
        <v>0</v>
      </c>
      <c r="E1696" s="162" t="s">
        <v>8112</v>
      </c>
    </row>
    <row r="1697" spans="1:5">
      <c r="A1697" t="s">
        <v>3109</v>
      </c>
      <c r="B1697" s="20" t="s">
        <v>3110</v>
      </c>
      <c r="C1697" s="20" t="s">
        <v>90</v>
      </c>
      <c r="E1697" s="162" t="s">
        <v>5615</v>
      </c>
    </row>
    <row r="1698" spans="1:5">
      <c r="A1698" t="s">
        <v>3111</v>
      </c>
      <c r="B1698" s="20" t="s">
        <v>3112</v>
      </c>
      <c r="C1698" s="20" t="s">
        <v>89</v>
      </c>
      <c r="E1698" s="162" t="s">
        <v>8474</v>
      </c>
    </row>
    <row r="1699" spans="1:5">
      <c r="A1699" t="s">
        <v>3111</v>
      </c>
      <c r="B1699" s="20" t="s">
        <v>3112</v>
      </c>
      <c r="C1699" s="20" t="s">
        <v>89</v>
      </c>
      <c r="E1699" s="162" t="s">
        <v>8474</v>
      </c>
    </row>
    <row r="1700" spans="1:5">
      <c r="A1700" t="s">
        <v>3113</v>
      </c>
      <c r="B1700" s="20" t="s">
        <v>3114</v>
      </c>
      <c r="C1700" s="20">
        <v>0</v>
      </c>
      <c r="E1700" s="162" t="s">
        <v>8113</v>
      </c>
    </row>
    <row r="1701" spans="1:5">
      <c r="A1701" t="s">
        <v>3113</v>
      </c>
      <c r="B1701" s="20" t="s">
        <v>3114</v>
      </c>
      <c r="C1701" s="20">
        <v>0</v>
      </c>
      <c r="E1701" s="162" t="s">
        <v>8113</v>
      </c>
    </row>
    <row r="1702" spans="1:5">
      <c r="A1702" t="s">
        <v>3115</v>
      </c>
      <c r="B1702" s="20" t="s">
        <v>3116</v>
      </c>
      <c r="C1702" s="20" t="s">
        <v>3054</v>
      </c>
      <c r="E1702" s="162" t="s">
        <v>8099</v>
      </c>
    </row>
    <row r="1703" spans="1:5">
      <c r="A1703" t="s">
        <v>3115</v>
      </c>
      <c r="B1703" s="20" t="s">
        <v>3116</v>
      </c>
      <c r="C1703" s="20" t="s">
        <v>3054</v>
      </c>
      <c r="E1703" s="162" t="s">
        <v>8099</v>
      </c>
    </row>
    <row r="1704" spans="1:5">
      <c r="A1704" t="s">
        <v>3117</v>
      </c>
      <c r="B1704" s="20" t="s">
        <v>3118</v>
      </c>
      <c r="C1704" s="20" t="s">
        <v>3054</v>
      </c>
      <c r="E1704" s="162" t="s">
        <v>8100</v>
      </c>
    </row>
    <row r="1705" spans="1:5">
      <c r="A1705" t="s">
        <v>3117</v>
      </c>
      <c r="B1705" s="20" t="s">
        <v>3118</v>
      </c>
      <c r="C1705" s="20" t="s">
        <v>3054</v>
      </c>
      <c r="E1705" s="162" t="s">
        <v>8100</v>
      </c>
    </row>
    <row r="1706" spans="1:5">
      <c r="A1706" t="s">
        <v>3119</v>
      </c>
      <c r="B1706" s="20" t="s">
        <v>3120</v>
      </c>
      <c r="C1706" s="20">
        <v>0</v>
      </c>
      <c r="E1706" s="162" t="s">
        <v>5987</v>
      </c>
    </row>
    <row r="1707" spans="1:5">
      <c r="A1707" t="s">
        <v>3121</v>
      </c>
      <c r="B1707" s="20" t="s">
        <v>3122</v>
      </c>
      <c r="C1707" s="20" t="s">
        <v>259</v>
      </c>
      <c r="E1707" s="162" t="s">
        <v>8475</v>
      </c>
    </row>
    <row r="1708" spans="1:5">
      <c r="A1708" t="s">
        <v>3123</v>
      </c>
      <c r="B1708" s="20" t="s">
        <v>3124</v>
      </c>
      <c r="C1708" s="20">
        <v>0</v>
      </c>
      <c r="E1708" s="162" t="s">
        <v>8114</v>
      </c>
    </row>
    <row r="1709" spans="1:5">
      <c r="A1709" t="s">
        <v>3123</v>
      </c>
      <c r="B1709" s="20" t="s">
        <v>3124</v>
      </c>
      <c r="C1709" s="20">
        <v>0</v>
      </c>
      <c r="E1709" s="162" t="s">
        <v>8114</v>
      </c>
    </row>
    <row r="1710" spans="1:5">
      <c r="A1710" t="s">
        <v>3125</v>
      </c>
      <c r="B1710" s="20" t="s">
        <v>3126</v>
      </c>
      <c r="C1710" s="20" t="s">
        <v>259</v>
      </c>
      <c r="E1710" s="162" t="s">
        <v>8476</v>
      </c>
    </row>
    <row r="1711" spans="1:5">
      <c r="A1711" t="s">
        <v>3127</v>
      </c>
      <c r="B1711" s="20" t="s">
        <v>3128</v>
      </c>
      <c r="C1711" s="20">
        <v>0</v>
      </c>
      <c r="E1711" s="162" t="s">
        <v>8115</v>
      </c>
    </row>
    <row r="1712" spans="1:5">
      <c r="A1712" t="s">
        <v>3127</v>
      </c>
      <c r="B1712" s="20" t="s">
        <v>3128</v>
      </c>
      <c r="C1712" s="20">
        <v>0</v>
      </c>
      <c r="E1712" s="162" t="s">
        <v>8115</v>
      </c>
    </row>
    <row r="1713" spans="1:5">
      <c r="A1713" t="s">
        <v>3129</v>
      </c>
      <c r="B1713" s="20" t="s">
        <v>3130</v>
      </c>
      <c r="C1713" s="20" t="s">
        <v>247</v>
      </c>
      <c r="E1713" s="162" t="s">
        <v>5558</v>
      </c>
    </row>
    <row r="1714" spans="1:5">
      <c r="A1714" t="s">
        <v>3131</v>
      </c>
      <c r="B1714" s="20" t="s">
        <v>3132</v>
      </c>
      <c r="C1714" s="20" t="s">
        <v>247</v>
      </c>
      <c r="E1714" s="162" t="s">
        <v>5558</v>
      </c>
    </row>
    <row r="1715" spans="1:5">
      <c r="A1715" t="s">
        <v>3133</v>
      </c>
      <c r="B1715" s="20" t="s">
        <v>3134</v>
      </c>
      <c r="C1715" s="20" t="s">
        <v>247</v>
      </c>
      <c r="E1715" s="162" t="s">
        <v>5558</v>
      </c>
    </row>
    <row r="1716" spans="1:5">
      <c r="A1716" t="s">
        <v>3133</v>
      </c>
      <c r="B1716" s="20" t="s">
        <v>3134</v>
      </c>
      <c r="C1716" s="20" t="s">
        <v>247</v>
      </c>
      <c r="E1716" s="162" t="s">
        <v>5558</v>
      </c>
    </row>
    <row r="1717" spans="1:5">
      <c r="A1717" t="s">
        <v>3135</v>
      </c>
      <c r="B1717" s="20" t="s">
        <v>3136</v>
      </c>
      <c r="C1717" s="20" t="s">
        <v>247</v>
      </c>
      <c r="E1717" s="162" t="s">
        <v>5559</v>
      </c>
    </row>
    <row r="1718" spans="1:5">
      <c r="A1718" t="s">
        <v>3137</v>
      </c>
      <c r="B1718" s="20" t="s">
        <v>3138</v>
      </c>
      <c r="C1718" s="20" t="s">
        <v>247</v>
      </c>
      <c r="E1718" s="162" t="s">
        <v>5559</v>
      </c>
    </row>
    <row r="1719" spans="1:5">
      <c r="A1719" t="s">
        <v>3139</v>
      </c>
      <c r="B1719" s="20" t="s">
        <v>3140</v>
      </c>
      <c r="C1719" s="20" t="s">
        <v>247</v>
      </c>
      <c r="E1719" s="162" t="s">
        <v>5559</v>
      </c>
    </row>
    <row r="1720" spans="1:5">
      <c r="A1720" t="s">
        <v>3139</v>
      </c>
      <c r="B1720" s="20" t="s">
        <v>3140</v>
      </c>
      <c r="C1720" s="20" t="s">
        <v>247</v>
      </c>
      <c r="E1720" s="162" t="s">
        <v>5559</v>
      </c>
    </row>
    <row r="1721" spans="1:5">
      <c r="A1721" t="s">
        <v>3141</v>
      </c>
      <c r="B1721" s="20" t="s">
        <v>3142</v>
      </c>
      <c r="C1721" s="20" t="s">
        <v>194</v>
      </c>
      <c r="E1721" s="162" t="s">
        <v>8123</v>
      </c>
    </row>
    <row r="1722" spans="1:5">
      <c r="A1722" t="s">
        <v>3141</v>
      </c>
      <c r="B1722" s="20" t="s">
        <v>3142</v>
      </c>
      <c r="C1722" s="20" t="s">
        <v>194</v>
      </c>
      <c r="E1722" s="162" t="s">
        <v>8123</v>
      </c>
    </row>
    <row r="1723" spans="1:5">
      <c r="A1723" t="s">
        <v>3143</v>
      </c>
      <c r="B1723" s="20" t="s">
        <v>3144</v>
      </c>
      <c r="C1723" s="20" t="s">
        <v>194</v>
      </c>
      <c r="E1723" s="162" t="s">
        <v>5569</v>
      </c>
    </row>
    <row r="1724" spans="1:5">
      <c r="A1724" t="s">
        <v>3145</v>
      </c>
      <c r="B1724" s="20" t="s">
        <v>3146</v>
      </c>
      <c r="C1724" s="20" t="s">
        <v>194</v>
      </c>
      <c r="E1724" s="162" t="s">
        <v>5579</v>
      </c>
    </row>
    <row r="1725" spans="1:5">
      <c r="A1725" t="s">
        <v>3147</v>
      </c>
      <c r="B1725" s="20" t="s">
        <v>3148</v>
      </c>
      <c r="C1725" s="20" t="s">
        <v>123</v>
      </c>
      <c r="E1725" s="162" t="s">
        <v>8102</v>
      </c>
    </row>
    <row r="1726" spans="1:5">
      <c r="A1726" t="s">
        <v>3147</v>
      </c>
      <c r="B1726" s="20" t="s">
        <v>3148</v>
      </c>
      <c r="C1726" s="20" t="s">
        <v>123</v>
      </c>
      <c r="E1726" s="162" t="s">
        <v>8102</v>
      </c>
    </row>
    <row r="1727" spans="1:5">
      <c r="A1727" t="s">
        <v>3149</v>
      </c>
      <c r="B1727" s="20" t="s">
        <v>3150</v>
      </c>
      <c r="C1727" s="20" t="s">
        <v>123</v>
      </c>
      <c r="E1727" s="162" t="s">
        <v>5605</v>
      </c>
    </row>
    <row r="1728" spans="1:5">
      <c r="A1728" t="s">
        <v>3149</v>
      </c>
      <c r="B1728" s="20" t="s">
        <v>3150</v>
      </c>
      <c r="C1728" s="20" t="s">
        <v>123</v>
      </c>
      <c r="E1728" s="162" t="s">
        <v>5605</v>
      </c>
    </row>
    <row r="1729" spans="1:5">
      <c r="A1729" t="s">
        <v>3151</v>
      </c>
      <c r="B1729" s="20" t="s">
        <v>3152</v>
      </c>
      <c r="C1729" s="20" t="s">
        <v>123</v>
      </c>
      <c r="E1729" s="162" t="s">
        <v>8102</v>
      </c>
    </row>
    <row r="1730" spans="1:5">
      <c r="A1730" t="s">
        <v>3151</v>
      </c>
      <c r="B1730" s="20" t="s">
        <v>3152</v>
      </c>
      <c r="C1730" s="20" t="s">
        <v>123</v>
      </c>
      <c r="E1730" s="162" t="s">
        <v>8102</v>
      </c>
    </row>
    <row r="1731" spans="1:5">
      <c r="A1731" t="s">
        <v>3153</v>
      </c>
      <c r="B1731" s="20" t="s">
        <v>3154</v>
      </c>
      <c r="C1731" s="20" t="s">
        <v>247</v>
      </c>
      <c r="E1731" s="162" t="s">
        <v>8067</v>
      </c>
    </row>
    <row r="1732" spans="1:5">
      <c r="A1732" t="s">
        <v>3153</v>
      </c>
      <c r="B1732" s="20" t="s">
        <v>3154</v>
      </c>
      <c r="C1732" s="20" t="s">
        <v>247</v>
      </c>
      <c r="E1732" s="162" t="s">
        <v>8067</v>
      </c>
    </row>
    <row r="1733" spans="1:5">
      <c r="A1733" t="s">
        <v>3155</v>
      </c>
      <c r="B1733" s="20" t="s">
        <v>3156</v>
      </c>
      <c r="C1733" s="20" t="s">
        <v>247</v>
      </c>
      <c r="E1733" s="162" t="s">
        <v>8067</v>
      </c>
    </row>
    <row r="1734" spans="1:5">
      <c r="A1734" t="s">
        <v>3155</v>
      </c>
      <c r="B1734" s="20" t="s">
        <v>3156</v>
      </c>
      <c r="C1734" s="20" t="s">
        <v>247</v>
      </c>
      <c r="E1734" s="162" t="s">
        <v>8067</v>
      </c>
    </row>
    <row r="1735" spans="1:5">
      <c r="A1735" t="s">
        <v>3157</v>
      </c>
      <c r="B1735" s="20" t="s">
        <v>3158</v>
      </c>
      <c r="C1735" s="20" t="s">
        <v>247</v>
      </c>
      <c r="E1735" s="162" t="s">
        <v>8067</v>
      </c>
    </row>
    <row r="1736" spans="1:5">
      <c r="A1736" t="s">
        <v>3157</v>
      </c>
      <c r="B1736" s="20" t="s">
        <v>3158</v>
      </c>
      <c r="C1736" s="20" t="s">
        <v>247</v>
      </c>
      <c r="E1736" s="162" t="s">
        <v>8067</v>
      </c>
    </row>
    <row r="1737" spans="1:5">
      <c r="A1737" t="s">
        <v>3159</v>
      </c>
      <c r="B1737" s="20" t="s">
        <v>3160</v>
      </c>
      <c r="C1737" s="20" t="s">
        <v>247</v>
      </c>
      <c r="E1737" s="162" t="s">
        <v>8067</v>
      </c>
    </row>
    <row r="1738" spans="1:5">
      <c r="A1738" t="s">
        <v>3159</v>
      </c>
      <c r="B1738" s="20" t="s">
        <v>3160</v>
      </c>
      <c r="C1738" s="20" t="s">
        <v>247</v>
      </c>
      <c r="E1738" s="162" t="s">
        <v>8067</v>
      </c>
    </row>
    <row r="1739" spans="1:5">
      <c r="A1739" t="s">
        <v>3161</v>
      </c>
      <c r="B1739" s="20" t="s">
        <v>3162</v>
      </c>
      <c r="C1739" s="20" t="s">
        <v>247</v>
      </c>
      <c r="E1739" s="162" t="s">
        <v>8067</v>
      </c>
    </row>
    <row r="1740" spans="1:5">
      <c r="A1740" t="s">
        <v>3161</v>
      </c>
      <c r="B1740" s="20" t="s">
        <v>3162</v>
      </c>
      <c r="C1740" s="20" t="s">
        <v>247</v>
      </c>
      <c r="E1740" s="162" t="s">
        <v>8067</v>
      </c>
    </row>
    <row r="1741" spans="1:5">
      <c r="A1741" t="s">
        <v>3163</v>
      </c>
      <c r="B1741" s="20" t="s">
        <v>3164</v>
      </c>
      <c r="C1741" s="20" t="s">
        <v>247</v>
      </c>
      <c r="E1741" s="162" t="s">
        <v>8067</v>
      </c>
    </row>
    <row r="1742" spans="1:5">
      <c r="A1742" t="s">
        <v>3163</v>
      </c>
      <c r="B1742" s="20" t="s">
        <v>3164</v>
      </c>
      <c r="C1742" s="20" t="s">
        <v>247</v>
      </c>
      <c r="E1742" s="162" t="s">
        <v>8067</v>
      </c>
    </row>
    <row r="1743" spans="1:5">
      <c r="A1743" t="s">
        <v>3165</v>
      </c>
      <c r="B1743" s="20" t="s">
        <v>3166</v>
      </c>
      <c r="C1743" s="20" t="s">
        <v>247</v>
      </c>
      <c r="E1743" s="162" t="s">
        <v>8067</v>
      </c>
    </row>
    <row r="1744" spans="1:5">
      <c r="A1744" t="s">
        <v>3165</v>
      </c>
      <c r="B1744" s="20" t="s">
        <v>3166</v>
      </c>
      <c r="C1744" s="20" t="s">
        <v>247</v>
      </c>
      <c r="E1744" s="162" t="s">
        <v>8067</v>
      </c>
    </row>
    <row r="1745" spans="1:5">
      <c r="A1745" t="s">
        <v>3167</v>
      </c>
      <c r="B1745" s="20" t="s">
        <v>3168</v>
      </c>
      <c r="C1745" s="20" t="s">
        <v>247</v>
      </c>
      <c r="E1745" s="162" t="s">
        <v>5560</v>
      </c>
    </row>
    <row r="1746" spans="1:5">
      <c r="A1746" t="s">
        <v>3169</v>
      </c>
      <c r="B1746" s="20" t="s">
        <v>3170</v>
      </c>
      <c r="C1746" s="20" t="s">
        <v>247</v>
      </c>
      <c r="E1746" s="162" t="s">
        <v>5560</v>
      </c>
    </row>
    <row r="1747" spans="1:5">
      <c r="A1747" t="s">
        <v>3171</v>
      </c>
      <c r="B1747" s="20" t="s">
        <v>3172</v>
      </c>
      <c r="C1747" s="20" t="s">
        <v>247</v>
      </c>
      <c r="E1747" s="162" t="s">
        <v>5560</v>
      </c>
    </row>
    <row r="1748" spans="1:5">
      <c r="A1748" t="s">
        <v>3171</v>
      </c>
      <c r="B1748" s="20" t="s">
        <v>3172</v>
      </c>
      <c r="C1748" s="20" t="s">
        <v>247</v>
      </c>
      <c r="E1748" s="162" t="s">
        <v>5560</v>
      </c>
    </row>
    <row r="1749" spans="1:5">
      <c r="A1749" t="s">
        <v>3173</v>
      </c>
      <c r="B1749" s="20" t="s">
        <v>3174</v>
      </c>
      <c r="C1749" s="20" t="s">
        <v>247</v>
      </c>
      <c r="E1749" s="162" t="s">
        <v>5560</v>
      </c>
    </row>
    <row r="1750" spans="1:5">
      <c r="A1750" t="s">
        <v>3175</v>
      </c>
      <c r="B1750" s="20" t="s">
        <v>3176</v>
      </c>
      <c r="C1750" s="20" t="s">
        <v>247</v>
      </c>
      <c r="E1750" s="162" t="s">
        <v>5616</v>
      </c>
    </row>
    <row r="1751" spans="1:5">
      <c r="A1751" t="s">
        <v>3175</v>
      </c>
      <c r="B1751" s="20" t="s">
        <v>3176</v>
      </c>
      <c r="C1751" s="20" t="s">
        <v>247</v>
      </c>
      <c r="E1751" s="162" t="s">
        <v>5616</v>
      </c>
    </row>
    <row r="1752" spans="1:5">
      <c r="A1752" t="s">
        <v>3177</v>
      </c>
      <c r="B1752" s="20" t="s">
        <v>3178</v>
      </c>
      <c r="C1752" s="20" t="s">
        <v>247</v>
      </c>
      <c r="E1752" s="162" t="s">
        <v>5616</v>
      </c>
    </row>
    <row r="1753" spans="1:5">
      <c r="A1753" t="s">
        <v>3177</v>
      </c>
      <c r="B1753" s="20" t="s">
        <v>3178</v>
      </c>
      <c r="C1753" s="20" t="s">
        <v>247</v>
      </c>
      <c r="E1753" s="162" t="s">
        <v>5616</v>
      </c>
    </row>
    <row r="1754" spans="1:5">
      <c r="A1754" t="s">
        <v>3179</v>
      </c>
      <c r="B1754" s="20" t="s">
        <v>3180</v>
      </c>
      <c r="C1754" s="20" t="s">
        <v>247</v>
      </c>
      <c r="E1754" s="162" t="s">
        <v>8477</v>
      </c>
    </row>
    <row r="1755" spans="1:5">
      <c r="A1755" t="s">
        <v>3179</v>
      </c>
      <c r="B1755" s="20" t="s">
        <v>3180</v>
      </c>
      <c r="C1755" s="20" t="s">
        <v>247</v>
      </c>
      <c r="E1755" s="162" t="s">
        <v>8477</v>
      </c>
    </row>
    <row r="1756" spans="1:5">
      <c r="A1756" t="s">
        <v>3181</v>
      </c>
      <c r="B1756" s="20" t="s">
        <v>3182</v>
      </c>
      <c r="C1756" s="20" t="s">
        <v>247</v>
      </c>
      <c r="E1756" s="162" t="s">
        <v>8477</v>
      </c>
    </row>
    <row r="1757" spans="1:5">
      <c r="A1757" t="s">
        <v>3181</v>
      </c>
      <c r="B1757" s="20" t="s">
        <v>3182</v>
      </c>
      <c r="C1757" s="20" t="s">
        <v>247</v>
      </c>
      <c r="E1757" s="162" t="s">
        <v>8477</v>
      </c>
    </row>
    <row r="1758" spans="1:5">
      <c r="A1758" t="s">
        <v>3183</v>
      </c>
      <c r="B1758" s="20" t="s">
        <v>3184</v>
      </c>
      <c r="C1758" s="20" t="s">
        <v>247</v>
      </c>
      <c r="E1758" s="162" t="s">
        <v>8477</v>
      </c>
    </row>
    <row r="1759" spans="1:5">
      <c r="A1759" t="s">
        <v>3183</v>
      </c>
      <c r="B1759" s="20" t="s">
        <v>3184</v>
      </c>
      <c r="C1759" s="20" t="s">
        <v>247</v>
      </c>
      <c r="E1759" s="162" t="s">
        <v>8477</v>
      </c>
    </row>
    <row r="1760" spans="1:5">
      <c r="A1760" t="s">
        <v>3185</v>
      </c>
      <c r="B1760" s="20" t="s">
        <v>3186</v>
      </c>
      <c r="C1760" s="20" t="s">
        <v>247</v>
      </c>
      <c r="E1760" s="162" t="s">
        <v>8477</v>
      </c>
    </row>
    <row r="1761" spans="1:5">
      <c r="A1761" t="s">
        <v>3185</v>
      </c>
      <c r="B1761" s="20" t="s">
        <v>3186</v>
      </c>
      <c r="C1761" s="20" t="s">
        <v>247</v>
      </c>
      <c r="E1761" s="162" t="s">
        <v>8477</v>
      </c>
    </row>
    <row r="1762" spans="1:5">
      <c r="A1762" t="s">
        <v>3187</v>
      </c>
      <c r="B1762" s="20" t="s">
        <v>3188</v>
      </c>
      <c r="C1762" s="20" t="s">
        <v>259</v>
      </c>
      <c r="E1762" s="162" t="s">
        <v>8478</v>
      </c>
    </row>
    <row r="1763" spans="1:5">
      <c r="A1763" t="s">
        <v>3189</v>
      </c>
      <c r="B1763" s="20" t="s">
        <v>3190</v>
      </c>
      <c r="C1763" s="20" t="s">
        <v>259</v>
      </c>
      <c r="E1763" s="162" t="s">
        <v>8092</v>
      </c>
    </row>
    <row r="1764" spans="1:5">
      <c r="A1764" t="s">
        <v>3189</v>
      </c>
      <c r="B1764" s="20" t="s">
        <v>3190</v>
      </c>
      <c r="C1764" s="20" t="s">
        <v>259</v>
      </c>
      <c r="E1764" s="162" t="s">
        <v>8092</v>
      </c>
    </row>
    <row r="1765" spans="1:5">
      <c r="A1765" t="s">
        <v>3191</v>
      </c>
      <c r="B1765" s="20" t="s">
        <v>3192</v>
      </c>
      <c r="C1765" s="20" t="s">
        <v>259</v>
      </c>
      <c r="E1765" s="162" t="s">
        <v>8092</v>
      </c>
    </row>
    <row r="1766" spans="1:5">
      <c r="A1766" t="s">
        <v>3191</v>
      </c>
      <c r="B1766" s="20" t="s">
        <v>3192</v>
      </c>
      <c r="C1766" s="20" t="s">
        <v>259</v>
      </c>
      <c r="E1766" s="162" t="s">
        <v>8092</v>
      </c>
    </row>
    <row r="1767" spans="1:5">
      <c r="A1767" t="s">
        <v>3193</v>
      </c>
      <c r="B1767" s="20" t="s">
        <v>3194</v>
      </c>
      <c r="C1767" s="20" t="s">
        <v>259</v>
      </c>
      <c r="E1767" s="162" t="s">
        <v>8092</v>
      </c>
    </row>
    <row r="1768" spans="1:5">
      <c r="A1768" t="s">
        <v>3193</v>
      </c>
      <c r="B1768" s="20" t="s">
        <v>3194</v>
      </c>
      <c r="C1768" s="20" t="s">
        <v>259</v>
      </c>
      <c r="E1768" s="162" t="s">
        <v>8092</v>
      </c>
    </row>
    <row r="1769" spans="1:5">
      <c r="A1769" t="s">
        <v>3195</v>
      </c>
      <c r="B1769" s="20" t="s">
        <v>3196</v>
      </c>
      <c r="C1769" s="20" t="s">
        <v>90</v>
      </c>
      <c r="E1769" s="162" t="s">
        <v>116</v>
      </c>
    </row>
    <row r="1770" spans="1:5">
      <c r="A1770" t="s">
        <v>3197</v>
      </c>
      <c r="B1770" s="20" t="s">
        <v>3198</v>
      </c>
      <c r="C1770" s="20" t="s">
        <v>589</v>
      </c>
      <c r="E1770" s="162" t="s">
        <v>4891</v>
      </c>
    </row>
    <row r="1771" spans="1:5">
      <c r="A1771" t="s">
        <v>3199</v>
      </c>
      <c r="B1771" s="20" t="s">
        <v>3200</v>
      </c>
      <c r="C1771" s="20" t="s">
        <v>90</v>
      </c>
      <c r="E1771" s="162" t="s">
        <v>116</v>
      </c>
    </row>
    <row r="1772" spans="1:5">
      <c r="A1772" t="s">
        <v>3201</v>
      </c>
      <c r="B1772" s="20" t="s">
        <v>3202</v>
      </c>
      <c r="C1772" s="20" t="s">
        <v>90</v>
      </c>
      <c r="E1772" s="162" t="s">
        <v>116</v>
      </c>
    </row>
    <row r="1773" spans="1:5">
      <c r="A1773" t="s">
        <v>3203</v>
      </c>
      <c r="B1773" s="20" t="s">
        <v>3204</v>
      </c>
      <c r="C1773" s="20" t="s">
        <v>89</v>
      </c>
      <c r="E1773" s="162" t="s">
        <v>116</v>
      </c>
    </row>
    <row r="1774" spans="1:5">
      <c r="A1774" t="s">
        <v>3203</v>
      </c>
      <c r="B1774" s="20" t="s">
        <v>3204</v>
      </c>
      <c r="C1774" s="20" t="s">
        <v>89</v>
      </c>
      <c r="E1774" s="162" t="s">
        <v>116</v>
      </c>
    </row>
    <row r="1775" spans="1:5">
      <c r="A1775" t="s">
        <v>3205</v>
      </c>
      <c r="B1775" s="20" t="s">
        <v>3206</v>
      </c>
      <c r="C1775" s="20" t="s">
        <v>589</v>
      </c>
      <c r="E1775" s="162" t="s">
        <v>116</v>
      </c>
    </row>
    <row r="1776" spans="1:5">
      <c r="A1776" t="s">
        <v>3207</v>
      </c>
      <c r="B1776" s="20" t="s">
        <v>3208</v>
      </c>
      <c r="C1776" s="20" t="s">
        <v>194</v>
      </c>
      <c r="E1776" s="162" t="s">
        <v>8479</v>
      </c>
    </row>
    <row r="1777" spans="1:5">
      <c r="A1777" t="s">
        <v>3207</v>
      </c>
      <c r="B1777" s="20" t="s">
        <v>3208</v>
      </c>
      <c r="C1777" s="20" t="s">
        <v>194</v>
      </c>
      <c r="E1777" s="162" t="s">
        <v>8479</v>
      </c>
    </row>
    <row r="1778" spans="1:5">
      <c r="A1778" t="s">
        <v>3209</v>
      </c>
      <c r="B1778" s="20" t="s">
        <v>3210</v>
      </c>
      <c r="C1778" s="20" t="s">
        <v>194</v>
      </c>
      <c r="E1778" s="162" t="s">
        <v>8004</v>
      </c>
    </row>
    <row r="1779" spans="1:5">
      <c r="A1779" t="s">
        <v>3209</v>
      </c>
      <c r="B1779" s="20" t="s">
        <v>3210</v>
      </c>
      <c r="C1779" s="20" t="s">
        <v>194</v>
      </c>
      <c r="E1779" s="162" t="s">
        <v>8004</v>
      </c>
    </row>
    <row r="1780" spans="1:5">
      <c r="A1780" t="s">
        <v>3211</v>
      </c>
      <c r="B1780" s="20" t="s">
        <v>3212</v>
      </c>
      <c r="C1780" s="20" t="s">
        <v>259</v>
      </c>
      <c r="E1780" s="162" t="s">
        <v>8479</v>
      </c>
    </row>
    <row r="1781" spans="1:5">
      <c r="A1781" t="s">
        <v>3211</v>
      </c>
      <c r="B1781" s="20" t="s">
        <v>3212</v>
      </c>
      <c r="C1781" s="20" t="s">
        <v>259</v>
      </c>
      <c r="E1781" s="162" t="s">
        <v>8479</v>
      </c>
    </row>
    <row r="1782" spans="1:5">
      <c r="A1782" t="s">
        <v>3213</v>
      </c>
      <c r="B1782" s="20" t="s">
        <v>3214</v>
      </c>
      <c r="C1782" s="20" t="s">
        <v>194</v>
      </c>
      <c r="E1782" s="162" t="s">
        <v>5819</v>
      </c>
    </row>
    <row r="1783" spans="1:5">
      <c r="A1783" t="s">
        <v>3213</v>
      </c>
      <c r="B1783" s="20" t="s">
        <v>3214</v>
      </c>
      <c r="C1783" s="20" t="s">
        <v>194</v>
      </c>
      <c r="E1783" s="162" t="s">
        <v>5819</v>
      </c>
    </row>
    <row r="1784" spans="1:5">
      <c r="A1784" t="s">
        <v>3215</v>
      </c>
      <c r="B1784" s="20" t="s">
        <v>3216</v>
      </c>
      <c r="C1784" s="20" t="s">
        <v>259</v>
      </c>
      <c r="E1784" s="162" t="s">
        <v>8480</v>
      </c>
    </row>
    <row r="1785" spans="1:5">
      <c r="A1785" t="s">
        <v>3215</v>
      </c>
      <c r="B1785" s="20" t="s">
        <v>3216</v>
      </c>
      <c r="C1785" s="20" t="s">
        <v>259</v>
      </c>
      <c r="E1785" s="162" t="s">
        <v>8480</v>
      </c>
    </row>
    <row r="1786" spans="1:5">
      <c r="A1786" t="s">
        <v>3217</v>
      </c>
      <c r="B1786" s="20" t="s">
        <v>3218</v>
      </c>
      <c r="C1786" s="20" t="s">
        <v>259</v>
      </c>
      <c r="E1786" s="162" t="s">
        <v>8481</v>
      </c>
    </row>
    <row r="1787" spans="1:5">
      <c r="A1787" t="s">
        <v>3217</v>
      </c>
      <c r="B1787" s="20" t="s">
        <v>3218</v>
      </c>
      <c r="C1787" s="20" t="s">
        <v>259</v>
      </c>
      <c r="E1787" s="162" t="s">
        <v>8481</v>
      </c>
    </row>
    <row r="1788" spans="1:5">
      <c r="A1788" t="s">
        <v>3219</v>
      </c>
      <c r="B1788" s="20" t="s">
        <v>3220</v>
      </c>
      <c r="C1788" s="20" t="s">
        <v>259</v>
      </c>
      <c r="E1788" s="162" t="s">
        <v>8482</v>
      </c>
    </row>
    <row r="1789" spans="1:5">
      <c r="A1789" t="s">
        <v>3219</v>
      </c>
      <c r="B1789" s="20" t="s">
        <v>3220</v>
      </c>
      <c r="C1789" s="20" t="s">
        <v>259</v>
      </c>
      <c r="E1789" s="162" t="s">
        <v>8482</v>
      </c>
    </row>
    <row r="1790" spans="1:5">
      <c r="A1790" t="s">
        <v>3221</v>
      </c>
      <c r="B1790" s="20" t="s">
        <v>3222</v>
      </c>
      <c r="C1790" s="20" t="s">
        <v>414</v>
      </c>
      <c r="E1790" s="162" t="s">
        <v>5812</v>
      </c>
    </row>
    <row r="1791" spans="1:5">
      <c r="A1791" t="s">
        <v>3223</v>
      </c>
      <c r="B1791" s="20" t="s">
        <v>3224</v>
      </c>
      <c r="C1791" s="20" t="s">
        <v>414</v>
      </c>
      <c r="E1791" s="162" t="s">
        <v>5812</v>
      </c>
    </row>
    <row r="1792" spans="1:5">
      <c r="A1792" t="s">
        <v>3225</v>
      </c>
      <c r="B1792" s="20" t="s">
        <v>3226</v>
      </c>
      <c r="C1792" s="20" t="s">
        <v>88</v>
      </c>
      <c r="E1792" s="162" t="s">
        <v>8483</v>
      </c>
    </row>
    <row r="1793" spans="1:5">
      <c r="A1793" t="s">
        <v>3227</v>
      </c>
      <c r="B1793" s="20" t="s">
        <v>3228</v>
      </c>
      <c r="C1793" s="20" t="s">
        <v>88</v>
      </c>
      <c r="E1793" s="162" t="s">
        <v>8483</v>
      </c>
    </row>
    <row r="1794" spans="1:5">
      <c r="A1794" t="s">
        <v>3229</v>
      </c>
      <c r="B1794" s="20" t="s">
        <v>3230</v>
      </c>
      <c r="C1794" s="20" t="s">
        <v>88</v>
      </c>
      <c r="E1794" s="162" t="s">
        <v>8483</v>
      </c>
    </row>
    <row r="1795" spans="1:5">
      <c r="A1795" t="s">
        <v>3231</v>
      </c>
      <c r="B1795" s="20" t="s">
        <v>3232</v>
      </c>
      <c r="C1795" s="20" t="s">
        <v>88</v>
      </c>
      <c r="E1795" s="162" t="s">
        <v>5812</v>
      </c>
    </row>
    <row r="1796" spans="1:5">
      <c r="A1796" t="s">
        <v>3233</v>
      </c>
      <c r="B1796" s="20" t="s">
        <v>3234</v>
      </c>
      <c r="C1796" s="20" t="s">
        <v>88</v>
      </c>
      <c r="E1796" s="162" t="s">
        <v>5812</v>
      </c>
    </row>
    <row r="1797" spans="1:5">
      <c r="A1797" t="s">
        <v>3235</v>
      </c>
      <c r="B1797" s="20" t="s">
        <v>3236</v>
      </c>
      <c r="C1797" s="20" t="s">
        <v>88</v>
      </c>
      <c r="E1797" s="162" t="s">
        <v>5812</v>
      </c>
    </row>
    <row r="1798" spans="1:5">
      <c r="A1798" t="s">
        <v>3237</v>
      </c>
      <c r="B1798" s="20" t="s">
        <v>3238</v>
      </c>
      <c r="C1798" s="20" t="s">
        <v>89</v>
      </c>
      <c r="E1798" s="162" t="s">
        <v>5614</v>
      </c>
    </row>
    <row r="1799" spans="1:5">
      <c r="A1799" t="s">
        <v>3237</v>
      </c>
      <c r="B1799" s="20" t="s">
        <v>3238</v>
      </c>
      <c r="C1799" s="20" t="s">
        <v>89</v>
      </c>
      <c r="E1799" s="162" t="s">
        <v>5614</v>
      </c>
    </row>
    <row r="1800" spans="1:5">
      <c r="A1800" t="s">
        <v>3239</v>
      </c>
      <c r="B1800" s="20" t="s">
        <v>3240</v>
      </c>
      <c r="C1800" s="20" t="s">
        <v>89</v>
      </c>
      <c r="E1800" s="162" t="s">
        <v>5813</v>
      </c>
    </row>
    <row r="1801" spans="1:5">
      <c r="A1801" t="s">
        <v>3241</v>
      </c>
      <c r="B1801" s="20" t="s">
        <v>3242</v>
      </c>
      <c r="C1801" s="20" t="s">
        <v>89</v>
      </c>
      <c r="E1801" s="162" t="s">
        <v>5813</v>
      </c>
    </row>
    <row r="1802" spans="1:5">
      <c r="A1802" t="s">
        <v>3243</v>
      </c>
      <c r="B1802" s="20" t="s">
        <v>3244</v>
      </c>
      <c r="C1802" s="20" t="s">
        <v>89</v>
      </c>
      <c r="E1802" s="162" t="s">
        <v>5882</v>
      </c>
    </row>
    <row r="1803" spans="1:5">
      <c r="A1803" t="s">
        <v>3243</v>
      </c>
      <c r="B1803" s="20" t="s">
        <v>3244</v>
      </c>
      <c r="C1803" s="20" t="s">
        <v>89</v>
      </c>
      <c r="E1803" s="162" t="s">
        <v>5882</v>
      </c>
    </row>
    <row r="1804" spans="1:5">
      <c r="A1804" t="s">
        <v>3245</v>
      </c>
      <c r="B1804" s="20" t="s">
        <v>3246</v>
      </c>
      <c r="C1804" s="20" t="s">
        <v>89</v>
      </c>
      <c r="E1804" s="162" t="s">
        <v>5882</v>
      </c>
    </row>
    <row r="1805" spans="1:5">
      <c r="A1805" t="s">
        <v>3245</v>
      </c>
      <c r="B1805" s="20" t="s">
        <v>3246</v>
      </c>
      <c r="C1805" s="20" t="s">
        <v>89</v>
      </c>
      <c r="E1805" s="162" t="s">
        <v>5882</v>
      </c>
    </row>
    <row r="1806" spans="1:5">
      <c r="A1806" t="s">
        <v>3247</v>
      </c>
      <c r="B1806" s="20" t="s">
        <v>3248</v>
      </c>
      <c r="C1806" s="20" t="s">
        <v>89</v>
      </c>
      <c r="E1806" s="162" t="s">
        <v>7991</v>
      </c>
    </row>
    <row r="1807" spans="1:5">
      <c r="A1807" t="s">
        <v>3247</v>
      </c>
      <c r="B1807" s="20" t="s">
        <v>3248</v>
      </c>
      <c r="C1807" s="20" t="s">
        <v>89</v>
      </c>
      <c r="E1807" s="162" t="s">
        <v>7991</v>
      </c>
    </row>
    <row r="1808" spans="1:5">
      <c r="A1808" t="s">
        <v>3249</v>
      </c>
      <c r="B1808" s="20" t="s">
        <v>3250</v>
      </c>
      <c r="C1808" s="20" t="s">
        <v>89</v>
      </c>
      <c r="E1808" s="162" t="s">
        <v>5813</v>
      </c>
    </row>
    <row r="1809" spans="1:5">
      <c r="A1809" t="s">
        <v>3249</v>
      </c>
      <c r="B1809" s="20" t="s">
        <v>3250</v>
      </c>
      <c r="C1809" s="20" t="s">
        <v>89</v>
      </c>
      <c r="E1809" s="162" t="s">
        <v>5813</v>
      </c>
    </row>
    <row r="1810" spans="1:5">
      <c r="A1810" t="s">
        <v>3251</v>
      </c>
      <c r="B1810" s="20" t="s">
        <v>3252</v>
      </c>
      <c r="C1810" s="20" t="s">
        <v>89</v>
      </c>
      <c r="E1810" s="162" t="s">
        <v>5813</v>
      </c>
    </row>
    <row r="1811" spans="1:5">
      <c r="A1811" t="s">
        <v>3251</v>
      </c>
      <c r="B1811" s="20" t="s">
        <v>3252</v>
      </c>
      <c r="C1811" s="20" t="s">
        <v>89</v>
      </c>
      <c r="E1811" s="162" t="s">
        <v>5813</v>
      </c>
    </row>
    <row r="1812" spans="1:5">
      <c r="A1812" t="s">
        <v>3253</v>
      </c>
      <c r="B1812" s="20" t="s">
        <v>3254</v>
      </c>
      <c r="C1812" s="20" t="s">
        <v>91</v>
      </c>
      <c r="E1812" s="162" t="s">
        <v>5847</v>
      </c>
    </row>
    <row r="1813" spans="1:5">
      <c r="A1813" t="s">
        <v>3253</v>
      </c>
      <c r="B1813" s="20" t="s">
        <v>3254</v>
      </c>
      <c r="C1813" s="20" t="s">
        <v>91</v>
      </c>
      <c r="E1813" s="162" t="s">
        <v>5847</v>
      </c>
    </row>
    <row r="1814" spans="1:5">
      <c r="A1814" t="s">
        <v>3255</v>
      </c>
      <c r="B1814" s="20" t="s">
        <v>3256</v>
      </c>
      <c r="C1814" s="20" t="s">
        <v>91</v>
      </c>
      <c r="E1814" s="162" t="s">
        <v>5847</v>
      </c>
    </row>
    <row r="1815" spans="1:5">
      <c r="A1815" t="s">
        <v>3255</v>
      </c>
      <c r="B1815" s="20" t="s">
        <v>3256</v>
      </c>
      <c r="C1815" s="20" t="s">
        <v>91</v>
      </c>
      <c r="E1815" s="162" t="s">
        <v>5847</v>
      </c>
    </row>
    <row r="1816" spans="1:5">
      <c r="A1816" t="s">
        <v>3257</v>
      </c>
      <c r="B1816" s="20" t="s">
        <v>3258</v>
      </c>
      <c r="C1816" s="20" t="s">
        <v>414</v>
      </c>
      <c r="E1816" s="162" t="s">
        <v>6391</v>
      </c>
    </row>
    <row r="1817" spans="1:5">
      <c r="A1817" t="s">
        <v>3259</v>
      </c>
      <c r="B1817" s="20" t="s">
        <v>3260</v>
      </c>
      <c r="C1817" s="20" t="s">
        <v>414</v>
      </c>
      <c r="E1817" s="162" t="s">
        <v>6391</v>
      </c>
    </row>
    <row r="1818" spans="1:5">
      <c r="A1818" t="s">
        <v>3261</v>
      </c>
      <c r="B1818" s="20" t="s">
        <v>3262</v>
      </c>
      <c r="C1818" s="20" t="s">
        <v>414</v>
      </c>
      <c r="E1818" s="162" t="s">
        <v>6391</v>
      </c>
    </row>
    <row r="1819" spans="1:5">
      <c r="A1819" t="s">
        <v>3263</v>
      </c>
      <c r="B1819" s="20" t="s">
        <v>3264</v>
      </c>
      <c r="C1819" s="20" t="s">
        <v>414</v>
      </c>
      <c r="E1819" s="162" t="s">
        <v>6391</v>
      </c>
    </row>
    <row r="1820" spans="1:5">
      <c r="A1820" t="s">
        <v>3265</v>
      </c>
      <c r="B1820" s="20" t="s">
        <v>3266</v>
      </c>
      <c r="C1820" s="20" t="s">
        <v>259</v>
      </c>
      <c r="E1820" s="162" t="s">
        <v>6391</v>
      </c>
    </row>
    <row r="1821" spans="1:5">
      <c r="A1821" t="s">
        <v>3267</v>
      </c>
      <c r="B1821" s="20" t="s">
        <v>3268</v>
      </c>
      <c r="C1821" s="20" t="s">
        <v>88</v>
      </c>
      <c r="E1821" s="162" t="s">
        <v>8484</v>
      </c>
    </row>
    <row r="1822" spans="1:5">
      <c r="A1822" t="s">
        <v>3269</v>
      </c>
      <c r="B1822" s="20" t="s">
        <v>3270</v>
      </c>
      <c r="C1822" s="20" t="s">
        <v>88</v>
      </c>
      <c r="E1822" s="162" t="s">
        <v>8484</v>
      </c>
    </row>
    <row r="1823" spans="1:5">
      <c r="A1823" t="s">
        <v>3271</v>
      </c>
      <c r="B1823" s="20" t="s">
        <v>3272</v>
      </c>
      <c r="C1823" s="20" t="s">
        <v>88</v>
      </c>
      <c r="E1823" s="162" t="s">
        <v>5811</v>
      </c>
    </row>
    <row r="1824" spans="1:5">
      <c r="A1824" t="s">
        <v>3273</v>
      </c>
      <c r="B1824" s="20" t="s">
        <v>3274</v>
      </c>
      <c r="C1824" s="20" t="s">
        <v>88</v>
      </c>
      <c r="E1824" s="162" t="s">
        <v>5811</v>
      </c>
    </row>
    <row r="1825" spans="1:5">
      <c r="A1825" t="s">
        <v>3275</v>
      </c>
      <c r="B1825" s="20" t="s">
        <v>3276</v>
      </c>
      <c r="C1825" s="20" t="s">
        <v>88</v>
      </c>
      <c r="E1825" s="162" t="s">
        <v>5811</v>
      </c>
    </row>
    <row r="1826" spans="1:5">
      <c r="A1826" t="s">
        <v>3277</v>
      </c>
      <c r="B1826" s="20" t="s">
        <v>3278</v>
      </c>
      <c r="C1826" s="20" t="s">
        <v>259</v>
      </c>
      <c r="E1826" s="162" t="s">
        <v>8485</v>
      </c>
    </row>
    <row r="1827" spans="1:5">
      <c r="A1827" t="s">
        <v>3279</v>
      </c>
      <c r="B1827" s="20" t="s">
        <v>3280</v>
      </c>
      <c r="C1827" s="20" t="s">
        <v>259</v>
      </c>
      <c r="E1827" s="162" t="s">
        <v>8485</v>
      </c>
    </row>
    <row r="1828" spans="1:5">
      <c r="A1828" t="s">
        <v>3281</v>
      </c>
      <c r="B1828" s="20" t="s">
        <v>3282</v>
      </c>
      <c r="C1828" s="20" t="s">
        <v>259</v>
      </c>
      <c r="E1828" s="162" t="s">
        <v>6116</v>
      </c>
    </row>
    <row r="1829" spans="1:5">
      <c r="A1829" t="s">
        <v>3281</v>
      </c>
      <c r="B1829" s="20" t="s">
        <v>3282</v>
      </c>
      <c r="C1829" s="20" t="s">
        <v>259</v>
      </c>
      <c r="E1829" s="162" t="s">
        <v>6116</v>
      </c>
    </row>
    <row r="1830" spans="1:5">
      <c r="A1830" t="s">
        <v>3283</v>
      </c>
      <c r="B1830" s="20" t="s">
        <v>3284</v>
      </c>
      <c r="C1830" s="20" t="s">
        <v>88</v>
      </c>
      <c r="E1830" s="162" t="s">
        <v>7968</v>
      </c>
    </row>
    <row r="1831" spans="1:5">
      <c r="A1831" t="s">
        <v>3285</v>
      </c>
      <c r="B1831" s="20" t="s">
        <v>3286</v>
      </c>
      <c r="C1831" s="20" t="s">
        <v>89</v>
      </c>
      <c r="E1831" s="162" t="s">
        <v>5848</v>
      </c>
    </row>
    <row r="1832" spans="1:5">
      <c r="A1832" t="s">
        <v>3285</v>
      </c>
      <c r="B1832" s="20" t="s">
        <v>3286</v>
      </c>
      <c r="C1832" s="20" t="s">
        <v>89</v>
      </c>
      <c r="E1832" s="162" t="s">
        <v>5848</v>
      </c>
    </row>
    <row r="1833" spans="1:5">
      <c r="A1833" t="s">
        <v>3287</v>
      </c>
      <c r="B1833" s="20" t="s">
        <v>3288</v>
      </c>
      <c r="C1833" s="20" t="s">
        <v>89</v>
      </c>
      <c r="E1833" s="162" t="s">
        <v>5865</v>
      </c>
    </row>
    <row r="1834" spans="1:5">
      <c r="A1834" t="s">
        <v>3287</v>
      </c>
      <c r="B1834" s="20" t="s">
        <v>3288</v>
      </c>
      <c r="C1834" s="20" t="s">
        <v>89</v>
      </c>
      <c r="E1834" s="162" t="s">
        <v>5865</v>
      </c>
    </row>
    <row r="1835" spans="1:5">
      <c r="A1835" t="s">
        <v>3289</v>
      </c>
      <c r="B1835" s="20" t="s">
        <v>3290</v>
      </c>
      <c r="C1835" s="20" t="s">
        <v>91</v>
      </c>
      <c r="E1835" s="162" t="s">
        <v>8486</v>
      </c>
    </row>
    <row r="1836" spans="1:5">
      <c r="A1836" t="s">
        <v>3291</v>
      </c>
      <c r="B1836" s="20" t="s">
        <v>3292</v>
      </c>
      <c r="C1836" s="20" t="s">
        <v>91</v>
      </c>
      <c r="E1836" s="162" t="s">
        <v>5534</v>
      </c>
    </row>
    <row r="1837" spans="1:5">
      <c r="A1837" t="s">
        <v>3291</v>
      </c>
      <c r="B1837" s="20" t="s">
        <v>3292</v>
      </c>
      <c r="C1837" s="20" t="s">
        <v>91</v>
      </c>
      <c r="E1837" s="162" t="s">
        <v>5534</v>
      </c>
    </row>
    <row r="1838" spans="1:5">
      <c r="A1838" t="s">
        <v>3293</v>
      </c>
      <c r="B1838" s="20" t="s">
        <v>3294</v>
      </c>
      <c r="C1838" s="20" t="s">
        <v>259</v>
      </c>
      <c r="E1838" s="162" t="s">
        <v>8093</v>
      </c>
    </row>
    <row r="1839" spans="1:5">
      <c r="A1839" t="s">
        <v>3293</v>
      </c>
      <c r="B1839" s="20" t="s">
        <v>3294</v>
      </c>
      <c r="C1839" s="20" t="s">
        <v>259</v>
      </c>
      <c r="E1839" s="162" t="s">
        <v>8093</v>
      </c>
    </row>
    <row r="1840" spans="1:5">
      <c r="A1840" t="s">
        <v>3295</v>
      </c>
      <c r="B1840" s="20" t="s">
        <v>3296</v>
      </c>
      <c r="C1840" s="20" t="s">
        <v>259</v>
      </c>
      <c r="E1840" s="162" t="s">
        <v>8487</v>
      </c>
    </row>
    <row r="1841" spans="1:5">
      <c r="A1841" t="s">
        <v>3297</v>
      </c>
      <c r="B1841" s="20" t="s">
        <v>3298</v>
      </c>
      <c r="C1841" s="20" t="s">
        <v>90</v>
      </c>
      <c r="E1841" s="162" t="s">
        <v>8488</v>
      </c>
    </row>
    <row r="1842" spans="1:5">
      <c r="A1842" t="s">
        <v>3299</v>
      </c>
      <c r="B1842" s="20" t="s">
        <v>3300</v>
      </c>
      <c r="C1842" s="20" t="s">
        <v>194</v>
      </c>
      <c r="E1842" s="162" t="s">
        <v>5587</v>
      </c>
    </row>
    <row r="1843" spans="1:5">
      <c r="A1843" t="s">
        <v>3301</v>
      </c>
      <c r="B1843" s="20" t="s">
        <v>3302</v>
      </c>
      <c r="C1843" s="20" t="s">
        <v>259</v>
      </c>
      <c r="E1843" s="162" t="s">
        <v>8094</v>
      </c>
    </row>
    <row r="1844" spans="1:5">
      <c r="A1844" t="s">
        <v>3301</v>
      </c>
      <c r="B1844" s="20" t="s">
        <v>3302</v>
      </c>
      <c r="C1844" s="20" t="s">
        <v>259</v>
      </c>
      <c r="E1844" s="162" t="s">
        <v>8094</v>
      </c>
    </row>
    <row r="1845" spans="1:5">
      <c r="A1845" t="s">
        <v>3303</v>
      </c>
      <c r="B1845" s="20" t="s">
        <v>3304</v>
      </c>
      <c r="C1845" s="20" t="s">
        <v>259</v>
      </c>
      <c r="E1845" s="162" t="s">
        <v>8487</v>
      </c>
    </row>
    <row r="1846" spans="1:5">
      <c r="A1846" t="s">
        <v>3305</v>
      </c>
      <c r="B1846" s="20" t="s">
        <v>3306</v>
      </c>
      <c r="C1846" s="20" t="s">
        <v>90</v>
      </c>
      <c r="E1846" s="162" t="s">
        <v>5600</v>
      </c>
    </row>
    <row r="1847" spans="1:5">
      <c r="A1847" t="s">
        <v>3307</v>
      </c>
      <c r="B1847" s="20" t="s">
        <v>3308</v>
      </c>
      <c r="C1847" s="20" t="s">
        <v>194</v>
      </c>
      <c r="E1847" s="162" t="s">
        <v>5587</v>
      </c>
    </row>
    <row r="1848" spans="1:5">
      <c r="A1848" t="s">
        <v>3309</v>
      </c>
      <c r="B1848" s="20" t="s">
        <v>3310</v>
      </c>
      <c r="C1848" s="20">
        <v>0</v>
      </c>
      <c r="E1848" s="162" t="s">
        <v>8489</v>
      </c>
    </row>
    <row r="1849" spans="1:5">
      <c r="A1849" t="s">
        <v>3311</v>
      </c>
      <c r="B1849" s="20" t="s">
        <v>3312</v>
      </c>
      <c r="C1849" s="20">
        <v>0</v>
      </c>
      <c r="E1849" s="162" t="s">
        <v>6240</v>
      </c>
    </row>
    <row r="1850" spans="1:5">
      <c r="A1850" t="s">
        <v>3313</v>
      </c>
      <c r="B1850" s="20" t="s">
        <v>3314</v>
      </c>
      <c r="C1850" s="20">
        <v>0</v>
      </c>
      <c r="E1850" s="162" t="s">
        <v>8489</v>
      </c>
    </row>
    <row r="1851" spans="1:5">
      <c r="A1851" t="s">
        <v>3315</v>
      </c>
      <c r="B1851" s="20" t="s">
        <v>3316</v>
      </c>
      <c r="C1851" s="20">
        <v>0</v>
      </c>
      <c r="E1851" s="162" t="s">
        <v>6240</v>
      </c>
    </row>
    <row r="1852" spans="1:5">
      <c r="A1852" t="s">
        <v>3317</v>
      </c>
      <c r="B1852" s="20" t="s">
        <v>3318</v>
      </c>
      <c r="C1852" s="20">
        <v>0</v>
      </c>
      <c r="E1852" s="162" t="s">
        <v>8490</v>
      </c>
    </row>
    <row r="1853" spans="1:5">
      <c r="A1853" t="s">
        <v>3319</v>
      </c>
      <c r="B1853" s="20" t="s">
        <v>3320</v>
      </c>
      <c r="C1853" s="20">
        <v>0</v>
      </c>
      <c r="E1853" s="162" t="s">
        <v>8491</v>
      </c>
    </row>
    <row r="1854" spans="1:5">
      <c r="A1854" t="s">
        <v>3321</v>
      </c>
      <c r="B1854" s="20" t="s">
        <v>3322</v>
      </c>
      <c r="C1854" s="20">
        <v>0</v>
      </c>
      <c r="E1854" s="162" t="s">
        <v>6240</v>
      </c>
    </row>
    <row r="1855" spans="1:5">
      <c r="A1855" t="s">
        <v>3323</v>
      </c>
      <c r="B1855" s="20" t="s">
        <v>3324</v>
      </c>
      <c r="C1855" s="20">
        <v>0</v>
      </c>
      <c r="E1855" s="162" t="s">
        <v>6240</v>
      </c>
    </row>
    <row r="1856" spans="1:5">
      <c r="A1856" t="s">
        <v>3325</v>
      </c>
      <c r="B1856" s="20" t="s">
        <v>3326</v>
      </c>
      <c r="C1856" s="20" t="s">
        <v>88</v>
      </c>
      <c r="E1856" s="162" t="s">
        <v>6240</v>
      </c>
    </row>
    <row r="1857" spans="1:5">
      <c r="A1857" t="s">
        <v>3327</v>
      </c>
      <c r="B1857" s="20" t="s">
        <v>3328</v>
      </c>
      <c r="C1857" s="20">
        <v>0</v>
      </c>
      <c r="E1857" s="162" t="s">
        <v>6239</v>
      </c>
    </row>
    <row r="1858" spans="1:5">
      <c r="A1858" t="s">
        <v>3329</v>
      </c>
      <c r="B1858" s="20" t="s">
        <v>3330</v>
      </c>
      <c r="C1858" s="20">
        <v>0</v>
      </c>
      <c r="E1858" s="162" t="s">
        <v>6239</v>
      </c>
    </row>
    <row r="1859" spans="1:5">
      <c r="A1859" t="s">
        <v>3331</v>
      </c>
      <c r="B1859" s="20" t="s">
        <v>3332</v>
      </c>
      <c r="C1859" s="20">
        <v>0</v>
      </c>
      <c r="E1859" s="162" t="s">
        <v>6239</v>
      </c>
    </row>
    <row r="1860" spans="1:5">
      <c r="A1860" t="s">
        <v>3333</v>
      </c>
      <c r="B1860" s="20" t="s">
        <v>3334</v>
      </c>
      <c r="C1860" s="20">
        <v>0</v>
      </c>
      <c r="E1860" s="162" t="s">
        <v>6239</v>
      </c>
    </row>
    <row r="1861" spans="1:5">
      <c r="A1861" t="s">
        <v>3335</v>
      </c>
      <c r="B1861" s="20" t="s">
        <v>3336</v>
      </c>
      <c r="C1861" s="20">
        <v>0</v>
      </c>
      <c r="E1861" s="162" t="s">
        <v>8490</v>
      </c>
    </row>
    <row r="1862" spans="1:5">
      <c r="A1862" t="s">
        <v>3337</v>
      </c>
      <c r="B1862" s="20" t="s">
        <v>3338</v>
      </c>
      <c r="C1862" s="20">
        <v>0</v>
      </c>
      <c r="E1862" s="162" t="s">
        <v>8491</v>
      </c>
    </row>
    <row r="1863" spans="1:5">
      <c r="A1863" t="s">
        <v>3339</v>
      </c>
      <c r="B1863" s="20" t="s">
        <v>3340</v>
      </c>
      <c r="C1863" s="20">
        <v>0</v>
      </c>
      <c r="E1863" s="162" t="s">
        <v>6239</v>
      </c>
    </row>
    <row r="1864" spans="1:5">
      <c r="A1864" t="s">
        <v>3341</v>
      </c>
      <c r="B1864" s="20" t="s">
        <v>3342</v>
      </c>
      <c r="C1864" s="20">
        <v>0</v>
      </c>
      <c r="E1864" s="162" t="s">
        <v>6239</v>
      </c>
    </row>
    <row r="1865" spans="1:5">
      <c r="A1865" t="s">
        <v>3343</v>
      </c>
      <c r="B1865" s="20" t="s">
        <v>3344</v>
      </c>
      <c r="C1865" s="20" t="s">
        <v>88</v>
      </c>
      <c r="E1865" s="162" t="s">
        <v>6239</v>
      </c>
    </row>
    <row r="1866" spans="1:5">
      <c r="A1866" t="s">
        <v>3345</v>
      </c>
      <c r="B1866" s="20" t="s">
        <v>3346</v>
      </c>
      <c r="C1866" s="20" t="s">
        <v>88</v>
      </c>
      <c r="E1866" s="162" t="s">
        <v>6239</v>
      </c>
    </row>
    <row r="1867" spans="1:5">
      <c r="A1867" t="s">
        <v>3347</v>
      </c>
      <c r="B1867" s="20" t="s">
        <v>3348</v>
      </c>
      <c r="C1867" s="20" t="s">
        <v>545</v>
      </c>
      <c r="E1867" s="162" t="s">
        <v>8492</v>
      </c>
    </row>
    <row r="1868" spans="1:5">
      <c r="A1868" t="s">
        <v>3349</v>
      </c>
      <c r="B1868" s="20" t="s">
        <v>3350</v>
      </c>
      <c r="C1868" s="20">
        <v>0</v>
      </c>
      <c r="E1868" s="162" t="s">
        <v>8493</v>
      </c>
    </row>
    <row r="1869" spans="1:5">
      <c r="A1869" t="s">
        <v>3351</v>
      </c>
      <c r="B1869" s="20" t="s">
        <v>3352</v>
      </c>
      <c r="C1869" s="20" t="s">
        <v>88</v>
      </c>
      <c r="E1869" s="162" t="s">
        <v>4995</v>
      </c>
    </row>
    <row r="1870" spans="1:5">
      <c r="A1870" t="s">
        <v>3353</v>
      </c>
      <c r="B1870" s="20" t="s">
        <v>3354</v>
      </c>
      <c r="C1870" s="20">
        <v>0</v>
      </c>
      <c r="E1870" s="162" t="s">
        <v>8494</v>
      </c>
    </row>
    <row r="1871" spans="1:5">
      <c r="A1871" t="s">
        <v>3355</v>
      </c>
      <c r="B1871" s="20" t="s">
        <v>3356</v>
      </c>
      <c r="C1871" s="20" t="s">
        <v>545</v>
      </c>
      <c r="E1871" s="162" t="s">
        <v>8492</v>
      </c>
    </row>
    <row r="1872" spans="1:5">
      <c r="A1872" t="s">
        <v>3357</v>
      </c>
      <c r="B1872" s="20" t="s">
        <v>3358</v>
      </c>
      <c r="C1872" s="20">
        <v>0</v>
      </c>
      <c r="E1872" s="162" t="s">
        <v>8495</v>
      </c>
    </row>
    <row r="1873" spans="1:5">
      <c r="A1873" t="s">
        <v>3359</v>
      </c>
      <c r="B1873" s="20" t="s">
        <v>3360</v>
      </c>
      <c r="C1873" s="20" t="s">
        <v>545</v>
      </c>
      <c r="E1873" s="162" t="s">
        <v>8496</v>
      </c>
    </row>
    <row r="1874" spans="1:5">
      <c r="A1874" t="s">
        <v>3361</v>
      </c>
      <c r="B1874" s="20" t="s">
        <v>3362</v>
      </c>
      <c r="C1874" s="20" t="s">
        <v>194</v>
      </c>
      <c r="E1874" s="162" t="s">
        <v>8497</v>
      </c>
    </row>
    <row r="1875" spans="1:5">
      <c r="A1875" t="s">
        <v>3363</v>
      </c>
      <c r="B1875" s="20" t="s">
        <v>3364</v>
      </c>
      <c r="C1875" s="20" t="s">
        <v>194</v>
      </c>
      <c r="E1875" s="162" t="s">
        <v>8498</v>
      </c>
    </row>
    <row r="1876" spans="1:5">
      <c r="A1876" t="s">
        <v>3365</v>
      </c>
      <c r="B1876" s="20" t="s">
        <v>3366</v>
      </c>
      <c r="C1876" s="20" t="s">
        <v>259</v>
      </c>
      <c r="E1876" s="162" t="s">
        <v>4995</v>
      </c>
    </row>
    <row r="1877" spans="1:5">
      <c r="A1877" t="s">
        <v>3367</v>
      </c>
      <c r="B1877" s="20" t="s">
        <v>3368</v>
      </c>
      <c r="C1877" s="20" t="s">
        <v>259</v>
      </c>
      <c r="E1877" s="162" t="s">
        <v>4995</v>
      </c>
    </row>
    <row r="1878" spans="1:5">
      <c r="A1878" t="s">
        <v>3369</v>
      </c>
      <c r="B1878" s="20" t="s">
        <v>3370</v>
      </c>
      <c r="C1878" s="20" t="s">
        <v>775</v>
      </c>
      <c r="E1878" s="162" t="s">
        <v>8499</v>
      </c>
    </row>
    <row r="1879" spans="1:5">
      <c r="A1879" t="s">
        <v>3371</v>
      </c>
      <c r="B1879" s="20" t="s">
        <v>3372</v>
      </c>
      <c r="C1879" s="20" t="s">
        <v>93</v>
      </c>
      <c r="E1879" s="162" t="s">
        <v>4995</v>
      </c>
    </row>
    <row r="1880" spans="1:5">
      <c r="A1880" t="s">
        <v>3373</v>
      </c>
      <c r="B1880" s="20" t="s">
        <v>3374</v>
      </c>
      <c r="C1880" s="20" t="s">
        <v>254</v>
      </c>
      <c r="E1880" s="162" t="s">
        <v>5352</v>
      </c>
    </row>
    <row r="1881" spans="1:5">
      <c r="A1881" t="s">
        <v>3375</v>
      </c>
      <c r="B1881" s="20" t="s">
        <v>3376</v>
      </c>
      <c r="C1881" s="20" t="s">
        <v>254</v>
      </c>
      <c r="E1881" s="162" t="s">
        <v>4995</v>
      </c>
    </row>
    <row r="1882" spans="1:5">
      <c r="A1882" t="s">
        <v>3377</v>
      </c>
      <c r="B1882" s="20" t="s">
        <v>3378</v>
      </c>
      <c r="C1882" s="20" t="s">
        <v>545</v>
      </c>
      <c r="E1882" s="162" t="s">
        <v>7993</v>
      </c>
    </row>
    <row r="1883" spans="1:5">
      <c r="A1883" t="s">
        <v>3379</v>
      </c>
      <c r="B1883" s="20" t="s">
        <v>3380</v>
      </c>
      <c r="C1883" s="20">
        <v>0</v>
      </c>
      <c r="E1883" s="162" t="s">
        <v>8500</v>
      </c>
    </row>
    <row r="1884" spans="1:5">
      <c r="A1884" t="s">
        <v>3381</v>
      </c>
      <c r="B1884" s="20" t="s">
        <v>3382</v>
      </c>
      <c r="C1884" s="20" t="s">
        <v>88</v>
      </c>
      <c r="E1884" s="162" t="s">
        <v>4994</v>
      </c>
    </row>
    <row r="1885" spans="1:5">
      <c r="A1885" t="s">
        <v>3383</v>
      </c>
      <c r="B1885" s="20" t="s">
        <v>3384</v>
      </c>
      <c r="C1885" s="20">
        <v>0</v>
      </c>
      <c r="E1885" s="162" t="s">
        <v>8501</v>
      </c>
    </row>
    <row r="1886" spans="1:5">
      <c r="A1886" t="s">
        <v>3385</v>
      </c>
      <c r="B1886" s="20" t="s">
        <v>3386</v>
      </c>
      <c r="C1886" s="20" t="s">
        <v>545</v>
      </c>
      <c r="E1886" s="162" t="s">
        <v>7993</v>
      </c>
    </row>
    <row r="1887" spans="1:5">
      <c r="A1887" t="s">
        <v>3387</v>
      </c>
      <c r="B1887" s="20" t="s">
        <v>3388</v>
      </c>
      <c r="C1887" s="20">
        <v>0</v>
      </c>
      <c r="E1887" s="162" t="s">
        <v>4994</v>
      </c>
    </row>
    <row r="1888" spans="1:5">
      <c r="A1888" t="s">
        <v>3389</v>
      </c>
      <c r="B1888" s="20" t="s">
        <v>3390</v>
      </c>
      <c r="C1888" s="20" t="s">
        <v>545</v>
      </c>
      <c r="E1888" s="162" t="s">
        <v>8502</v>
      </c>
    </row>
    <row r="1889" spans="1:5">
      <c r="A1889" t="s">
        <v>3391</v>
      </c>
      <c r="B1889" s="20" t="s">
        <v>3392</v>
      </c>
      <c r="C1889" s="20" t="s">
        <v>194</v>
      </c>
      <c r="E1889" s="162" t="s">
        <v>8503</v>
      </c>
    </row>
    <row r="1890" spans="1:5">
      <c r="A1890" t="s">
        <v>3393</v>
      </c>
      <c r="B1890" s="20" t="s">
        <v>3394</v>
      </c>
      <c r="C1890" s="20" t="s">
        <v>194</v>
      </c>
      <c r="E1890" s="162" t="s">
        <v>8504</v>
      </c>
    </row>
    <row r="1891" spans="1:5">
      <c r="A1891" t="s">
        <v>3395</v>
      </c>
      <c r="B1891" s="20" t="s">
        <v>3396</v>
      </c>
      <c r="C1891" s="20" t="s">
        <v>247</v>
      </c>
      <c r="E1891" s="162" t="s">
        <v>6204</v>
      </c>
    </row>
    <row r="1892" spans="1:5">
      <c r="A1892" t="s">
        <v>3397</v>
      </c>
      <c r="B1892" s="20" t="s">
        <v>3398</v>
      </c>
      <c r="C1892" s="20" t="s">
        <v>259</v>
      </c>
      <c r="E1892" s="162" t="s">
        <v>6204</v>
      </c>
    </row>
    <row r="1893" spans="1:5">
      <c r="A1893" t="s">
        <v>3399</v>
      </c>
      <c r="B1893" s="20" t="s">
        <v>3400</v>
      </c>
      <c r="C1893" s="20" t="s">
        <v>259</v>
      </c>
      <c r="E1893" s="162" t="s">
        <v>4994</v>
      </c>
    </row>
    <row r="1894" spans="1:5">
      <c r="A1894" t="s">
        <v>3401</v>
      </c>
      <c r="B1894" s="20" t="s">
        <v>3402</v>
      </c>
      <c r="C1894" s="20" t="s">
        <v>775</v>
      </c>
      <c r="E1894" s="162" t="s">
        <v>6204</v>
      </c>
    </row>
    <row r="1895" spans="1:5">
      <c r="A1895" t="s">
        <v>3403</v>
      </c>
      <c r="B1895" s="20" t="s">
        <v>3404</v>
      </c>
      <c r="C1895" s="20" t="s">
        <v>775</v>
      </c>
      <c r="E1895" s="162" t="s">
        <v>6204</v>
      </c>
    </row>
    <row r="1896" spans="1:5">
      <c r="A1896" t="s">
        <v>3405</v>
      </c>
      <c r="B1896" s="20" t="s">
        <v>3406</v>
      </c>
      <c r="C1896" s="20" t="s">
        <v>93</v>
      </c>
      <c r="E1896" s="162" t="s">
        <v>8505</v>
      </c>
    </row>
    <row r="1897" spans="1:5">
      <c r="A1897" t="s">
        <v>3407</v>
      </c>
      <c r="B1897" s="20" t="s">
        <v>3408</v>
      </c>
      <c r="C1897" s="20" t="s">
        <v>254</v>
      </c>
      <c r="E1897" s="162" t="s">
        <v>5353</v>
      </c>
    </row>
    <row r="1898" spans="1:5">
      <c r="A1898" t="s">
        <v>3409</v>
      </c>
      <c r="B1898" s="20" t="s">
        <v>3410</v>
      </c>
      <c r="C1898" s="20" t="s">
        <v>254</v>
      </c>
      <c r="E1898" s="162" t="s">
        <v>6204</v>
      </c>
    </row>
    <row r="1899" spans="1:5">
      <c r="A1899" t="s">
        <v>3411</v>
      </c>
      <c r="B1899" s="20" t="s">
        <v>3412</v>
      </c>
      <c r="C1899" s="20" t="s">
        <v>259</v>
      </c>
      <c r="E1899" s="162" t="s">
        <v>4829</v>
      </c>
    </row>
    <row r="1900" spans="1:5">
      <c r="A1900" t="s">
        <v>3411</v>
      </c>
      <c r="B1900" s="20" t="s">
        <v>3412</v>
      </c>
      <c r="C1900" s="20" t="s">
        <v>259</v>
      </c>
      <c r="E1900" s="162" t="s">
        <v>4829</v>
      </c>
    </row>
    <row r="1901" spans="1:5">
      <c r="A1901" t="s">
        <v>3413</v>
      </c>
      <c r="B1901" s="20" t="s">
        <v>3414</v>
      </c>
      <c r="C1901" s="20">
        <v>0</v>
      </c>
      <c r="E1901" s="162" t="s">
        <v>8222</v>
      </c>
    </row>
    <row r="1902" spans="1:5">
      <c r="A1902" t="s">
        <v>3415</v>
      </c>
      <c r="B1902" s="20" t="s">
        <v>3416</v>
      </c>
      <c r="C1902" s="20" t="s">
        <v>90</v>
      </c>
      <c r="E1902" s="162" t="s">
        <v>8223</v>
      </c>
    </row>
    <row r="1903" spans="1:5">
      <c r="A1903" t="s">
        <v>3417</v>
      </c>
      <c r="B1903" s="20" t="s">
        <v>3418</v>
      </c>
      <c r="C1903" s="20">
        <v>0</v>
      </c>
      <c r="E1903" s="162" t="s">
        <v>8228</v>
      </c>
    </row>
    <row r="1904" spans="1:5">
      <c r="A1904" t="s">
        <v>3419</v>
      </c>
      <c r="B1904" s="20" t="s">
        <v>3420</v>
      </c>
      <c r="C1904" s="20" t="s">
        <v>90</v>
      </c>
      <c r="E1904" s="162" t="s">
        <v>8229</v>
      </c>
    </row>
    <row r="1905" spans="1:5">
      <c r="A1905" t="s">
        <v>3421</v>
      </c>
      <c r="B1905" s="20" t="s">
        <v>3422</v>
      </c>
      <c r="C1905" s="20" t="s">
        <v>194</v>
      </c>
      <c r="E1905" s="162" t="s">
        <v>5456</v>
      </c>
    </row>
    <row r="1906" spans="1:5">
      <c r="A1906" t="s">
        <v>3421</v>
      </c>
      <c r="B1906" s="20" t="s">
        <v>3422</v>
      </c>
      <c r="C1906" s="20" t="s">
        <v>194</v>
      </c>
      <c r="E1906" s="162" t="s">
        <v>5456</v>
      </c>
    </row>
    <row r="1907" spans="1:5">
      <c r="A1907" t="s">
        <v>3423</v>
      </c>
      <c r="B1907" s="20" t="s">
        <v>3424</v>
      </c>
      <c r="C1907" s="20" t="s">
        <v>89</v>
      </c>
      <c r="E1907" s="162" t="s">
        <v>5456</v>
      </c>
    </row>
    <row r="1908" spans="1:5">
      <c r="A1908" t="s">
        <v>3423</v>
      </c>
      <c r="B1908" s="20" t="s">
        <v>3424</v>
      </c>
      <c r="C1908" s="20" t="s">
        <v>89</v>
      </c>
      <c r="E1908" s="162" t="s">
        <v>5456</v>
      </c>
    </row>
    <row r="1909" spans="1:5">
      <c r="A1909" t="s">
        <v>3425</v>
      </c>
      <c r="B1909" s="20" t="s">
        <v>3426</v>
      </c>
      <c r="C1909" s="20" t="s">
        <v>90</v>
      </c>
      <c r="E1909" s="162" t="s">
        <v>6264</v>
      </c>
    </row>
    <row r="1910" spans="1:5">
      <c r="A1910" t="s">
        <v>3427</v>
      </c>
      <c r="B1910" s="20" t="s">
        <v>3428</v>
      </c>
      <c r="C1910" s="20" t="s">
        <v>92</v>
      </c>
      <c r="E1910" s="162" t="s">
        <v>6264</v>
      </c>
    </row>
    <row r="1911" spans="1:5">
      <c r="A1911" t="s">
        <v>3429</v>
      </c>
      <c r="B1911" s="20" t="s">
        <v>3430</v>
      </c>
      <c r="C1911" s="20" t="s">
        <v>90</v>
      </c>
      <c r="E1911" s="162" t="s">
        <v>6264</v>
      </c>
    </row>
    <row r="1912" spans="1:5">
      <c r="A1912" t="s">
        <v>3431</v>
      </c>
      <c r="B1912" s="20" t="s">
        <v>3432</v>
      </c>
      <c r="C1912" s="20" t="s">
        <v>90</v>
      </c>
      <c r="E1912" s="162" t="s">
        <v>6264</v>
      </c>
    </row>
    <row r="1913" spans="1:5">
      <c r="A1913" t="s">
        <v>3433</v>
      </c>
      <c r="B1913" s="20" t="s">
        <v>3434</v>
      </c>
      <c r="C1913" s="20" t="s">
        <v>90</v>
      </c>
      <c r="E1913" s="162" t="s">
        <v>6264</v>
      </c>
    </row>
    <row r="1914" spans="1:5">
      <c r="A1914" t="s">
        <v>3435</v>
      </c>
      <c r="B1914" s="20" t="s">
        <v>3436</v>
      </c>
      <c r="C1914" s="20" t="s">
        <v>247</v>
      </c>
      <c r="E1914" s="162" t="s">
        <v>6264</v>
      </c>
    </row>
    <row r="1915" spans="1:5">
      <c r="A1915" t="s">
        <v>3437</v>
      </c>
      <c r="B1915" s="20" t="s">
        <v>3438</v>
      </c>
      <c r="C1915" s="20" t="s">
        <v>90</v>
      </c>
      <c r="E1915" s="162" t="s">
        <v>6264</v>
      </c>
    </row>
    <row r="1916" spans="1:5">
      <c r="A1916" t="s">
        <v>3439</v>
      </c>
      <c r="B1916" s="20" t="s">
        <v>3440</v>
      </c>
      <c r="C1916" s="20" t="s">
        <v>92</v>
      </c>
      <c r="E1916" s="162" t="s">
        <v>6247</v>
      </c>
    </row>
    <row r="1917" spans="1:5">
      <c r="A1917" t="s">
        <v>3441</v>
      </c>
      <c r="B1917" s="20" t="s">
        <v>3442</v>
      </c>
      <c r="C1917" s="20" t="s">
        <v>247</v>
      </c>
      <c r="E1917" s="162" t="s">
        <v>6247</v>
      </c>
    </row>
    <row r="1918" spans="1:5">
      <c r="A1918" t="s">
        <v>3443</v>
      </c>
      <c r="B1918" s="20" t="s">
        <v>3444</v>
      </c>
      <c r="C1918" s="20" t="s">
        <v>3445</v>
      </c>
      <c r="E1918" s="162" t="s">
        <v>8506</v>
      </c>
    </row>
    <row r="1919" spans="1:5">
      <c r="A1919" t="s">
        <v>3446</v>
      </c>
      <c r="B1919" s="20" t="s">
        <v>3447</v>
      </c>
      <c r="C1919" s="20" t="s">
        <v>3445</v>
      </c>
      <c r="E1919" s="162" t="s">
        <v>8506</v>
      </c>
    </row>
    <row r="1920" spans="1:5">
      <c r="A1920" t="s">
        <v>19</v>
      </c>
      <c r="B1920" s="20" t="s">
        <v>57</v>
      </c>
      <c r="C1920" s="20" t="s">
        <v>92</v>
      </c>
      <c r="E1920" s="162" t="s">
        <v>104</v>
      </c>
    </row>
    <row r="1921" spans="1:5">
      <c r="A1921" t="s">
        <v>19</v>
      </c>
      <c r="B1921" s="20" t="s">
        <v>57</v>
      </c>
      <c r="C1921" s="20" t="s">
        <v>92</v>
      </c>
      <c r="E1921" s="162" t="s">
        <v>104</v>
      </c>
    </row>
    <row r="1922" spans="1:5">
      <c r="A1922" t="s">
        <v>20</v>
      </c>
      <c r="B1922" s="20" t="s">
        <v>58</v>
      </c>
      <c r="C1922" s="20" t="s">
        <v>92</v>
      </c>
      <c r="E1922" s="162" t="s">
        <v>104</v>
      </c>
    </row>
    <row r="1923" spans="1:5">
      <c r="A1923" t="s">
        <v>20</v>
      </c>
      <c r="B1923" s="20" t="s">
        <v>58</v>
      </c>
      <c r="C1923" s="20" t="s">
        <v>92</v>
      </c>
      <c r="E1923" s="162" t="s">
        <v>104</v>
      </c>
    </row>
    <row r="1924" spans="1:5">
      <c r="A1924" t="s">
        <v>21</v>
      </c>
      <c r="B1924" s="20" t="s">
        <v>59</v>
      </c>
      <c r="C1924" s="20" t="s">
        <v>92</v>
      </c>
      <c r="E1924" s="162" t="s">
        <v>104</v>
      </c>
    </row>
    <row r="1925" spans="1:5">
      <c r="A1925" t="s">
        <v>21</v>
      </c>
      <c r="B1925" s="20" t="s">
        <v>59</v>
      </c>
      <c r="C1925" s="20" t="s">
        <v>92</v>
      </c>
      <c r="E1925" s="162" t="s">
        <v>104</v>
      </c>
    </row>
    <row r="1926" spans="1:5">
      <c r="A1926" t="s">
        <v>22</v>
      </c>
      <c r="B1926" s="20" t="s">
        <v>60</v>
      </c>
      <c r="C1926" s="20" t="s">
        <v>92</v>
      </c>
      <c r="E1926" s="162" t="s">
        <v>104</v>
      </c>
    </row>
    <row r="1927" spans="1:5">
      <c r="A1927" t="s">
        <v>22</v>
      </c>
      <c r="B1927" s="20" t="s">
        <v>60</v>
      </c>
      <c r="C1927" s="20" t="s">
        <v>92</v>
      </c>
      <c r="E1927" s="162" t="s">
        <v>104</v>
      </c>
    </row>
    <row r="1928" spans="1:5">
      <c r="A1928" t="s">
        <v>23</v>
      </c>
      <c r="B1928" s="20" t="s">
        <v>61</v>
      </c>
      <c r="C1928" s="20" t="s">
        <v>92</v>
      </c>
      <c r="E1928" s="162" t="s">
        <v>104</v>
      </c>
    </row>
    <row r="1929" spans="1:5">
      <c r="A1929" t="s">
        <v>23</v>
      </c>
      <c r="B1929" s="20" t="s">
        <v>61</v>
      </c>
      <c r="C1929" s="20" t="s">
        <v>92</v>
      </c>
      <c r="E1929" s="162" t="s">
        <v>104</v>
      </c>
    </row>
    <row r="1930" spans="1:5">
      <c r="A1930" t="s">
        <v>24</v>
      </c>
      <c r="B1930" s="20" t="s">
        <v>62</v>
      </c>
      <c r="C1930" s="20" t="s">
        <v>92</v>
      </c>
      <c r="E1930" s="162" t="s">
        <v>104</v>
      </c>
    </row>
    <row r="1931" spans="1:5">
      <c r="A1931" t="s">
        <v>24</v>
      </c>
      <c r="B1931" s="20" t="s">
        <v>62</v>
      </c>
      <c r="C1931" s="20" t="s">
        <v>92</v>
      </c>
      <c r="E1931" s="162" t="s">
        <v>104</v>
      </c>
    </row>
    <row r="1932" spans="1:5">
      <c r="A1932" t="s">
        <v>25</v>
      </c>
      <c r="B1932" s="20" t="s">
        <v>63</v>
      </c>
      <c r="C1932" s="20" t="s">
        <v>92</v>
      </c>
      <c r="E1932" s="162" t="s">
        <v>104</v>
      </c>
    </row>
    <row r="1933" spans="1:5">
      <c r="A1933" t="s">
        <v>25</v>
      </c>
      <c r="B1933" s="20" t="s">
        <v>63</v>
      </c>
      <c r="C1933" s="20" t="s">
        <v>92</v>
      </c>
      <c r="E1933" s="162" t="s">
        <v>104</v>
      </c>
    </row>
    <row r="1934" spans="1:5">
      <c r="A1934" t="s">
        <v>26</v>
      </c>
      <c r="B1934" s="20" t="s">
        <v>64</v>
      </c>
      <c r="C1934" s="20" t="s">
        <v>92</v>
      </c>
      <c r="E1934" s="162" t="s">
        <v>104</v>
      </c>
    </row>
    <row r="1935" spans="1:5">
      <c r="A1935" t="s">
        <v>26</v>
      </c>
      <c r="B1935" s="20" t="s">
        <v>64</v>
      </c>
      <c r="C1935" s="20" t="s">
        <v>92</v>
      </c>
      <c r="E1935" s="162" t="s">
        <v>104</v>
      </c>
    </row>
    <row r="1936" spans="1:5">
      <c r="A1936" t="s">
        <v>27</v>
      </c>
      <c r="B1936" s="20" t="s">
        <v>65</v>
      </c>
      <c r="C1936" s="20" t="s">
        <v>92</v>
      </c>
      <c r="E1936" s="162" t="s">
        <v>104</v>
      </c>
    </row>
    <row r="1937" spans="1:5">
      <c r="A1937" t="s">
        <v>27</v>
      </c>
      <c r="B1937" s="20" t="s">
        <v>65</v>
      </c>
      <c r="C1937" s="20" t="s">
        <v>92</v>
      </c>
      <c r="E1937" s="162" t="s">
        <v>104</v>
      </c>
    </row>
    <row r="1938" spans="1:5">
      <c r="A1938" t="s">
        <v>28</v>
      </c>
      <c r="B1938" s="20" t="s">
        <v>66</v>
      </c>
      <c r="C1938" s="20" t="s">
        <v>92</v>
      </c>
      <c r="E1938" s="162" t="s">
        <v>104</v>
      </c>
    </row>
    <row r="1939" spans="1:5">
      <c r="A1939" t="s">
        <v>28</v>
      </c>
      <c r="B1939" s="20" t="s">
        <v>66</v>
      </c>
      <c r="C1939" s="20" t="s">
        <v>92</v>
      </c>
      <c r="E1939" s="162" t="s">
        <v>104</v>
      </c>
    </row>
    <row r="1940" spans="1:5">
      <c r="A1940" t="s">
        <v>3448</v>
      </c>
      <c r="B1940" s="20" t="s">
        <v>3449</v>
      </c>
      <c r="C1940" s="20" t="s">
        <v>259</v>
      </c>
      <c r="E1940" s="162" t="s">
        <v>8507</v>
      </c>
    </row>
    <row r="1941" spans="1:5">
      <c r="A1941" t="s">
        <v>3450</v>
      </c>
      <c r="B1941" s="20" t="s">
        <v>3451</v>
      </c>
      <c r="C1941" s="20" t="s">
        <v>259</v>
      </c>
      <c r="E1941" s="162" t="s">
        <v>8507</v>
      </c>
    </row>
    <row r="1942" spans="1:5">
      <c r="A1942" t="s">
        <v>3450</v>
      </c>
      <c r="B1942" s="20" t="s">
        <v>3451</v>
      </c>
      <c r="C1942" s="20" t="s">
        <v>259</v>
      </c>
      <c r="E1942" s="162" t="s">
        <v>8507</v>
      </c>
    </row>
    <row r="1943" spans="1:5">
      <c r="A1943" t="s">
        <v>3452</v>
      </c>
      <c r="B1943" s="20" t="s">
        <v>3453</v>
      </c>
      <c r="C1943" s="20" t="s">
        <v>604</v>
      </c>
      <c r="E1943" s="162" t="s">
        <v>5549</v>
      </c>
    </row>
    <row r="1944" spans="1:5">
      <c r="A1944" t="s">
        <v>3454</v>
      </c>
      <c r="B1944" s="20" t="s">
        <v>3455</v>
      </c>
      <c r="C1944" s="20" t="s">
        <v>604</v>
      </c>
      <c r="E1944" s="162" t="s">
        <v>5549</v>
      </c>
    </row>
    <row r="1945" spans="1:5">
      <c r="A1945" t="s">
        <v>3456</v>
      </c>
      <c r="B1945" s="20" t="s">
        <v>3457</v>
      </c>
      <c r="C1945" s="20" t="s">
        <v>604</v>
      </c>
      <c r="E1945" s="162" t="s">
        <v>6563</v>
      </c>
    </row>
    <row r="1946" spans="1:5">
      <c r="A1946" t="s">
        <v>3458</v>
      </c>
      <c r="B1946" s="20" t="s">
        <v>3459</v>
      </c>
      <c r="C1946" s="20" t="s">
        <v>604</v>
      </c>
      <c r="E1946" s="162" t="s">
        <v>6563</v>
      </c>
    </row>
    <row r="1947" spans="1:5">
      <c r="A1947" t="s">
        <v>3460</v>
      </c>
      <c r="B1947" s="20" t="s">
        <v>3461</v>
      </c>
      <c r="C1947" s="20" t="s">
        <v>604</v>
      </c>
      <c r="E1947" s="162" t="s">
        <v>5549</v>
      </c>
    </row>
    <row r="1948" spans="1:5">
      <c r="A1948" t="s">
        <v>3460</v>
      </c>
      <c r="B1948" s="20" t="s">
        <v>3461</v>
      </c>
      <c r="C1948" s="20" t="s">
        <v>604</v>
      </c>
      <c r="E1948" s="162" t="s">
        <v>5549</v>
      </c>
    </row>
    <row r="1949" spans="1:5">
      <c r="A1949" t="s">
        <v>3462</v>
      </c>
      <c r="B1949" s="20" t="s">
        <v>3463</v>
      </c>
      <c r="C1949" s="20" t="s">
        <v>604</v>
      </c>
      <c r="E1949" s="162" t="s">
        <v>8508</v>
      </c>
    </row>
    <row r="1950" spans="1:5">
      <c r="A1950" t="s">
        <v>3462</v>
      </c>
      <c r="B1950" s="20" t="s">
        <v>3463</v>
      </c>
      <c r="C1950" s="20" t="s">
        <v>604</v>
      </c>
      <c r="E1950" s="162" t="s">
        <v>8508</v>
      </c>
    </row>
    <row r="1951" spans="1:5">
      <c r="A1951" t="s">
        <v>3464</v>
      </c>
      <c r="B1951" s="20" t="s">
        <v>3465</v>
      </c>
      <c r="C1951" s="20" t="s">
        <v>259</v>
      </c>
      <c r="E1951" s="162" t="s">
        <v>8509</v>
      </c>
    </row>
    <row r="1952" spans="1:5">
      <c r="A1952" t="s">
        <v>3466</v>
      </c>
      <c r="B1952" s="20" t="s">
        <v>3467</v>
      </c>
      <c r="C1952" s="20" t="s">
        <v>259</v>
      </c>
      <c r="E1952" s="162" t="s">
        <v>8509</v>
      </c>
    </row>
    <row r="1953" spans="1:5">
      <c r="A1953" t="s">
        <v>3466</v>
      </c>
      <c r="B1953" s="20" t="s">
        <v>3467</v>
      </c>
      <c r="C1953" s="20" t="s">
        <v>259</v>
      </c>
      <c r="E1953" s="162" t="s">
        <v>8509</v>
      </c>
    </row>
    <row r="1954" spans="1:5">
      <c r="A1954" t="s">
        <v>3468</v>
      </c>
      <c r="B1954" s="20" t="s">
        <v>3469</v>
      </c>
      <c r="C1954" s="20" t="s">
        <v>604</v>
      </c>
      <c r="E1954" s="162" t="s">
        <v>5550</v>
      </c>
    </row>
    <row r="1955" spans="1:5">
      <c r="A1955" t="s">
        <v>3470</v>
      </c>
      <c r="B1955" s="20" t="s">
        <v>3471</v>
      </c>
      <c r="C1955" s="20" t="s">
        <v>604</v>
      </c>
      <c r="E1955" s="162" t="s">
        <v>5550</v>
      </c>
    </row>
    <row r="1956" spans="1:5">
      <c r="A1956" t="s">
        <v>3472</v>
      </c>
      <c r="B1956" s="20" t="s">
        <v>3473</v>
      </c>
      <c r="C1956" s="20" t="s">
        <v>604</v>
      </c>
      <c r="E1956" s="162" t="s">
        <v>6563</v>
      </c>
    </row>
    <row r="1957" spans="1:5">
      <c r="A1957" t="s">
        <v>3474</v>
      </c>
      <c r="B1957" s="20" t="s">
        <v>3475</v>
      </c>
      <c r="C1957" s="20" t="s">
        <v>604</v>
      </c>
      <c r="E1957" s="162" t="s">
        <v>5550</v>
      </c>
    </row>
    <row r="1958" spans="1:5">
      <c r="A1958" t="s">
        <v>3474</v>
      </c>
      <c r="B1958" s="20" t="s">
        <v>3475</v>
      </c>
      <c r="C1958" s="20" t="s">
        <v>604</v>
      </c>
      <c r="E1958" s="162" t="s">
        <v>5550</v>
      </c>
    </row>
    <row r="1959" spans="1:5">
      <c r="A1959" t="s">
        <v>3476</v>
      </c>
      <c r="B1959" s="20" t="s">
        <v>3477</v>
      </c>
      <c r="C1959" s="20" t="s">
        <v>604</v>
      </c>
      <c r="E1959" s="162" t="s">
        <v>8510</v>
      </c>
    </row>
    <row r="1960" spans="1:5">
      <c r="A1960" t="s">
        <v>3476</v>
      </c>
      <c r="B1960" s="20" t="s">
        <v>3477</v>
      </c>
      <c r="C1960" s="20" t="s">
        <v>604</v>
      </c>
      <c r="E1960" s="162" t="s">
        <v>8510</v>
      </c>
    </row>
    <row r="1961" spans="1:5">
      <c r="A1961" t="s">
        <v>3478</v>
      </c>
      <c r="B1961" s="20" t="s">
        <v>3479</v>
      </c>
      <c r="C1961" s="20" t="s">
        <v>247</v>
      </c>
      <c r="E1961" s="162" t="s">
        <v>8015</v>
      </c>
    </row>
    <row r="1962" spans="1:5">
      <c r="A1962" t="s">
        <v>3478</v>
      </c>
      <c r="B1962" s="20" t="s">
        <v>3479</v>
      </c>
      <c r="C1962" s="20" t="s">
        <v>247</v>
      </c>
      <c r="E1962" s="162" t="s">
        <v>8015</v>
      </c>
    </row>
    <row r="1963" spans="1:5">
      <c r="A1963" t="s">
        <v>3480</v>
      </c>
      <c r="B1963" s="20" t="s">
        <v>3481</v>
      </c>
      <c r="C1963" s="20" t="s">
        <v>247</v>
      </c>
      <c r="E1963" s="162" t="s">
        <v>5619</v>
      </c>
    </row>
    <row r="1964" spans="1:5">
      <c r="A1964" t="s">
        <v>3480</v>
      </c>
      <c r="B1964" s="20" t="s">
        <v>3481</v>
      </c>
      <c r="C1964" s="20" t="s">
        <v>247</v>
      </c>
      <c r="E1964" s="162" t="s">
        <v>5619</v>
      </c>
    </row>
    <row r="1965" spans="1:5">
      <c r="A1965" t="s">
        <v>3482</v>
      </c>
      <c r="B1965" s="20" t="s">
        <v>3483</v>
      </c>
      <c r="C1965" s="20" t="s">
        <v>90</v>
      </c>
      <c r="E1965" s="162" t="s">
        <v>8511</v>
      </c>
    </row>
    <row r="1966" spans="1:5">
      <c r="A1966" t="s">
        <v>3484</v>
      </c>
      <c r="B1966" s="20" t="s">
        <v>3485</v>
      </c>
      <c r="C1966" s="20">
        <v>0</v>
      </c>
      <c r="E1966" s="162" t="s">
        <v>8512</v>
      </c>
    </row>
    <row r="1967" spans="1:5">
      <c r="A1967" t="s">
        <v>3484</v>
      </c>
      <c r="B1967" s="20" t="s">
        <v>3485</v>
      </c>
      <c r="C1967" s="20">
        <v>0</v>
      </c>
      <c r="E1967" s="162" t="s">
        <v>8512</v>
      </c>
    </row>
    <row r="1968" spans="1:5">
      <c r="A1968" t="s">
        <v>3486</v>
      </c>
      <c r="B1968" s="20" t="s">
        <v>3487</v>
      </c>
      <c r="C1968" s="20" t="s">
        <v>2563</v>
      </c>
      <c r="E1968" s="162" t="s">
        <v>8018</v>
      </c>
    </row>
    <row r="1969" spans="1:5">
      <c r="A1969" t="s">
        <v>3486</v>
      </c>
      <c r="B1969" s="20" t="s">
        <v>3487</v>
      </c>
      <c r="C1969" s="20" t="s">
        <v>2563</v>
      </c>
      <c r="E1969" s="162" t="s">
        <v>8018</v>
      </c>
    </row>
    <row r="1970" spans="1:5">
      <c r="A1970" t="s">
        <v>3488</v>
      </c>
      <c r="B1970" s="20" t="s">
        <v>3489</v>
      </c>
      <c r="C1970" s="20" t="s">
        <v>2563</v>
      </c>
      <c r="E1970" s="162" t="s">
        <v>8029</v>
      </c>
    </row>
    <row r="1971" spans="1:5">
      <c r="A1971" t="s">
        <v>3488</v>
      </c>
      <c r="B1971" s="20" t="s">
        <v>3489</v>
      </c>
      <c r="C1971" s="20" t="s">
        <v>2563</v>
      </c>
      <c r="E1971" s="162" t="s">
        <v>8029</v>
      </c>
    </row>
    <row r="1972" spans="1:5">
      <c r="A1972" t="s">
        <v>3490</v>
      </c>
      <c r="B1972" s="20" t="s">
        <v>3491</v>
      </c>
      <c r="C1972" s="20" t="s">
        <v>2563</v>
      </c>
      <c r="E1972" s="162" t="s">
        <v>8022</v>
      </c>
    </row>
    <row r="1973" spans="1:5">
      <c r="A1973" t="s">
        <v>3490</v>
      </c>
      <c r="B1973" s="20" t="s">
        <v>3491</v>
      </c>
      <c r="C1973" s="20" t="s">
        <v>2563</v>
      </c>
      <c r="E1973" s="162" t="s">
        <v>8022</v>
      </c>
    </row>
    <row r="1974" spans="1:5">
      <c r="A1974" t="s">
        <v>3492</v>
      </c>
      <c r="B1974" s="20" t="s">
        <v>3493</v>
      </c>
      <c r="C1974" s="20" t="s">
        <v>2563</v>
      </c>
      <c r="E1974" s="162" t="s">
        <v>8026</v>
      </c>
    </row>
    <row r="1975" spans="1:5">
      <c r="A1975" t="s">
        <v>3492</v>
      </c>
      <c r="B1975" s="20" t="s">
        <v>3493</v>
      </c>
      <c r="C1975" s="20" t="s">
        <v>2563</v>
      </c>
      <c r="E1975" s="162" t="s">
        <v>8026</v>
      </c>
    </row>
    <row r="1976" spans="1:5">
      <c r="A1976" t="s">
        <v>3494</v>
      </c>
      <c r="B1976" s="20" t="s">
        <v>3495</v>
      </c>
      <c r="C1976" s="20" t="s">
        <v>2563</v>
      </c>
      <c r="E1976" s="162" t="s">
        <v>8029</v>
      </c>
    </row>
    <row r="1977" spans="1:5">
      <c r="A1977" t="s">
        <v>3494</v>
      </c>
      <c r="B1977" s="20" t="s">
        <v>3495</v>
      </c>
      <c r="C1977" s="20" t="s">
        <v>2563</v>
      </c>
      <c r="E1977" s="162" t="s">
        <v>8029</v>
      </c>
    </row>
    <row r="1978" spans="1:5">
      <c r="A1978" t="s">
        <v>3496</v>
      </c>
      <c r="B1978" s="20" t="s">
        <v>3497</v>
      </c>
      <c r="C1978" s="20" t="s">
        <v>2563</v>
      </c>
      <c r="E1978" s="162" t="s">
        <v>8022</v>
      </c>
    </row>
    <row r="1979" spans="1:5">
      <c r="A1979" t="s">
        <v>3496</v>
      </c>
      <c r="B1979" s="20" t="s">
        <v>3497</v>
      </c>
      <c r="C1979" s="20" t="s">
        <v>2563</v>
      </c>
      <c r="E1979" s="162" t="s">
        <v>8022</v>
      </c>
    </row>
    <row r="1980" spans="1:5">
      <c r="A1980" t="s">
        <v>3498</v>
      </c>
      <c r="B1980" s="20" t="s">
        <v>3499</v>
      </c>
      <c r="C1980" s="20" t="s">
        <v>2563</v>
      </c>
      <c r="E1980" s="162" t="s">
        <v>8026</v>
      </c>
    </row>
    <row r="1981" spans="1:5">
      <c r="A1981" t="s">
        <v>3498</v>
      </c>
      <c r="B1981" s="20" t="s">
        <v>3499</v>
      </c>
      <c r="C1981" s="20" t="s">
        <v>2563</v>
      </c>
      <c r="E1981" s="162" t="s">
        <v>8026</v>
      </c>
    </row>
    <row r="1982" spans="1:5">
      <c r="A1982" t="s">
        <v>3500</v>
      </c>
      <c r="B1982" s="20" t="s">
        <v>3501</v>
      </c>
      <c r="C1982" s="20" t="s">
        <v>2563</v>
      </c>
      <c r="E1982" s="162" t="s">
        <v>8029</v>
      </c>
    </row>
    <row r="1983" spans="1:5">
      <c r="A1983" t="s">
        <v>3500</v>
      </c>
      <c r="B1983" s="20" t="s">
        <v>3501</v>
      </c>
      <c r="C1983" s="20" t="s">
        <v>2563</v>
      </c>
      <c r="E1983" s="162" t="s">
        <v>8029</v>
      </c>
    </row>
    <row r="1984" spans="1:5">
      <c r="A1984" t="s">
        <v>3502</v>
      </c>
      <c r="B1984" s="20" t="s">
        <v>3503</v>
      </c>
      <c r="C1984" s="20" t="s">
        <v>2563</v>
      </c>
      <c r="E1984" s="162" t="s">
        <v>8022</v>
      </c>
    </row>
    <row r="1985" spans="1:5">
      <c r="A1985" t="s">
        <v>3502</v>
      </c>
      <c r="B1985" s="20" t="s">
        <v>3503</v>
      </c>
      <c r="C1985" s="20" t="s">
        <v>2563</v>
      </c>
      <c r="E1985" s="162" t="s">
        <v>8022</v>
      </c>
    </row>
    <row r="1986" spans="1:5">
      <c r="A1986" t="s">
        <v>3504</v>
      </c>
      <c r="B1986" s="20" t="s">
        <v>3505</v>
      </c>
      <c r="C1986" s="20" t="s">
        <v>194</v>
      </c>
      <c r="E1986" s="162" t="s">
        <v>8513</v>
      </c>
    </row>
    <row r="1987" spans="1:5">
      <c r="A1987" t="s">
        <v>3504</v>
      </c>
      <c r="B1987" s="20" t="s">
        <v>3505</v>
      </c>
      <c r="C1987" s="20" t="s">
        <v>194</v>
      </c>
      <c r="E1987" s="162" t="s">
        <v>8513</v>
      </c>
    </row>
    <row r="1988" spans="1:5">
      <c r="A1988" t="s">
        <v>3506</v>
      </c>
      <c r="B1988" s="20" t="s">
        <v>3507</v>
      </c>
      <c r="C1988" s="20" t="s">
        <v>259</v>
      </c>
      <c r="E1988" s="162" t="s">
        <v>8096</v>
      </c>
    </row>
    <row r="1989" spans="1:5">
      <c r="A1989" t="s">
        <v>3506</v>
      </c>
      <c r="B1989" s="20" t="s">
        <v>3507</v>
      </c>
      <c r="C1989" s="20" t="s">
        <v>259</v>
      </c>
      <c r="E1989" s="162" t="s">
        <v>8096</v>
      </c>
    </row>
    <row r="1990" spans="1:5">
      <c r="A1990" t="s">
        <v>3508</v>
      </c>
      <c r="B1990" s="20" t="s">
        <v>3509</v>
      </c>
      <c r="C1990" s="20" t="s">
        <v>259</v>
      </c>
      <c r="E1990" s="162" t="s">
        <v>8096</v>
      </c>
    </row>
    <row r="1991" spans="1:5">
      <c r="A1991" t="s">
        <v>3508</v>
      </c>
      <c r="B1991" s="20" t="s">
        <v>3509</v>
      </c>
      <c r="C1991" s="20" t="s">
        <v>259</v>
      </c>
      <c r="E1991" s="162" t="s">
        <v>8096</v>
      </c>
    </row>
    <row r="1992" spans="1:5">
      <c r="A1992" t="s">
        <v>3510</v>
      </c>
      <c r="B1992" s="20" t="s">
        <v>3511</v>
      </c>
      <c r="C1992" s="20" t="s">
        <v>194</v>
      </c>
      <c r="E1992" s="162" t="s">
        <v>8514</v>
      </c>
    </row>
    <row r="1993" spans="1:5">
      <c r="A1993" t="s">
        <v>3512</v>
      </c>
      <c r="B1993" s="20" t="s">
        <v>3513</v>
      </c>
      <c r="C1993" s="20" t="s">
        <v>194</v>
      </c>
      <c r="E1993" s="162" t="s">
        <v>8515</v>
      </c>
    </row>
    <row r="1994" spans="1:5">
      <c r="A1994" t="s">
        <v>3512</v>
      </c>
      <c r="B1994" s="20" t="s">
        <v>3513</v>
      </c>
      <c r="C1994" s="20" t="s">
        <v>194</v>
      </c>
      <c r="E1994" s="162" t="s">
        <v>8515</v>
      </c>
    </row>
    <row r="1995" spans="1:5">
      <c r="A1995" t="s">
        <v>3514</v>
      </c>
      <c r="B1995" s="20" t="s">
        <v>3515</v>
      </c>
      <c r="C1995" s="20" t="s">
        <v>194</v>
      </c>
      <c r="E1995" s="162" t="s">
        <v>8516</v>
      </c>
    </row>
    <row r="1996" spans="1:5">
      <c r="A1996" t="s">
        <v>3514</v>
      </c>
      <c r="B1996" s="20" t="s">
        <v>3515</v>
      </c>
      <c r="C1996" s="20" t="s">
        <v>194</v>
      </c>
      <c r="E1996" s="162" t="s">
        <v>8516</v>
      </c>
    </row>
    <row r="1997" spans="1:5">
      <c r="A1997" t="s">
        <v>3516</v>
      </c>
      <c r="B1997" s="20" t="s">
        <v>3517</v>
      </c>
      <c r="C1997" s="20" t="s">
        <v>194</v>
      </c>
      <c r="E1997" s="162" t="s">
        <v>8517</v>
      </c>
    </row>
    <row r="1998" spans="1:5">
      <c r="A1998" t="s">
        <v>3518</v>
      </c>
      <c r="B1998" s="20" t="s">
        <v>3519</v>
      </c>
      <c r="C1998" s="20" t="s">
        <v>194</v>
      </c>
      <c r="E1998" s="162" t="s">
        <v>8518</v>
      </c>
    </row>
    <row r="1999" spans="1:5">
      <c r="A1999" t="s">
        <v>3518</v>
      </c>
      <c r="B1999" s="20" t="s">
        <v>3519</v>
      </c>
      <c r="C1999" s="20" t="s">
        <v>194</v>
      </c>
      <c r="E1999" s="162" t="s">
        <v>8518</v>
      </c>
    </row>
    <row r="2000" spans="1:5">
      <c r="A2000" t="s">
        <v>3520</v>
      </c>
      <c r="B2000" s="20" t="s">
        <v>3521</v>
      </c>
      <c r="C2000" s="20" t="s">
        <v>194</v>
      </c>
      <c r="E2000" s="162" t="s">
        <v>8519</v>
      </c>
    </row>
    <row r="2001" spans="1:5">
      <c r="A2001" t="s">
        <v>3522</v>
      </c>
      <c r="B2001" s="20" t="s">
        <v>3523</v>
      </c>
      <c r="C2001" s="20" t="s">
        <v>194</v>
      </c>
      <c r="E2001" s="162" t="s">
        <v>8520</v>
      </c>
    </row>
    <row r="2002" spans="1:5">
      <c r="A2002" t="s">
        <v>3522</v>
      </c>
      <c r="B2002" s="20" t="s">
        <v>3523</v>
      </c>
      <c r="C2002" s="20" t="s">
        <v>194</v>
      </c>
      <c r="E2002" s="162" t="s">
        <v>8520</v>
      </c>
    </row>
    <row r="2003" spans="1:5">
      <c r="A2003" t="s">
        <v>3524</v>
      </c>
      <c r="B2003" s="20" t="s">
        <v>3525</v>
      </c>
      <c r="C2003" s="20" t="s">
        <v>88</v>
      </c>
      <c r="E2003" s="162" t="s">
        <v>7925</v>
      </c>
    </row>
    <row r="2004" spans="1:5">
      <c r="A2004" t="s">
        <v>3526</v>
      </c>
      <c r="B2004" s="20" t="s">
        <v>3527</v>
      </c>
      <c r="C2004" s="20" t="s">
        <v>89</v>
      </c>
      <c r="E2004" s="162" t="s">
        <v>6565</v>
      </c>
    </row>
    <row r="2005" spans="1:5">
      <c r="A2005" t="s">
        <v>3528</v>
      </c>
      <c r="B2005" s="20" t="s">
        <v>3529</v>
      </c>
      <c r="C2005" s="20" t="s">
        <v>89</v>
      </c>
      <c r="E2005" s="162" t="s">
        <v>6565</v>
      </c>
    </row>
    <row r="2006" spans="1:5">
      <c r="A2006" t="s">
        <v>3530</v>
      </c>
      <c r="B2006" s="20" t="s">
        <v>3531</v>
      </c>
      <c r="C2006" s="20" t="s">
        <v>89</v>
      </c>
      <c r="E2006" s="162" t="s">
        <v>6565</v>
      </c>
    </row>
    <row r="2007" spans="1:5">
      <c r="A2007" t="s">
        <v>3532</v>
      </c>
      <c r="B2007" s="20" t="s">
        <v>3533</v>
      </c>
      <c r="C2007" s="20" t="s">
        <v>89</v>
      </c>
      <c r="E2007" s="162" t="s">
        <v>6565</v>
      </c>
    </row>
    <row r="2008" spans="1:5">
      <c r="A2008" t="s">
        <v>3534</v>
      </c>
      <c r="B2008" s="20" t="s">
        <v>3535</v>
      </c>
      <c r="C2008" s="20" t="s">
        <v>89</v>
      </c>
      <c r="E2008" s="162" t="s">
        <v>6565</v>
      </c>
    </row>
    <row r="2009" spans="1:5">
      <c r="A2009" t="s">
        <v>3536</v>
      </c>
      <c r="B2009" s="20" t="s">
        <v>3537</v>
      </c>
      <c r="C2009" s="20" t="s">
        <v>89</v>
      </c>
      <c r="E2009" s="162" t="s">
        <v>6565</v>
      </c>
    </row>
    <row r="2010" spans="1:5">
      <c r="A2010" t="s">
        <v>3538</v>
      </c>
      <c r="B2010" s="20" t="s">
        <v>3539</v>
      </c>
      <c r="C2010" s="20" t="s">
        <v>89</v>
      </c>
      <c r="E2010" s="162" t="s">
        <v>6565</v>
      </c>
    </row>
    <row r="2011" spans="1:5">
      <c r="A2011" t="s">
        <v>3540</v>
      </c>
      <c r="B2011" s="20" t="s">
        <v>3541</v>
      </c>
      <c r="C2011" s="20" t="s">
        <v>89</v>
      </c>
      <c r="E2011" s="162" t="s">
        <v>6565</v>
      </c>
    </row>
    <row r="2012" spans="1:5">
      <c r="A2012" t="s">
        <v>3542</v>
      </c>
      <c r="B2012" s="20" t="s">
        <v>3543</v>
      </c>
      <c r="C2012" s="20">
        <v>0</v>
      </c>
      <c r="E2012" s="162" t="s">
        <v>8521</v>
      </c>
    </row>
    <row r="2013" spans="1:5">
      <c r="A2013" t="s">
        <v>3544</v>
      </c>
      <c r="B2013" s="20" t="s">
        <v>3545</v>
      </c>
      <c r="C2013" s="20">
        <v>0</v>
      </c>
      <c r="E2013" s="162" t="s">
        <v>8521</v>
      </c>
    </row>
    <row r="2014" spans="1:5">
      <c r="A2014" t="s">
        <v>3546</v>
      </c>
      <c r="B2014" s="20" t="s">
        <v>3547</v>
      </c>
      <c r="C2014" s="20" t="s">
        <v>3548</v>
      </c>
      <c r="E2014" s="162" t="s">
        <v>5621</v>
      </c>
    </row>
    <row r="2015" spans="1:5">
      <c r="A2015" t="s">
        <v>3549</v>
      </c>
      <c r="B2015" s="20" t="s">
        <v>3550</v>
      </c>
      <c r="C2015" s="20">
        <v>0</v>
      </c>
      <c r="E2015" s="162" t="s">
        <v>5621</v>
      </c>
    </row>
    <row r="2016" spans="1:5">
      <c r="A2016" t="s">
        <v>3551</v>
      </c>
      <c r="B2016" s="20" t="s">
        <v>3552</v>
      </c>
      <c r="C2016" s="20">
        <v>0</v>
      </c>
      <c r="E2016" s="162" t="s">
        <v>8522</v>
      </c>
    </row>
    <row r="2017" spans="1:5">
      <c r="A2017" t="s">
        <v>3553</v>
      </c>
      <c r="B2017" s="20" t="s">
        <v>3554</v>
      </c>
      <c r="C2017" s="20">
        <v>0</v>
      </c>
      <c r="E2017" s="162" t="s">
        <v>8522</v>
      </c>
    </row>
    <row r="2018" spans="1:5">
      <c r="A2018" t="s">
        <v>3555</v>
      </c>
      <c r="B2018" s="20" t="s">
        <v>3556</v>
      </c>
      <c r="C2018" s="20" t="s">
        <v>3548</v>
      </c>
      <c r="E2018" s="162" t="s">
        <v>5622</v>
      </c>
    </row>
    <row r="2019" spans="1:5">
      <c r="A2019" t="s">
        <v>3557</v>
      </c>
      <c r="B2019" s="20" t="s">
        <v>3558</v>
      </c>
      <c r="C2019" s="20">
        <v>0</v>
      </c>
      <c r="E2019" s="162" t="s">
        <v>5622</v>
      </c>
    </row>
    <row r="2020" spans="1:5">
      <c r="A2020" t="s">
        <v>3559</v>
      </c>
      <c r="B2020" s="20" t="s">
        <v>3560</v>
      </c>
      <c r="C2020" s="20">
        <v>0</v>
      </c>
      <c r="E2020" s="162" t="s">
        <v>8523</v>
      </c>
    </row>
    <row r="2021" spans="1:5">
      <c r="A2021" t="s">
        <v>3561</v>
      </c>
      <c r="B2021" s="20" t="s">
        <v>3562</v>
      </c>
      <c r="C2021" s="20">
        <v>0</v>
      </c>
      <c r="E2021" s="162" t="s">
        <v>8523</v>
      </c>
    </row>
    <row r="2022" spans="1:5">
      <c r="A2022" t="s">
        <v>3563</v>
      </c>
      <c r="B2022" s="20" t="s">
        <v>3564</v>
      </c>
      <c r="C2022" s="20" t="s">
        <v>259</v>
      </c>
      <c r="E2022" s="162" t="s">
        <v>8524</v>
      </c>
    </row>
    <row r="2023" spans="1:5">
      <c r="A2023" t="s">
        <v>3565</v>
      </c>
      <c r="B2023" s="20" t="s">
        <v>3566</v>
      </c>
      <c r="C2023" s="20">
        <v>0</v>
      </c>
      <c r="E2023" s="162" t="s">
        <v>8525</v>
      </c>
    </row>
    <row r="2024" spans="1:5">
      <c r="A2024" t="s">
        <v>3567</v>
      </c>
      <c r="B2024" s="20" t="s">
        <v>3568</v>
      </c>
      <c r="C2024" s="20">
        <v>0</v>
      </c>
      <c r="E2024" s="162" t="s">
        <v>8525</v>
      </c>
    </row>
    <row r="2025" spans="1:5">
      <c r="A2025" t="s">
        <v>3569</v>
      </c>
      <c r="B2025" s="20" t="s">
        <v>3570</v>
      </c>
      <c r="C2025" s="20" t="s">
        <v>259</v>
      </c>
      <c r="E2025" s="162" t="s">
        <v>8526</v>
      </c>
    </row>
    <row r="2026" spans="1:5">
      <c r="A2026" t="s">
        <v>3571</v>
      </c>
      <c r="B2026" s="20" t="s">
        <v>3572</v>
      </c>
      <c r="C2026" s="20" t="s">
        <v>194</v>
      </c>
      <c r="E2026" s="162" t="s">
        <v>5851</v>
      </c>
    </row>
    <row r="2027" spans="1:5">
      <c r="A2027" t="s">
        <v>3571</v>
      </c>
      <c r="B2027" s="20" t="s">
        <v>3572</v>
      </c>
      <c r="C2027" s="20" t="s">
        <v>194</v>
      </c>
      <c r="E2027" s="162" t="s">
        <v>5851</v>
      </c>
    </row>
    <row r="2028" spans="1:5">
      <c r="A2028" t="s">
        <v>3573</v>
      </c>
      <c r="B2028" s="20" t="s">
        <v>3574</v>
      </c>
      <c r="C2028" s="20" t="s">
        <v>194</v>
      </c>
      <c r="E2028" s="162" t="s">
        <v>5851</v>
      </c>
    </row>
    <row r="2029" spans="1:5">
      <c r="A2029" t="s">
        <v>3573</v>
      </c>
      <c r="B2029" s="20" t="s">
        <v>3574</v>
      </c>
      <c r="C2029" s="20" t="s">
        <v>194</v>
      </c>
      <c r="E2029" s="162" t="s">
        <v>5851</v>
      </c>
    </row>
    <row r="2030" spans="1:5">
      <c r="A2030" t="s">
        <v>3575</v>
      </c>
      <c r="B2030" s="20" t="s">
        <v>3576</v>
      </c>
      <c r="C2030" s="20" t="s">
        <v>88</v>
      </c>
      <c r="E2030" s="162" t="s">
        <v>7926</v>
      </c>
    </row>
    <row r="2031" spans="1:5">
      <c r="A2031" t="s">
        <v>3577</v>
      </c>
      <c r="B2031" s="20" t="s">
        <v>3578</v>
      </c>
      <c r="C2031" s="20" t="s">
        <v>194</v>
      </c>
      <c r="E2031" s="162" t="s">
        <v>5852</v>
      </c>
    </row>
    <row r="2032" spans="1:5">
      <c r="A2032" t="s">
        <v>3577</v>
      </c>
      <c r="B2032" s="20" t="s">
        <v>3578</v>
      </c>
      <c r="C2032" s="20" t="s">
        <v>194</v>
      </c>
      <c r="E2032" s="162" t="s">
        <v>5852</v>
      </c>
    </row>
    <row r="2033" spans="1:5">
      <c r="A2033" t="s">
        <v>3579</v>
      </c>
      <c r="B2033" s="20" t="s">
        <v>3580</v>
      </c>
      <c r="C2033" s="20" t="s">
        <v>194</v>
      </c>
      <c r="E2033" s="162" t="s">
        <v>5867</v>
      </c>
    </row>
    <row r="2034" spans="1:5">
      <c r="A2034" t="s">
        <v>3579</v>
      </c>
      <c r="B2034" s="20" t="s">
        <v>3580</v>
      </c>
      <c r="C2034" s="20" t="s">
        <v>194</v>
      </c>
      <c r="E2034" s="162" t="s">
        <v>5867</v>
      </c>
    </row>
    <row r="2035" spans="1:5">
      <c r="A2035" t="s">
        <v>3581</v>
      </c>
      <c r="B2035" s="20" t="s">
        <v>3582</v>
      </c>
      <c r="C2035" s="20">
        <v>0</v>
      </c>
      <c r="E2035" s="162" t="s">
        <v>8527</v>
      </c>
    </row>
    <row r="2036" spans="1:5">
      <c r="A2036" t="s">
        <v>3581</v>
      </c>
      <c r="B2036" s="20" t="s">
        <v>3582</v>
      </c>
      <c r="C2036" s="20">
        <v>0</v>
      </c>
      <c r="E2036" s="162" t="s">
        <v>8527</v>
      </c>
    </row>
    <row r="2037" spans="1:5">
      <c r="A2037" t="s">
        <v>3583</v>
      </c>
      <c r="B2037" s="20" t="s">
        <v>3584</v>
      </c>
      <c r="C2037" s="20" t="s">
        <v>259</v>
      </c>
      <c r="E2037" s="162" t="s">
        <v>8528</v>
      </c>
    </row>
    <row r="2038" spans="1:5">
      <c r="A2038" t="s">
        <v>3585</v>
      </c>
      <c r="B2038" s="20" t="s">
        <v>3586</v>
      </c>
      <c r="C2038" s="20">
        <v>0</v>
      </c>
      <c r="E2038" s="162" t="s">
        <v>8529</v>
      </c>
    </row>
    <row r="2039" spans="1:5">
      <c r="A2039" t="s">
        <v>3587</v>
      </c>
      <c r="B2039" s="20" t="s">
        <v>3588</v>
      </c>
      <c r="C2039" s="20" t="s">
        <v>259</v>
      </c>
      <c r="E2039" s="162" t="s">
        <v>8530</v>
      </c>
    </row>
    <row r="2040" spans="1:5">
      <c r="A2040" t="s">
        <v>3589</v>
      </c>
      <c r="B2040" s="20" t="s">
        <v>3590</v>
      </c>
      <c r="C2040" s="20" t="s">
        <v>259</v>
      </c>
      <c r="E2040" s="162" t="s">
        <v>8531</v>
      </c>
    </row>
    <row r="2041" spans="1:5">
      <c r="A2041" t="s">
        <v>3591</v>
      </c>
      <c r="B2041" s="20" t="s">
        <v>3592</v>
      </c>
      <c r="C2041" s="20">
        <v>0</v>
      </c>
      <c r="E2041" s="162" t="s">
        <v>5632</v>
      </c>
    </row>
    <row r="2042" spans="1:5">
      <c r="A2042" t="s">
        <v>3593</v>
      </c>
      <c r="B2042" s="20" t="s">
        <v>3594</v>
      </c>
      <c r="C2042" s="20" t="s">
        <v>259</v>
      </c>
      <c r="E2042" s="162" t="s">
        <v>8532</v>
      </c>
    </row>
    <row r="2043" spans="1:5">
      <c r="A2043" t="s">
        <v>3595</v>
      </c>
      <c r="B2043" s="20" t="s">
        <v>3596</v>
      </c>
      <c r="C2043" s="20" t="s">
        <v>93</v>
      </c>
      <c r="E2043" s="162" t="s">
        <v>8533</v>
      </c>
    </row>
    <row r="2044" spans="1:5">
      <c r="A2044" t="s">
        <v>3597</v>
      </c>
      <c r="B2044" s="20" t="s">
        <v>3598</v>
      </c>
      <c r="C2044" s="20" t="s">
        <v>93</v>
      </c>
      <c r="E2044" s="162" t="s">
        <v>8533</v>
      </c>
    </row>
    <row r="2045" spans="1:5">
      <c r="A2045" t="s">
        <v>3599</v>
      </c>
      <c r="B2045" s="20" t="s">
        <v>3600</v>
      </c>
      <c r="C2045" s="20" t="s">
        <v>259</v>
      </c>
      <c r="E2045" s="162" t="s">
        <v>4972</v>
      </c>
    </row>
    <row r="2046" spans="1:5">
      <c r="A2046" t="s">
        <v>3599</v>
      </c>
      <c r="B2046" s="20" t="s">
        <v>3600</v>
      </c>
      <c r="C2046" s="20" t="s">
        <v>259</v>
      </c>
      <c r="E2046" s="162" t="s">
        <v>4972</v>
      </c>
    </row>
    <row r="2047" spans="1:5">
      <c r="A2047" t="s">
        <v>3601</v>
      </c>
      <c r="B2047" s="20" t="s">
        <v>3602</v>
      </c>
      <c r="C2047" s="20" t="s">
        <v>90</v>
      </c>
      <c r="E2047" s="162" t="s">
        <v>4991</v>
      </c>
    </row>
    <row r="2048" spans="1:5">
      <c r="A2048" t="s">
        <v>3603</v>
      </c>
      <c r="B2048" s="20" t="s">
        <v>3604</v>
      </c>
      <c r="C2048" s="20" t="s">
        <v>90</v>
      </c>
      <c r="E2048" s="162" t="s">
        <v>4972</v>
      </c>
    </row>
    <row r="2049" spans="1:5">
      <c r="A2049" t="s">
        <v>3605</v>
      </c>
      <c r="B2049" s="20" t="s">
        <v>3606</v>
      </c>
      <c r="C2049" s="20" t="s">
        <v>89</v>
      </c>
      <c r="E2049" s="162" t="s">
        <v>4972</v>
      </c>
    </row>
    <row r="2050" spans="1:5">
      <c r="A2050" t="s">
        <v>3607</v>
      </c>
      <c r="B2050" s="20" t="s">
        <v>3608</v>
      </c>
      <c r="C2050" s="20" t="s">
        <v>89</v>
      </c>
      <c r="E2050" s="162" t="s">
        <v>5614</v>
      </c>
    </row>
    <row r="2051" spans="1:5">
      <c r="A2051" t="s">
        <v>3607</v>
      </c>
      <c r="B2051" s="20" t="s">
        <v>3608</v>
      </c>
      <c r="C2051" s="20" t="s">
        <v>89</v>
      </c>
      <c r="E2051" s="162" t="s">
        <v>5614</v>
      </c>
    </row>
    <row r="2052" spans="1:5">
      <c r="A2052" t="s">
        <v>3609</v>
      </c>
      <c r="B2052" s="20" t="s">
        <v>3610</v>
      </c>
      <c r="C2052" s="20" t="s">
        <v>90</v>
      </c>
      <c r="E2052" s="162" t="s">
        <v>8534</v>
      </c>
    </row>
    <row r="2053" spans="1:5">
      <c r="A2053" t="s">
        <v>3611</v>
      </c>
      <c r="B2053" s="20" t="s">
        <v>3612</v>
      </c>
      <c r="C2053" s="20" t="s">
        <v>194</v>
      </c>
      <c r="E2053" s="162" t="s">
        <v>8535</v>
      </c>
    </row>
    <row r="2054" spans="1:5">
      <c r="A2054" t="s">
        <v>3613</v>
      </c>
      <c r="B2054" s="20" t="s">
        <v>3614</v>
      </c>
      <c r="C2054" s="20" t="s">
        <v>259</v>
      </c>
      <c r="E2054" s="162" t="s">
        <v>8536</v>
      </c>
    </row>
    <row r="2055" spans="1:5">
      <c r="A2055" t="s">
        <v>3613</v>
      </c>
      <c r="B2055" s="20" t="s">
        <v>3614</v>
      </c>
      <c r="C2055" s="20" t="s">
        <v>259</v>
      </c>
      <c r="E2055" s="162" t="s">
        <v>8536</v>
      </c>
    </row>
    <row r="2056" spans="1:5">
      <c r="A2056" t="s">
        <v>3615</v>
      </c>
      <c r="B2056" s="20" t="s">
        <v>3616</v>
      </c>
      <c r="C2056" s="20" t="s">
        <v>259</v>
      </c>
      <c r="E2056" s="162" t="s">
        <v>8537</v>
      </c>
    </row>
    <row r="2057" spans="1:5">
      <c r="A2057" t="s">
        <v>3615</v>
      </c>
      <c r="B2057" s="20" t="s">
        <v>3616</v>
      </c>
      <c r="C2057" s="20" t="s">
        <v>259</v>
      </c>
      <c r="E2057" s="162" t="s">
        <v>8537</v>
      </c>
    </row>
    <row r="2058" spans="1:5">
      <c r="A2058" t="s">
        <v>3617</v>
      </c>
      <c r="B2058" s="20" t="s">
        <v>3618</v>
      </c>
      <c r="C2058" s="20" t="s">
        <v>414</v>
      </c>
      <c r="E2058" s="162" t="s">
        <v>8003</v>
      </c>
    </row>
    <row r="2059" spans="1:5">
      <c r="A2059" t="s">
        <v>3619</v>
      </c>
      <c r="B2059" s="20" t="s">
        <v>3620</v>
      </c>
      <c r="C2059" s="20" t="s">
        <v>414</v>
      </c>
      <c r="E2059" s="162" t="s">
        <v>8003</v>
      </c>
    </row>
    <row r="2060" spans="1:5">
      <c r="A2060" t="s">
        <v>3621</v>
      </c>
      <c r="B2060" s="20" t="s">
        <v>3622</v>
      </c>
      <c r="C2060" s="20" t="s">
        <v>259</v>
      </c>
      <c r="E2060" s="162" t="s">
        <v>5795</v>
      </c>
    </row>
    <row r="2061" spans="1:5">
      <c r="A2061" t="s">
        <v>3621</v>
      </c>
      <c r="B2061" s="20" t="s">
        <v>3622</v>
      </c>
      <c r="C2061" s="20" t="s">
        <v>259</v>
      </c>
      <c r="E2061" s="162" t="s">
        <v>5795</v>
      </c>
    </row>
    <row r="2062" spans="1:5">
      <c r="A2062" t="s">
        <v>3623</v>
      </c>
      <c r="B2062" s="20" t="s">
        <v>3624</v>
      </c>
      <c r="C2062" s="20" t="s">
        <v>259</v>
      </c>
      <c r="E2062" s="162" t="s">
        <v>5795</v>
      </c>
    </row>
    <row r="2063" spans="1:5">
      <c r="A2063" t="s">
        <v>3625</v>
      </c>
      <c r="B2063" s="20" t="s">
        <v>3626</v>
      </c>
      <c r="C2063" s="20" t="s">
        <v>92</v>
      </c>
      <c r="E2063" s="162" t="s">
        <v>5599</v>
      </c>
    </row>
    <row r="2064" spans="1:5">
      <c r="A2064" t="s">
        <v>3625</v>
      </c>
      <c r="B2064" s="20" t="s">
        <v>3626</v>
      </c>
      <c r="C2064" s="20" t="s">
        <v>92</v>
      </c>
      <c r="E2064" s="162" t="s">
        <v>5599</v>
      </c>
    </row>
    <row r="2065" spans="1:5">
      <c r="A2065" t="s">
        <v>3627</v>
      </c>
      <c r="B2065" s="20" t="s">
        <v>3628</v>
      </c>
      <c r="C2065" s="20" t="s">
        <v>3445</v>
      </c>
      <c r="E2065" s="162" t="s">
        <v>5109</v>
      </c>
    </row>
    <row r="2066" spans="1:5">
      <c r="A2066" t="s">
        <v>3627</v>
      </c>
      <c r="B2066" s="20" t="s">
        <v>3628</v>
      </c>
      <c r="C2066" s="20" t="s">
        <v>3445</v>
      </c>
      <c r="E2066" s="162" t="s">
        <v>5109</v>
      </c>
    </row>
    <row r="2067" spans="1:5">
      <c r="A2067" t="s">
        <v>3629</v>
      </c>
      <c r="B2067" s="20" t="s">
        <v>3630</v>
      </c>
      <c r="C2067" s="20" t="s">
        <v>3445</v>
      </c>
      <c r="E2067" s="162" t="s">
        <v>5109</v>
      </c>
    </row>
    <row r="2068" spans="1:5">
      <c r="A2068" t="s">
        <v>3629</v>
      </c>
      <c r="B2068" s="20" t="s">
        <v>3630</v>
      </c>
      <c r="C2068" s="20" t="s">
        <v>3445</v>
      </c>
      <c r="E2068" s="162" t="s">
        <v>5109</v>
      </c>
    </row>
    <row r="2069" spans="1:5">
      <c r="A2069" t="s">
        <v>3631</v>
      </c>
      <c r="B2069" s="20" t="s">
        <v>3632</v>
      </c>
      <c r="C2069" s="20" t="s">
        <v>247</v>
      </c>
      <c r="E2069" s="162" t="s">
        <v>5264</v>
      </c>
    </row>
    <row r="2070" spans="1:5">
      <c r="A2070" t="s">
        <v>3633</v>
      </c>
      <c r="B2070" s="20" t="s">
        <v>3634</v>
      </c>
      <c r="C2070" s="20" t="s">
        <v>93</v>
      </c>
      <c r="E2070" s="162" t="s">
        <v>6105</v>
      </c>
    </row>
    <row r="2071" spans="1:5">
      <c r="A2071" t="s">
        <v>3635</v>
      </c>
      <c r="B2071" s="20" t="s">
        <v>3636</v>
      </c>
      <c r="C2071" s="20" t="s">
        <v>93</v>
      </c>
      <c r="E2071" s="162" t="s">
        <v>6105</v>
      </c>
    </row>
    <row r="2072" spans="1:5">
      <c r="A2072" t="s">
        <v>3637</v>
      </c>
      <c r="B2072" s="20" t="s">
        <v>3638</v>
      </c>
      <c r="C2072" s="20" t="s">
        <v>93</v>
      </c>
      <c r="E2072" s="162" t="s">
        <v>5264</v>
      </c>
    </row>
    <row r="2073" spans="1:5">
      <c r="A2073" t="s">
        <v>3639</v>
      </c>
      <c r="B2073" s="20" t="s">
        <v>3640</v>
      </c>
      <c r="C2073" s="20" t="s">
        <v>93</v>
      </c>
      <c r="E2073" s="162" t="s">
        <v>5264</v>
      </c>
    </row>
    <row r="2074" spans="1:5">
      <c r="A2074" t="s">
        <v>3641</v>
      </c>
      <c r="B2074" s="20" t="s">
        <v>3642</v>
      </c>
      <c r="C2074" s="20" t="s">
        <v>93</v>
      </c>
      <c r="E2074" s="162" t="s">
        <v>5264</v>
      </c>
    </row>
    <row r="2075" spans="1:5">
      <c r="A2075" t="s">
        <v>3643</v>
      </c>
      <c r="B2075" s="20" t="s">
        <v>3644</v>
      </c>
      <c r="C2075" s="20" t="s">
        <v>93</v>
      </c>
      <c r="E2075" s="162" t="s">
        <v>5264</v>
      </c>
    </row>
    <row r="2076" spans="1:5">
      <c r="A2076" t="s">
        <v>3645</v>
      </c>
      <c r="B2076" s="20" t="s">
        <v>3646</v>
      </c>
      <c r="C2076" s="20" t="s">
        <v>90</v>
      </c>
      <c r="E2076" s="162" t="s">
        <v>4815</v>
      </c>
    </row>
    <row r="2077" spans="1:5">
      <c r="A2077" t="s">
        <v>3647</v>
      </c>
      <c r="B2077" s="20" t="s">
        <v>3648</v>
      </c>
      <c r="C2077" s="20" t="s">
        <v>89</v>
      </c>
      <c r="E2077" s="162" t="s">
        <v>8538</v>
      </c>
    </row>
    <row r="2078" spans="1:5">
      <c r="A2078" t="s">
        <v>3649</v>
      </c>
      <c r="B2078" s="20" t="s">
        <v>3650</v>
      </c>
      <c r="C2078" s="20" t="s">
        <v>247</v>
      </c>
      <c r="E2078" s="162" t="s">
        <v>5234</v>
      </c>
    </row>
    <row r="2079" spans="1:5">
      <c r="A2079" t="s">
        <v>3651</v>
      </c>
      <c r="B2079" s="20" t="s">
        <v>3652</v>
      </c>
      <c r="C2079" s="20" t="s">
        <v>91</v>
      </c>
      <c r="E2079" s="162" t="s">
        <v>8539</v>
      </c>
    </row>
    <row r="2080" spans="1:5">
      <c r="A2080" t="s">
        <v>3653</v>
      </c>
      <c r="B2080" s="20" t="s">
        <v>3654</v>
      </c>
      <c r="C2080" s="20" t="s">
        <v>91</v>
      </c>
      <c r="E2080" s="162" t="s">
        <v>8540</v>
      </c>
    </row>
    <row r="2081" spans="1:5">
      <c r="A2081" t="s">
        <v>3655</v>
      </c>
      <c r="B2081" s="20" t="s">
        <v>3656</v>
      </c>
      <c r="C2081" s="20" t="s">
        <v>254</v>
      </c>
      <c r="E2081" s="162" t="s">
        <v>5413</v>
      </c>
    </row>
    <row r="2082" spans="1:5">
      <c r="A2082" t="s">
        <v>3657</v>
      </c>
      <c r="B2082" s="20" t="s">
        <v>3658</v>
      </c>
      <c r="C2082" s="20" t="s">
        <v>247</v>
      </c>
      <c r="E2082" s="162" t="s">
        <v>5413</v>
      </c>
    </row>
    <row r="2083" spans="1:5">
      <c r="A2083" t="s">
        <v>3659</v>
      </c>
      <c r="B2083" s="20" t="s">
        <v>3660</v>
      </c>
      <c r="C2083" s="20" t="s">
        <v>90</v>
      </c>
      <c r="E2083" s="162" t="s">
        <v>5411</v>
      </c>
    </row>
    <row r="2084" spans="1:5">
      <c r="A2084" t="s">
        <v>3661</v>
      </c>
      <c r="B2084" s="20" t="s">
        <v>3662</v>
      </c>
      <c r="C2084" s="20" t="s">
        <v>89</v>
      </c>
      <c r="E2084" s="162" t="s">
        <v>5411</v>
      </c>
    </row>
    <row r="2085" spans="1:5">
      <c r="A2085" t="s">
        <v>3663</v>
      </c>
      <c r="B2085" s="20" t="s">
        <v>3664</v>
      </c>
      <c r="C2085" s="20" t="s">
        <v>89</v>
      </c>
      <c r="E2085" s="162" t="s">
        <v>5411</v>
      </c>
    </row>
    <row r="2086" spans="1:5">
      <c r="A2086" t="s">
        <v>3665</v>
      </c>
      <c r="B2086" s="20" t="s">
        <v>3666</v>
      </c>
      <c r="C2086" s="20" t="s">
        <v>90</v>
      </c>
      <c r="E2086" s="162" t="s">
        <v>5412</v>
      </c>
    </row>
    <row r="2087" spans="1:5">
      <c r="A2087" t="s">
        <v>3667</v>
      </c>
      <c r="B2087" s="20" t="s">
        <v>3668</v>
      </c>
      <c r="C2087" s="20" t="s">
        <v>89</v>
      </c>
      <c r="E2087" s="162" t="s">
        <v>5412</v>
      </c>
    </row>
    <row r="2088" spans="1:5">
      <c r="A2088" t="s">
        <v>3669</v>
      </c>
      <c r="B2088" s="20" t="s">
        <v>3670</v>
      </c>
      <c r="C2088" s="20" t="s">
        <v>89</v>
      </c>
      <c r="E2088" s="162" t="s">
        <v>5412</v>
      </c>
    </row>
    <row r="2089" spans="1:5">
      <c r="A2089" t="s">
        <v>3671</v>
      </c>
      <c r="B2089" s="20" t="s">
        <v>3672</v>
      </c>
      <c r="C2089" s="20" t="s">
        <v>604</v>
      </c>
      <c r="E2089" s="162" t="s">
        <v>8541</v>
      </c>
    </row>
    <row r="2090" spans="1:5">
      <c r="A2090" t="s">
        <v>3673</v>
      </c>
      <c r="B2090" s="20" t="s">
        <v>3674</v>
      </c>
      <c r="C2090" s="20" t="s">
        <v>604</v>
      </c>
      <c r="E2090" s="162" t="s">
        <v>8542</v>
      </c>
    </row>
    <row r="2091" spans="1:5">
      <c r="A2091" t="s">
        <v>3675</v>
      </c>
      <c r="B2091" s="20" t="s">
        <v>3676</v>
      </c>
      <c r="C2091" s="20" t="s">
        <v>3677</v>
      </c>
      <c r="E2091" s="162" t="s">
        <v>5407</v>
      </c>
    </row>
    <row r="2092" spans="1:5">
      <c r="A2092" t="s">
        <v>3678</v>
      </c>
      <c r="B2092" s="20" t="s">
        <v>3679</v>
      </c>
      <c r="C2092" s="20" t="s">
        <v>3677</v>
      </c>
      <c r="E2092" s="162" t="s">
        <v>5407</v>
      </c>
    </row>
    <row r="2093" spans="1:5">
      <c r="A2093" t="s">
        <v>3680</v>
      </c>
      <c r="B2093" s="20" t="s">
        <v>3681</v>
      </c>
      <c r="C2093" s="20" t="s">
        <v>3677</v>
      </c>
      <c r="E2093" s="162" t="s">
        <v>5407</v>
      </c>
    </row>
    <row r="2094" spans="1:5">
      <c r="A2094" t="s">
        <v>3682</v>
      </c>
      <c r="B2094" s="20" t="s">
        <v>3683</v>
      </c>
      <c r="C2094" s="20" t="s">
        <v>3677</v>
      </c>
      <c r="E2094" s="162" t="s">
        <v>5407</v>
      </c>
    </row>
    <row r="2095" spans="1:5">
      <c r="A2095" t="s">
        <v>3684</v>
      </c>
      <c r="B2095" s="20" t="s">
        <v>3685</v>
      </c>
      <c r="C2095" s="20" t="s">
        <v>3677</v>
      </c>
      <c r="E2095" s="162" t="s">
        <v>5408</v>
      </c>
    </row>
    <row r="2096" spans="1:5">
      <c r="A2096" t="s">
        <v>3686</v>
      </c>
      <c r="B2096" s="20" t="s">
        <v>3687</v>
      </c>
      <c r="C2096" s="20" t="s">
        <v>3677</v>
      </c>
      <c r="E2096" s="162" t="s">
        <v>5408</v>
      </c>
    </row>
    <row r="2097" spans="1:5">
      <c r="A2097" t="s">
        <v>3688</v>
      </c>
      <c r="B2097" s="20" t="s">
        <v>3689</v>
      </c>
      <c r="C2097" s="20" t="s">
        <v>3677</v>
      </c>
      <c r="E2097" s="162" t="s">
        <v>5408</v>
      </c>
    </row>
    <row r="2098" spans="1:5">
      <c r="A2098" t="s">
        <v>3690</v>
      </c>
      <c r="B2098" s="20" t="s">
        <v>3691</v>
      </c>
      <c r="C2098" s="20" t="s">
        <v>3677</v>
      </c>
      <c r="E2098" s="162" t="s">
        <v>5408</v>
      </c>
    </row>
    <row r="2099" spans="1:5">
      <c r="A2099" t="s">
        <v>3692</v>
      </c>
      <c r="B2099" s="20" t="s">
        <v>3693</v>
      </c>
      <c r="C2099" s="20" t="s">
        <v>90</v>
      </c>
      <c r="E2099" s="162" t="s">
        <v>5414</v>
      </c>
    </row>
    <row r="2100" spans="1:5">
      <c r="A2100" t="s">
        <v>3694</v>
      </c>
      <c r="B2100" s="20" t="s">
        <v>3695</v>
      </c>
      <c r="C2100" s="20" t="s">
        <v>247</v>
      </c>
      <c r="E2100" s="162" t="s">
        <v>5414</v>
      </c>
    </row>
    <row r="2101" spans="1:5">
      <c r="A2101" t="s">
        <v>3696</v>
      </c>
      <c r="B2101" s="20" t="s">
        <v>3697</v>
      </c>
      <c r="C2101" s="20" t="s">
        <v>259</v>
      </c>
      <c r="E2101" s="162" t="s">
        <v>5415</v>
      </c>
    </row>
    <row r="2102" spans="1:5">
      <c r="A2102" t="s">
        <v>3698</v>
      </c>
      <c r="B2102" s="20" t="s">
        <v>3699</v>
      </c>
      <c r="C2102" s="20" t="s">
        <v>247</v>
      </c>
      <c r="E2102" s="162" t="s">
        <v>5415</v>
      </c>
    </row>
    <row r="2103" spans="1:5">
      <c r="A2103" t="s">
        <v>3700</v>
      </c>
      <c r="B2103" s="20" t="s">
        <v>3701</v>
      </c>
      <c r="C2103" s="20" t="s">
        <v>247</v>
      </c>
      <c r="E2103" s="162" t="s">
        <v>5416</v>
      </c>
    </row>
    <row r="2104" spans="1:5">
      <c r="A2104" t="s">
        <v>3702</v>
      </c>
      <c r="B2104" s="20" t="s">
        <v>3703</v>
      </c>
      <c r="C2104" s="20" t="s">
        <v>259</v>
      </c>
      <c r="E2104" s="162" t="s">
        <v>5399</v>
      </c>
    </row>
    <row r="2105" spans="1:5">
      <c r="A2105" t="s">
        <v>3704</v>
      </c>
      <c r="B2105" s="20" t="s">
        <v>3705</v>
      </c>
      <c r="C2105" s="20" t="s">
        <v>259</v>
      </c>
      <c r="E2105" s="162" t="s">
        <v>5399</v>
      </c>
    </row>
    <row r="2106" spans="1:5">
      <c r="A2106" t="s">
        <v>3706</v>
      </c>
      <c r="B2106" s="20" t="s">
        <v>3707</v>
      </c>
      <c r="C2106" s="20" t="s">
        <v>247</v>
      </c>
      <c r="E2106" s="162" t="s">
        <v>5399</v>
      </c>
    </row>
    <row r="2107" spans="1:5">
      <c r="A2107" t="s">
        <v>3708</v>
      </c>
      <c r="B2107" s="20" t="s">
        <v>3709</v>
      </c>
      <c r="C2107" s="20" t="s">
        <v>3710</v>
      </c>
      <c r="E2107" s="162" t="s">
        <v>5399</v>
      </c>
    </row>
    <row r="2108" spans="1:5">
      <c r="A2108" t="s">
        <v>3711</v>
      </c>
      <c r="B2108" s="20" t="s">
        <v>3712</v>
      </c>
      <c r="C2108" s="20" t="s">
        <v>259</v>
      </c>
      <c r="E2108" s="162" t="s">
        <v>5400</v>
      </c>
    </row>
    <row r="2109" spans="1:5">
      <c r="A2109" t="s">
        <v>3713</v>
      </c>
      <c r="B2109" s="20" t="s">
        <v>3714</v>
      </c>
      <c r="C2109" s="20" t="s">
        <v>247</v>
      </c>
      <c r="E2109" s="162" t="s">
        <v>5400</v>
      </c>
    </row>
    <row r="2110" spans="1:5">
      <c r="A2110" t="s">
        <v>3715</v>
      </c>
      <c r="B2110" s="20" t="s">
        <v>3716</v>
      </c>
      <c r="C2110" s="20" t="s">
        <v>3710</v>
      </c>
      <c r="E2110" s="162" t="s">
        <v>5400</v>
      </c>
    </row>
    <row r="2111" spans="1:5">
      <c r="A2111" t="s">
        <v>3717</v>
      </c>
      <c r="B2111" s="20" t="s">
        <v>3718</v>
      </c>
      <c r="C2111" s="20" t="s">
        <v>604</v>
      </c>
      <c r="E2111" s="162" t="s">
        <v>6347</v>
      </c>
    </row>
    <row r="2112" spans="1:5">
      <c r="A2112" t="s">
        <v>3719</v>
      </c>
      <c r="B2112" s="20" t="s">
        <v>3720</v>
      </c>
      <c r="C2112" s="20" t="s">
        <v>604</v>
      </c>
      <c r="E2112" s="162" t="s">
        <v>6349</v>
      </c>
    </row>
    <row r="2113" spans="1:5">
      <c r="A2113" t="s">
        <v>3721</v>
      </c>
      <c r="B2113" s="20" t="s">
        <v>3722</v>
      </c>
      <c r="C2113" s="20" t="s">
        <v>3445</v>
      </c>
      <c r="E2113" s="162" t="s">
        <v>5409</v>
      </c>
    </row>
    <row r="2114" spans="1:5">
      <c r="A2114" t="s">
        <v>3723</v>
      </c>
      <c r="B2114" s="20" t="s">
        <v>3724</v>
      </c>
      <c r="C2114" s="20" t="s">
        <v>3677</v>
      </c>
      <c r="E2114" s="162" t="s">
        <v>5409</v>
      </c>
    </row>
    <row r="2115" spans="1:5">
      <c r="A2115" t="s">
        <v>3725</v>
      </c>
      <c r="B2115" s="20" t="s">
        <v>3726</v>
      </c>
      <c r="C2115" s="20" t="s">
        <v>3710</v>
      </c>
      <c r="E2115" s="162" t="s">
        <v>5409</v>
      </c>
    </row>
    <row r="2116" spans="1:5">
      <c r="A2116" t="s">
        <v>3727</v>
      </c>
      <c r="B2116" s="20" t="s">
        <v>3728</v>
      </c>
      <c r="C2116" s="20" t="s">
        <v>3710</v>
      </c>
      <c r="E2116" s="162" t="s">
        <v>5409</v>
      </c>
    </row>
    <row r="2117" spans="1:5">
      <c r="A2117" t="s">
        <v>3729</v>
      </c>
      <c r="B2117" s="20" t="s">
        <v>3730</v>
      </c>
      <c r="C2117" s="20" t="s">
        <v>194</v>
      </c>
      <c r="E2117" s="162" t="s">
        <v>6354</v>
      </c>
    </row>
    <row r="2118" spans="1:5">
      <c r="A2118" t="s">
        <v>3731</v>
      </c>
      <c r="B2118" s="20" t="s">
        <v>3732</v>
      </c>
      <c r="C2118" s="20" t="s">
        <v>89</v>
      </c>
      <c r="E2118" s="162" t="s">
        <v>5410</v>
      </c>
    </row>
    <row r="2119" spans="1:5">
      <c r="A2119" t="s">
        <v>3733</v>
      </c>
      <c r="B2119" s="20" t="s">
        <v>3734</v>
      </c>
      <c r="C2119" s="20" t="s">
        <v>89</v>
      </c>
      <c r="E2119" s="162" t="s">
        <v>5410</v>
      </c>
    </row>
    <row r="2120" spans="1:5">
      <c r="A2120" t="s">
        <v>3735</v>
      </c>
      <c r="B2120" s="20" t="s">
        <v>3736</v>
      </c>
      <c r="C2120" s="20" t="s">
        <v>89</v>
      </c>
      <c r="E2120" s="162" t="s">
        <v>5410</v>
      </c>
    </row>
    <row r="2121" spans="1:5">
      <c r="A2121" t="s">
        <v>3737</v>
      </c>
      <c r="B2121" s="20" t="s">
        <v>3738</v>
      </c>
      <c r="C2121" s="20" t="s">
        <v>89</v>
      </c>
      <c r="E2121" s="162" t="s">
        <v>5410</v>
      </c>
    </row>
    <row r="2122" spans="1:5">
      <c r="A2122" t="s">
        <v>3739</v>
      </c>
      <c r="B2122" s="20" t="s">
        <v>3740</v>
      </c>
      <c r="C2122" s="20" t="s">
        <v>89</v>
      </c>
      <c r="E2122" s="162" t="s">
        <v>5410</v>
      </c>
    </row>
    <row r="2123" spans="1:5">
      <c r="A2123" t="s">
        <v>3741</v>
      </c>
      <c r="B2123" s="20" t="s">
        <v>3742</v>
      </c>
      <c r="C2123" s="20" t="s">
        <v>89</v>
      </c>
      <c r="E2123" s="162" t="s">
        <v>5410</v>
      </c>
    </row>
    <row r="2124" spans="1:5">
      <c r="A2124" t="s">
        <v>3743</v>
      </c>
      <c r="B2124" s="20" t="s">
        <v>3744</v>
      </c>
      <c r="C2124" s="20" t="s">
        <v>89</v>
      </c>
      <c r="E2124" s="162" t="s">
        <v>5410</v>
      </c>
    </row>
    <row r="2125" spans="1:5">
      <c r="A2125" t="s">
        <v>3745</v>
      </c>
      <c r="B2125" s="20" t="s">
        <v>3746</v>
      </c>
      <c r="C2125" s="20" t="s">
        <v>254</v>
      </c>
      <c r="E2125" s="162" t="s">
        <v>5421</v>
      </c>
    </row>
    <row r="2126" spans="1:5">
      <c r="A2126" t="s">
        <v>3747</v>
      </c>
      <c r="B2126" s="20" t="s">
        <v>3748</v>
      </c>
      <c r="C2126" s="20" t="s">
        <v>194</v>
      </c>
      <c r="E2126" s="162" t="s">
        <v>4829</v>
      </c>
    </row>
    <row r="2127" spans="1:5">
      <c r="A2127" t="s">
        <v>3747</v>
      </c>
      <c r="B2127" s="20" t="s">
        <v>3748</v>
      </c>
      <c r="C2127" s="20" t="s">
        <v>194</v>
      </c>
      <c r="E2127" s="162" t="s">
        <v>4829</v>
      </c>
    </row>
    <row r="2128" spans="1:5">
      <c r="A2128" t="s">
        <v>3749</v>
      </c>
      <c r="B2128" s="20" t="s">
        <v>3750</v>
      </c>
      <c r="C2128" s="20" t="s">
        <v>259</v>
      </c>
      <c r="E2128" s="162" t="s">
        <v>8543</v>
      </c>
    </row>
    <row r="2129" spans="1:5">
      <c r="A2129" t="s">
        <v>3749</v>
      </c>
      <c r="B2129" s="20" t="s">
        <v>3750</v>
      </c>
      <c r="C2129" s="20" t="s">
        <v>259</v>
      </c>
      <c r="E2129" s="162" t="s">
        <v>8543</v>
      </c>
    </row>
    <row r="2130" spans="1:5">
      <c r="A2130" t="s">
        <v>3751</v>
      </c>
      <c r="B2130" s="20" t="s">
        <v>3752</v>
      </c>
      <c r="C2130" s="20" t="s">
        <v>259</v>
      </c>
      <c r="E2130" s="162" t="s">
        <v>8543</v>
      </c>
    </row>
    <row r="2131" spans="1:5">
      <c r="A2131" t="s">
        <v>3751</v>
      </c>
      <c r="B2131" s="20" t="s">
        <v>3752</v>
      </c>
      <c r="C2131" s="20" t="s">
        <v>259</v>
      </c>
      <c r="E2131" s="162" t="s">
        <v>8543</v>
      </c>
    </row>
    <row r="2132" spans="1:5">
      <c r="A2132" t="s">
        <v>3753</v>
      </c>
      <c r="B2132" s="20" t="s">
        <v>3754</v>
      </c>
      <c r="C2132" s="20" t="s">
        <v>254</v>
      </c>
      <c r="E2132" s="162" t="s">
        <v>5734</v>
      </c>
    </row>
    <row r="2133" spans="1:5">
      <c r="A2133" t="s">
        <v>3755</v>
      </c>
      <c r="B2133" s="20" t="s">
        <v>3756</v>
      </c>
      <c r="C2133" s="20" t="s">
        <v>254</v>
      </c>
      <c r="E2133" s="162" t="s">
        <v>5734</v>
      </c>
    </row>
    <row r="2134" spans="1:5">
      <c r="A2134" t="s">
        <v>3757</v>
      </c>
      <c r="B2134" s="20" t="s">
        <v>3758</v>
      </c>
      <c r="C2134" s="20" t="s">
        <v>414</v>
      </c>
      <c r="E2134" s="162" t="s">
        <v>5734</v>
      </c>
    </row>
    <row r="2135" spans="1:5">
      <c r="A2135" t="s">
        <v>3759</v>
      </c>
      <c r="B2135" s="20" t="s">
        <v>3760</v>
      </c>
      <c r="C2135" s="20" t="s">
        <v>414</v>
      </c>
      <c r="E2135" s="162" t="s">
        <v>5734</v>
      </c>
    </row>
    <row r="2136" spans="1:5">
      <c r="A2136" t="s">
        <v>3761</v>
      </c>
      <c r="B2136" s="20" t="s">
        <v>3762</v>
      </c>
      <c r="C2136" s="20" t="s">
        <v>254</v>
      </c>
      <c r="E2136" s="162" t="s">
        <v>5734</v>
      </c>
    </row>
    <row r="2137" spans="1:5">
      <c r="A2137" t="s">
        <v>3761</v>
      </c>
      <c r="B2137" s="20" t="s">
        <v>3762</v>
      </c>
      <c r="C2137" s="20" t="s">
        <v>254</v>
      </c>
      <c r="E2137" s="162" t="s">
        <v>5734</v>
      </c>
    </row>
    <row r="2138" spans="1:5">
      <c r="A2138" t="s">
        <v>3761</v>
      </c>
      <c r="B2138" s="20" t="s">
        <v>3763</v>
      </c>
      <c r="C2138" s="20" t="s">
        <v>88</v>
      </c>
      <c r="E2138" s="162" t="s">
        <v>5734</v>
      </c>
    </row>
    <row r="2139" spans="1:5">
      <c r="A2139" t="s">
        <v>3764</v>
      </c>
      <c r="B2139" s="20" t="s">
        <v>3765</v>
      </c>
      <c r="C2139" s="20" t="s">
        <v>88</v>
      </c>
      <c r="E2139" s="162" t="s">
        <v>8544</v>
      </c>
    </row>
    <row r="2140" spans="1:5">
      <c r="A2140" t="s">
        <v>3766</v>
      </c>
      <c r="B2140" s="20" t="s">
        <v>3767</v>
      </c>
      <c r="C2140" s="20" t="s">
        <v>254</v>
      </c>
      <c r="E2140" s="162" t="s">
        <v>5734</v>
      </c>
    </row>
    <row r="2141" spans="1:5">
      <c r="A2141" t="s">
        <v>3768</v>
      </c>
      <c r="B2141" s="20" t="s">
        <v>3769</v>
      </c>
      <c r="C2141" s="20" t="s">
        <v>89</v>
      </c>
      <c r="E2141" s="162" t="s">
        <v>5614</v>
      </c>
    </row>
    <row r="2142" spans="1:5">
      <c r="A2142" t="s">
        <v>3770</v>
      </c>
      <c r="B2142" s="20" t="s">
        <v>3771</v>
      </c>
      <c r="C2142" s="20" t="s">
        <v>89</v>
      </c>
      <c r="E2142" s="162" t="s">
        <v>5614</v>
      </c>
    </row>
    <row r="2143" spans="1:5">
      <c r="A2143" t="s">
        <v>3770</v>
      </c>
      <c r="B2143" s="20" t="s">
        <v>3771</v>
      </c>
      <c r="C2143" s="20" t="s">
        <v>89</v>
      </c>
      <c r="E2143" s="162" t="s">
        <v>5614</v>
      </c>
    </row>
    <row r="2144" spans="1:5">
      <c r="A2144" t="s">
        <v>3772</v>
      </c>
      <c r="B2144" s="20" t="s">
        <v>3773</v>
      </c>
      <c r="C2144" s="20" t="s">
        <v>89</v>
      </c>
      <c r="E2144" s="162" t="s">
        <v>5614</v>
      </c>
    </row>
    <row r="2145" spans="1:5">
      <c r="A2145" t="s">
        <v>3774</v>
      </c>
      <c r="B2145" s="20" t="s">
        <v>3775</v>
      </c>
      <c r="C2145" s="20" t="s">
        <v>90</v>
      </c>
      <c r="E2145" s="162" t="s">
        <v>4970</v>
      </c>
    </row>
    <row r="2146" spans="1:5">
      <c r="A2146" t="s">
        <v>3776</v>
      </c>
      <c r="B2146" s="20" t="s">
        <v>3777</v>
      </c>
      <c r="C2146" s="20" t="s">
        <v>90</v>
      </c>
      <c r="E2146" s="162" t="s">
        <v>4971</v>
      </c>
    </row>
    <row r="2147" spans="1:5">
      <c r="A2147" t="s">
        <v>3778</v>
      </c>
      <c r="B2147" s="20" t="s">
        <v>3779</v>
      </c>
      <c r="C2147" s="20" t="s">
        <v>89</v>
      </c>
      <c r="E2147" s="162" t="s">
        <v>8545</v>
      </c>
    </row>
    <row r="2148" spans="1:5">
      <c r="A2148" t="s">
        <v>3778</v>
      </c>
      <c r="B2148" s="20" t="s">
        <v>3779</v>
      </c>
      <c r="C2148" s="20" t="s">
        <v>89</v>
      </c>
      <c r="E2148" s="162" t="s">
        <v>8545</v>
      </c>
    </row>
    <row r="2149" spans="1:5">
      <c r="A2149" t="s">
        <v>3780</v>
      </c>
      <c r="B2149" s="20" t="s">
        <v>3781</v>
      </c>
      <c r="C2149" s="20" t="s">
        <v>90</v>
      </c>
      <c r="E2149" s="162" t="s">
        <v>100</v>
      </c>
    </row>
    <row r="2150" spans="1:5">
      <c r="A2150" t="s">
        <v>3782</v>
      </c>
      <c r="B2150" s="20" t="s">
        <v>3783</v>
      </c>
      <c r="C2150" s="20" t="s">
        <v>90</v>
      </c>
      <c r="E2150" s="162" t="s">
        <v>8546</v>
      </c>
    </row>
    <row r="2151" spans="1:5">
      <c r="A2151" t="s">
        <v>13</v>
      </c>
      <c r="B2151" s="20" t="s">
        <v>51</v>
      </c>
      <c r="C2151" s="20" t="s">
        <v>89</v>
      </c>
      <c r="E2151" s="162" t="s">
        <v>100</v>
      </c>
    </row>
    <row r="2152" spans="1:5">
      <c r="A2152" t="s">
        <v>13</v>
      </c>
      <c r="B2152" s="20" t="s">
        <v>51</v>
      </c>
      <c r="C2152" s="20" t="s">
        <v>89</v>
      </c>
      <c r="E2152" s="162" t="s">
        <v>100</v>
      </c>
    </row>
    <row r="2153" spans="1:5">
      <c r="A2153" t="s">
        <v>3784</v>
      </c>
      <c r="B2153" s="20" t="s">
        <v>3785</v>
      </c>
      <c r="C2153" s="20" t="s">
        <v>90</v>
      </c>
      <c r="E2153" s="162" t="s">
        <v>8546</v>
      </c>
    </row>
    <row r="2154" spans="1:5">
      <c r="A2154" t="s">
        <v>3786</v>
      </c>
      <c r="B2154" s="20" t="s">
        <v>3787</v>
      </c>
      <c r="C2154" s="20" t="s">
        <v>89</v>
      </c>
      <c r="E2154" s="162" t="s">
        <v>8546</v>
      </c>
    </row>
    <row r="2155" spans="1:5">
      <c r="A2155" t="s">
        <v>3788</v>
      </c>
      <c r="B2155" s="20" t="s">
        <v>3789</v>
      </c>
      <c r="C2155" s="20" t="s">
        <v>90</v>
      </c>
      <c r="E2155" s="162" t="s">
        <v>8546</v>
      </c>
    </row>
    <row r="2156" spans="1:5">
      <c r="A2156" t="s">
        <v>3790</v>
      </c>
      <c r="B2156" s="20" t="s">
        <v>3791</v>
      </c>
      <c r="C2156" s="20" t="s">
        <v>89</v>
      </c>
      <c r="E2156" s="162" t="s">
        <v>8546</v>
      </c>
    </row>
    <row r="2157" spans="1:5">
      <c r="A2157" t="s">
        <v>3792</v>
      </c>
      <c r="B2157" s="20" t="s">
        <v>3793</v>
      </c>
      <c r="C2157" s="20" t="s">
        <v>90</v>
      </c>
      <c r="E2157" s="162" t="s">
        <v>8546</v>
      </c>
    </row>
    <row r="2158" spans="1:5">
      <c r="A2158" t="s">
        <v>3794</v>
      </c>
      <c r="B2158" s="20" t="s">
        <v>3795</v>
      </c>
      <c r="C2158" s="20" t="s">
        <v>90</v>
      </c>
      <c r="E2158" s="162" t="s">
        <v>8546</v>
      </c>
    </row>
    <row r="2159" spans="1:5">
      <c r="A2159" t="s">
        <v>3796</v>
      </c>
      <c r="B2159" s="20" t="s">
        <v>3797</v>
      </c>
      <c r="C2159" s="20" t="s">
        <v>90</v>
      </c>
      <c r="E2159" s="162" t="s">
        <v>8546</v>
      </c>
    </row>
    <row r="2160" spans="1:5">
      <c r="A2160" t="s">
        <v>43</v>
      </c>
      <c r="B2160" s="20" t="s">
        <v>81</v>
      </c>
      <c r="C2160" s="20" t="s">
        <v>90</v>
      </c>
      <c r="E2160" s="162" t="s">
        <v>116</v>
      </c>
    </row>
    <row r="2161" spans="1:5">
      <c r="A2161" t="s">
        <v>48</v>
      </c>
      <c r="B2161" s="20" t="s">
        <v>86</v>
      </c>
      <c r="C2161" s="20" t="s">
        <v>90</v>
      </c>
      <c r="E2161" s="162" t="s">
        <v>8547</v>
      </c>
    </row>
    <row r="2162" spans="1:5">
      <c r="A2162" t="s">
        <v>49</v>
      </c>
      <c r="B2162" s="20" t="s">
        <v>87</v>
      </c>
      <c r="C2162" s="20" t="s">
        <v>90</v>
      </c>
      <c r="E2162" s="162" t="s">
        <v>8547</v>
      </c>
    </row>
    <row r="2163" spans="1:5">
      <c r="A2163" t="s">
        <v>3798</v>
      </c>
      <c r="B2163" s="20" t="s">
        <v>3799</v>
      </c>
      <c r="C2163" s="20" t="s">
        <v>775</v>
      </c>
      <c r="E2163" s="162" t="s">
        <v>8548</v>
      </c>
    </row>
    <row r="2164" spans="1:5">
      <c r="A2164" t="s">
        <v>3798</v>
      </c>
      <c r="B2164" s="20" t="s">
        <v>3799</v>
      </c>
      <c r="C2164" s="20" t="s">
        <v>775</v>
      </c>
      <c r="E2164" s="162" t="s">
        <v>8548</v>
      </c>
    </row>
    <row r="2165" spans="1:5">
      <c r="A2165" t="s">
        <v>3800</v>
      </c>
      <c r="B2165" s="20" t="s">
        <v>3801</v>
      </c>
      <c r="C2165" s="20" t="s">
        <v>775</v>
      </c>
      <c r="E2165" s="162" t="s">
        <v>8548</v>
      </c>
    </row>
    <row r="2166" spans="1:5">
      <c r="A2166" t="s">
        <v>3800</v>
      </c>
      <c r="B2166" s="20" t="s">
        <v>3801</v>
      </c>
      <c r="C2166" s="20" t="s">
        <v>775</v>
      </c>
      <c r="E2166" s="162" t="s">
        <v>8548</v>
      </c>
    </row>
    <row r="2167" spans="1:5">
      <c r="A2167" t="s">
        <v>3802</v>
      </c>
      <c r="B2167" s="20" t="s">
        <v>3803</v>
      </c>
      <c r="C2167" s="20" t="s">
        <v>89</v>
      </c>
      <c r="E2167" s="162" t="s">
        <v>100</v>
      </c>
    </row>
    <row r="2168" spans="1:5">
      <c r="A2168" t="s">
        <v>3802</v>
      </c>
      <c r="B2168" s="20" t="s">
        <v>3803</v>
      </c>
      <c r="C2168" s="20" t="s">
        <v>89</v>
      </c>
      <c r="E2168" s="162" t="s">
        <v>100</v>
      </c>
    </row>
    <row r="2169" spans="1:5">
      <c r="A2169" t="s">
        <v>3804</v>
      </c>
      <c r="B2169" s="20" t="s">
        <v>3805</v>
      </c>
      <c r="C2169" s="20" t="s">
        <v>89</v>
      </c>
      <c r="E2169" s="162" t="s">
        <v>100</v>
      </c>
    </row>
    <row r="2170" spans="1:5">
      <c r="A2170" t="s">
        <v>3804</v>
      </c>
      <c r="B2170" s="20" t="s">
        <v>3805</v>
      </c>
      <c r="C2170" s="20" t="s">
        <v>89</v>
      </c>
      <c r="E2170" s="162" t="s">
        <v>100</v>
      </c>
    </row>
    <row r="2171" spans="1:5">
      <c r="A2171" t="s">
        <v>3806</v>
      </c>
      <c r="B2171" s="20" t="s">
        <v>3807</v>
      </c>
      <c r="C2171" s="20" t="s">
        <v>3808</v>
      </c>
      <c r="E2171" s="162" t="s">
        <v>4972</v>
      </c>
    </row>
    <row r="2172" spans="1:5">
      <c r="A2172" t="s">
        <v>3809</v>
      </c>
      <c r="B2172" s="20" t="s">
        <v>3810</v>
      </c>
      <c r="C2172" s="20" t="s">
        <v>3808</v>
      </c>
      <c r="E2172" s="162" t="s">
        <v>4972</v>
      </c>
    </row>
    <row r="2173" spans="1:5">
      <c r="A2173" t="s">
        <v>3811</v>
      </c>
      <c r="B2173" s="20" t="s">
        <v>3812</v>
      </c>
      <c r="C2173" s="20" t="s">
        <v>90</v>
      </c>
      <c r="E2173" s="162" t="s">
        <v>4972</v>
      </c>
    </row>
    <row r="2174" spans="1:5">
      <c r="A2174" t="s">
        <v>3813</v>
      </c>
      <c r="B2174" s="20" t="s">
        <v>3814</v>
      </c>
      <c r="C2174" s="20" t="s">
        <v>589</v>
      </c>
      <c r="E2174" s="162" t="s">
        <v>4972</v>
      </c>
    </row>
    <row r="2175" spans="1:5">
      <c r="A2175" t="s">
        <v>3815</v>
      </c>
      <c r="B2175" s="20" t="s">
        <v>3816</v>
      </c>
      <c r="C2175" s="20" t="s">
        <v>3054</v>
      </c>
      <c r="E2175" s="162" t="s">
        <v>4972</v>
      </c>
    </row>
    <row r="2176" spans="1:5">
      <c r="A2176" t="s">
        <v>3817</v>
      </c>
      <c r="B2176" s="20" t="s">
        <v>3818</v>
      </c>
      <c r="C2176" s="20" t="s">
        <v>90</v>
      </c>
      <c r="E2176" s="162" t="s">
        <v>5614</v>
      </c>
    </row>
    <row r="2177" spans="1:5">
      <c r="A2177" t="s">
        <v>3819</v>
      </c>
      <c r="B2177" s="20" t="s">
        <v>3820</v>
      </c>
      <c r="C2177" s="20" t="s">
        <v>89</v>
      </c>
      <c r="E2177" s="162" t="s">
        <v>5614</v>
      </c>
    </row>
    <row r="2178" spans="1:5">
      <c r="A2178" t="s">
        <v>3819</v>
      </c>
      <c r="B2178" s="20" t="s">
        <v>3820</v>
      </c>
      <c r="C2178" s="20" t="s">
        <v>89</v>
      </c>
      <c r="E2178" s="162" t="s">
        <v>5614</v>
      </c>
    </row>
    <row r="2179" spans="1:5">
      <c r="A2179" t="s">
        <v>3821</v>
      </c>
      <c r="B2179" s="20" t="s">
        <v>3822</v>
      </c>
      <c r="C2179" s="20" t="s">
        <v>90</v>
      </c>
      <c r="E2179" s="162" t="s">
        <v>5614</v>
      </c>
    </row>
    <row r="2180" spans="1:5">
      <c r="A2180" t="s">
        <v>3823</v>
      </c>
      <c r="B2180" s="20" t="s">
        <v>3824</v>
      </c>
      <c r="C2180" s="20" t="s">
        <v>3825</v>
      </c>
      <c r="E2180" s="162" t="s">
        <v>6264</v>
      </c>
    </row>
    <row r="2181" spans="1:5">
      <c r="A2181" t="s">
        <v>3826</v>
      </c>
      <c r="B2181" s="20" t="s">
        <v>3827</v>
      </c>
      <c r="C2181" s="20" t="s">
        <v>3825</v>
      </c>
      <c r="E2181" s="162" t="s">
        <v>6264</v>
      </c>
    </row>
    <row r="2182" spans="1:5">
      <c r="A2182" t="s">
        <v>3828</v>
      </c>
      <c r="B2182" s="20" t="s">
        <v>3829</v>
      </c>
      <c r="C2182" s="20" t="s">
        <v>3825</v>
      </c>
      <c r="E2182" s="162" t="s">
        <v>6264</v>
      </c>
    </row>
    <row r="2183" spans="1:5">
      <c r="A2183" t="s">
        <v>3830</v>
      </c>
      <c r="B2183" s="20" t="s">
        <v>3831</v>
      </c>
      <c r="C2183" s="20" t="s">
        <v>604</v>
      </c>
      <c r="E2183" s="162" t="s">
        <v>5547</v>
      </c>
    </row>
    <row r="2184" spans="1:5">
      <c r="A2184" t="s">
        <v>3832</v>
      </c>
      <c r="B2184" s="20" t="s">
        <v>3833</v>
      </c>
      <c r="C2184" s="20" t="s">
        <v>604</v>
      </c>
      <c r="E2184" s="162" t="s">
        <v>5547</v>
      </c>
    </row>
    <row r="2185" spans="1:5">
      <c r="A2185" t="s">
        <v>3834</v>
      </c>
      <c r="B2185" s="20" t="s">
        <v>3835</v>
      </c>
      <c r="C2185" s="20" t="s">
        <v>604</v>
      </c>
      <c r="E2185" s="162" t="s">
        <v>5547</v>
      </c>
    </row>
    <row r="2186" spans="1:5">
      <c r="A2186" t="s">
        <v>3836</v>
      </c>
      <c r="B2186" s="20" t="s">
        <v>3837</v>
      </c>
      <c r="C2186" s="20" t="s">
        <v>604</v>
      </c>
      <c r="E2186" s="162" t="s">
        <v>5606</v>
      </c>
    </row>
    <row r="2187" spans="1:5">
      <c r="A2187" t="s">
        <v>3838</v>
      </c>
      <c r="B2187" s="20" t="s">
        <v>3839</v>
      </c>
      <c r="C2187" s="20" t="s">
        <v>604</v>
      </c>
      <c r="E2187" s="162" t="s">
        <v>5547</v>
      </c>
    </row>
    <row r="2188" spans="1:5">
      <c r="A2188" t="s">
        <v>3840</v>
      </c>
      <c r="B2188" s="20" t="s">
        <v>3841</v>
      </c>
      <c r="C2188" s="20" t="s">
        <v>604</v>
      </c>
      <c r="E2188" s="162" t="s">
        <v>5691</v>
      </c>
    </row>
    <row r="2189" spans="1:5">
      <c r="A2189" t="s">
        <v>3840</v>
      </c>
      <c r="B2189" s="20" t="s">
        <v>3841</v>
      </c>
      <c r="C2189" s="20" t="s">
        <v>604</v>
      </c>
      <c r="E2189" s="162" t="s">
        <v>5691</v>
      </c>
    </row>
    <row r="2190" spans="1:5">
      <c r="A2190" t="s">
        <v>3842</v>
      </c>
      <c r="B2190" s="20" t="s">
        <v>3843</v>
      </c>
      <c r="C2190" s="20" t="s">
        <v>604</v>
      </c>
      <c r="E2190" s="162" t="s">
        <v>5691</v>
      </c>
    </row>
    <row r="2191" spans="1:5">
      <c r="A2191" t="s">
        <v>3842</v>
      </c>
      <c r="B2191" s="20" t="s">
        <v>3843</v>
      </c>
      <c r="C2191" s="20" t="s">
        <v>604</v>
      </c>
      <c r="E2191" s="162" t="s">
        <v>5691</v>
      </c>
    </row>
    <row r="2192" spans="1:5">
      <c r="A2192" t="s">
        <v>3844</v>
      </c>
      <c r="B2192" s="20" t="s">
        <v>3845</v>
      </c>
      <c r="C2192" s="20" t="s">
        <v>604</v>
      </c>
      <c r="E2192" s="162" t="s">
        <v>5548</v>
      </c>
    </row>
    <row r="2193" spans="1:5">
      <c r="A2193" t="s">
        <v>3846</v>
      </c>
      <c r="B2193" s="20" t="s">
        <v>3847</v>
      </c>
      <c r="C2193" s="20" t="s">
        <v>604</v>
      </c>
      <c r="E2193" s="162" t="s">
        <v>5548</v>
      </c>
    </row>
    <row r="2194" spans="1:5">
      <c r="A2194" t="s">
        <v>3848</v>
      </c>
      <c r="B2194" s="20" t="s">
        <v>3849</v>
      </c>
      <c r="C2194" s="20" t="s">
        <v>604</v>
      </c>
      <c r="E2194" s="162" t="s">
        <v>5548</v>
      </c>
    </row>
    <row r="2195" spans="1:5">
      <c r="A2195" t="s">
        <v>3850</v>
      </c>
      <c r="B2195" s="20" t="s">
        <v>3851</v>
      </c>
      <c r="C2195" s="20" t="s">
        <v>604</v>
      </c>
      <c r="E2195" s="162" t="s">
        <v>5548</v>
      </c>
    </row>
    <row r="2196" spans="1:5">
      <c r="A2196" t="s">
        <v>3852</v>
      </c>
      <c r="B2196" s="20" t="s">
        <v>3853</v>
      </c>
      <c r="C2196" s="20" t="s">
        <v>604</v>
      </c>
      <c r="E2196" s="162" t="s">
        <v>5548</v>
      </c>
    </row>
    <row r="2197" spans="1:5">
      <c r="A2197" t="s">
        <v>3854</v>
      </c>
      <c r="B2197" s="20" t="s">
        <v>3855</v>
      </c>
      <c r="C2197" s="20" t="s">
        <v>604</v>
      </c>
      <c r="E2197" s="162" t="s">
        <v>5691</v>
      </c>
    </row>
    <row r="2198" spans="1:5">
      <c r="A2198" t="s">
        <v>3856</v>
      </c>
      <c r="B2198" s="20" t="s">
        <v>3857</v>
      </c>
      <c r="C2198" s="20" t="s">
        <v>604</v>
      </c>
      <c r="E2198" s="162" t="s">
        <v>5691</v>
      </c>
    </row>
    <row r="2199" spans="1:5">
      <c r="A2199" t="s">
        <v>3858</v>
      </c>
      <c r="B2199" s="20" t="s">
        <v>3859</v>
      </c>
      <c r="C2199" s="20" t="s">
        <v>90</v>
      </c>
      <c r="E2199" s="162" t="s">
        <v>6640</v>
      </c>
    </row>
    <row r="2200" spans="1:5">
      <c r="A2200" t="s">
        <v>3860</v>
      </c>
      <c r="B2200" s="20" t="s">
        <v>3861</v>
      </c>
      <c r="C2200" s="20" t="s">
        <v>604</v>
      </c>
      <c r="E2200" s="162" t="s">
        <v>5548</v>
      </c>
    </row>
    <row r="2201" spans="1:5">
      <c r="A2201" t="s">
        <v>3862</v>
      </c>
      <c r="B2201" s="20" t="s">
        <v>3863</v>
      </c>
      <c r="C2201" s="20" t="s">
        <v>604</v>
      </c>
      <c r="E2201" s="162" t="s">
        <v>5548</v>
      </c>
    </row>
    <row r="2202" spans="1:5">
      <c r="A2202" t="s">
        <v>3862</v>
      </c>
      <c r="B2202" s="20" t="s">
        <v>3863</v>
      </c>
      <c r="C2202" s="20" t="s">
        <v>604</v>
      </c>
      <c r="E2202" s="162" t="s">
        <v>5548</v>
      </c>
    </row>
    <row r="2203" spans="1:5">
      <c r="A2203" t="s">
        <v>3864</v>
      </c>
      <c r="B2203" s="20" t="s">
        <v>3865</v>
      </c>
      <c r="C2203" s="20" t="s">
        <v>604</v>
      </c>
      <c r="E2203" s="162" t="s">
        <v>5548</v>
      </c>
    </row>
    <row r="2204" spans="1:5">
      <c r="A2204" t="s">
        <v>3864</v>
      </c>
      <c r="B2204" s="20" t="s">
        <v>3865</v>
      </c>
      <c r="C2204" s="20" t="s">
        <v>604</v>
      </c>
      <c r="E2204" s="162" t="s">
        <v>5548</v>
      </c>
    </row>
    <row r="2205" spans="1:5">
      <c r="A2205" t="s">
        <v>3866</v>
      </c>
      <c r="B2205" s="20" t="s">
        <v>3867</v>
      </c>
      <c r="C2205" s="20" t="s">
        <v>604</v>
      </c>
      <c r="E2205" s="162" t="s">
        <v>5548</v>
      </c>
    </row>
    <row r="2206" spans="1:5">
      <c r="A2206" t="s">
        <v>3866</v>
      </c>
      <c r="B2206" s="20" t="s">
        <v>3867</v>
      </c>
      <c r="C2206" s="20" t="s">
        <v>604</v>
      </c>
      <c r="E2206" s="162" t="s">
        <v>5548</v>
      </c>
    </row>
    <row r="2207" spans="1:5">
      <c r="A2207" t="s">
        <v>3868</v>
      </c>
      <c r="B2207" s="20" t="s">
        <v>3869</v>
      </c>
      <c r="C2207" s="20" t="s">
        <v>604</v>
      </c>
      <c r="E2207" s="162" t="s">
        <v>5548</v>
      </c>
    </row>
    <row r="2208" spans="1:5">
      <c r="A2208" t="s">
        <v>3870</v>
      </c>
      <c r="B2208" s="20" t="s">
        <v>3871</v>
      </c>
      <c r="C2208" s="20" t="s">
        <v>604</v>
      </c>
      <c r="E2208" s="162" t="s">
        <v>5548</v>
      </c>
    </row>
    <row r="2209" spans="1:5">
      <c r="A2209" t="s">
        <v>3872</v>
      </c>
      <c r="B2209" s="20" t="s">
        <v>3873</v>
      </c>
      <c r="C2209" s="20" t="s">
        <v>604</v>
      </c>
      <c r="E2209" s="162" t="s">
        <v>5548</v>
      </c>
    </row>
    <row r="2210" spans="1:5">
      <c r="A2210" t="s">
        <v>3872</v>
      </c>
      <c r="B2210" s="20" t="s">
        <v>3873</v>
      </c>
      <c r="C2210" s="20" t="s">
        <v>604</v>
      </c>
      <c r="E2210" s="162" t="s">
        <v>5548</v>
      </c>
    </row>
    <row r="2211" spans="1:5">
      <c r="A2211" t="s">
        <v>3874</v>
      </c>
      <c r="B2211" s="20" t="s">
        <v>3875</v>
      </c>
      <c r="C2211" s="20" t="s">
        <v>604</v>
      </c>
      <c r="E2211" s="162" t="s">
        <v>5548</v>
      </c>
    </row>
    <row r="2212" spans="1:5">
      <c r="A2212" t="s">
        <v>3874</v>
      </c>
      <c r="B2212" s="20" t="s">
        <v>3875</v>
      </c>
      <c r="C2212" s="20" t="s">
        <v>604</v>
      </c>
      <c r="E2212" s="162" t="s">
        <v>5548</v>
      </c>
    </row>
    <row r="2213" spans="1:5">
      <c r="A2213" t="s">
        <v>3876</v>
      </c>
      <c r="B2213" s="20" t="s">
        <v>3877</v>
      </c>
      <c r="C2213" s="20" t="s">
        <v>604</v>
      </c>
      <c r="E2213" s="162" t="s">
        <v>5548</v>
      </c>
    </row>
    <row r="2214" spans="1:5">
      <c r="A2214" t="s">
        <v>3876</v>
      </c>
      <c r="B2214" s="20" t="s">
        <v>3877</v>
      </c>
      <c r="C2214" s="20" t="s">
        <v>604</v>
      </c>
      <c r="E2214" s="162" t="s">
        <v>5548</v>
      </c>
    </row>
    <row r="2215" spans="1:5">
      <c r="A2215" t="s">
        <v>3878</v>
      </c>
      <c r="B2215" s="20" t="s">
        <v>3879</v>
      </c>
      <c r="C2215" s="20" t="s">
        <v>604</v>
      </c>
      <c r="E2215" s="162" t="s">
        <v>5548</v>
      </c>
    </row>
    <row r="2216" spans="1:5">
      <c r="A2216" t="s">
        <v>3878</v>
      </c>
      <c r="B2216" s="20" t="s">
        <v>3879</v>
      </c>
      <c r="C2216" s="20" t="s">
        <v>604</v>
      </c>
      <c r="E2216" s="162" t="s">
        <v>5548</v>
      </c>
    </row>
    <row r="2217" spans="1:5">
      <c r="A2217" t="s">
        <v>3880</v>
      </c>
      <c r="B2217" s="20" t="s">
        <v>3881</v>
      </c>
      <c r="C2217" s="20" t="s">
        <v>604</v>
      </c>
      <c r="E2217" s="162" t="s">
        <v>5548</v>
      </c>
    </row>
    <row r="2218" spans="1:5">
      <c r="A2218" t="s">
        <v>3882</v>
      </c>
      <c r="B2218" s="20" t="s">
        <v>3883</v>
      </c>
      <c r="C2218" s="20" t="s">
        <v>604</v>
      </c>
      <c r="E2218" s="162" t="s">
        <v>5691</v>
      </c>
    </row>
    <row r="2219" spans="1:5">
      <c r="A2219" t="s">
        <v>3884</v>
      </c>
      <c r="B2219" s="20" t="s">
        <v>3885</v>
      </c>
      <c r="C2219" s="20" t="s">
        <v>604</v>
      </c>
      <c r="E2219" s="162" t="s">
        <v>5548</v>
      </c>
    </row>
    <row r="2220" spans="1:5">
      <c r="A2220" t="s">
        <v>3886</v>
      </c>
      <c r="B2220" s="20" t="s">
        <v>3887</v>
      </c>
      <c r="C2220" s="20" t="s">
        <v>604</v>
      </c>
      <c r="E2220" s="162" t="s">
        <v>5548</v>
      </c>
    </row>
    <row r="2221" spans="1:5">
      <c r="A2221" t="s">
        <v>3888</v>
      </c>
      <c r="B2221" s="20" t="s">
        <v>3889</v>
      </c>
      <c r="C2221" s="20" t="s">
        <v>604</v>
      </c>
      <c r="E2221" s="162" t="s">
        <v>5691</v>
      </c>
    </row>
    <row r="2222" spans="1:5">
      <c r="A2222" t="s">
        <v>3890</v>
      </c>
      <c r="B2222" s="20" t="s">
        <v>3891</v>
      </c>
      <c r="C2222" s="20" t="s">
        <v>604</v>
      </c>
      <c r="E2222" s="162" t="s">
        <v>5691</v>
      </c>
    </row>
    <row r="2223" spans="1:5">
      <c r="A2223" t="s">
        <v>3892</v>
      </c>
      <c r="B2223" s="20" t="s">
        <v>3893</v>
      </c>
      <c r="C2223" s="20" t="s">
        <v>604</v>
      </c>
      <c r="E2223" s="162" t="s">
        <v>5691</v>
      </c>
    </row>
    <row r="2224" spans="1:5">
      <c r="A2224" t="s">
        <v>3894</v>
      </c>
      <c r="B2224" s="20" t="s">
        <v>3895</v>
      </c>
      <c r="C2224" s="20" t="s">
        <v>604</v>
      </c>
      <c r="E2224" s="162" t="s">
        <v>5691</v>
      </c>
    </row>
    <row r="2225" spans="1:5">
      <c r="A2225" t="s">
        <v>3894</v>
      </c>
      <c r="B2225" s="20" t="s">
        <v>3895</v>
      </c>
      <c r="C2225" s="20" t="s">
        <v>604</v>
      </c>
      <c r="E2225" s="162" t="s">
        <v>5691</v>
      </c>
    </row>
    <row r="2226" spans="1:5">
      <c r="A2226" t="s">
        <v>3896</v>
      </c>
      <c r="B2226" s="20" t="s">
        <v>3897</v>
      </c>
      <c r="C2226" s="20" t="s">
        <v>604</v>
      </c>
      <c r="E2226" s="162" t="s">
        <v>5691</v>
      </c>
    </row>
    <row r="2227" spans="1:5">
      <c r="A2227" t="s">
        <v>3896</v>
      </c>
      <c r="B2227" s="20" t="s">
        <v>3897</v>
      </c>
      <c r="C2227" s="20" t="s">
        <v>604</v>
      </c>
      <c r="E2227" s="162" t="s">
        <v>5691</v>
      </c>
    </row>
    <row r="2228" spans="1:5">
      <c r="A2228" t="s">
        <v>3898</v>
      </c>
      <c r="B2228" s="20" t="s">
        <v>3899</v>
      </c>
      <c r="C2228" s="20" t="s">
        <v>92</v>
      </c>
      <c r="E2228" s="162" t="s">
        <v>104</v>
      </c>
    </row>
    <row r="2229" spans="1:5">
      <c r="A2229" t="s">
        <v>3898</v>
      </c>
      <c r="B2229" s="20" t="s">
        <v>3899</v>
      </c>
      <c r="C2229" s="20" t="s">
        <v>92</v>
      </c>
      <c r="E2229" s="162" t="s">
        <v>104</v>
      </c>
    </row>
    <row r="2230" spans="1:5">
      <c r="A2230" t="s">
        <v>29</v>
      </c>
      <c r="B2230" s="20" t="s">
        <v>67</v>
      </c>
      <c r="C2230" s="20" t="s">
        <v>92</v>
      </c>
      <c r="E2230" s="162" t="s">
        <v>104</v>
      </c>
    </row>
    <row r="2231" spans="1:5">
      <c r="A2231" t="s">
        <v>29</v>
      </c>
      <c r="B2231" s="20" t="s">
        <v>67</v>
      </c>
      <c r="C2231" s="20" t="s">
        <v>92</v>
      </c>
      <c r="E2231" s="162" t="s">
        <v>104</v>
      </c>
    </row>
    <row r="2232" spans="1:5">
      <c r="A2232" t="s">
        <v>30</v>
      </c>
      <c r="B2232" s="20" t="s">
        <v>68</v>
      </c>
      <c r="C2232" s="20" t="s">
        <v>92</v>
      </c>
      <c r="E2232" s="162" t="s">
        <v>104</v>
      </c>
    </row>
    <row r="2233" spans="1:5">
      <c r="A2233" t="s">
        <v>30</v>
      </c>
      <c r="B2233" s="20" t="s">
        <v>68</v>
      </c>
      <c r="C2233" s="20" t="s">
        <v>92</v>
      </c>
      <c r="E2233" s="162" t="s">
        <v>104</v>
      </c>
    </row>
    <row r="2234" spans="1:5">
      <c r="A2234" t="s">
        <v>31</v>
      </c>
      <c r="B2234" s="20" t="s">
        <v>69</v>
      </c>
      <c r="C2234" s="20" t="s">
        <v>92</v>
      </c>
      <c r="E2234" s="162" t="s">
        <v>104</v>
      </c>
    </row>
    <row r="2235" spans="1:5">
      <c r="A2235" t="s">
        <v>31</v>
      </c>
      <c r="B2235" s="20" t="s">
        <v>69</v>
      </c>
      <c r="C2235" s="20" t="s">
        <v>92</v>
      </c>
      <c r="E2235" s="162" t="s">
        <v>104</v>
      </c>
    </row>
    <row r="2236" spans="1:5">
      <c r="A2236" t="s">
        <v>32</v>
      </c>
      <c r="B2236" s="20" t="s">
        <v>70</v>
      </c>
      <c r="C2236" s="20" t="s">
        <v>92</v>
      </c>
      <c r="E2236" s="162" t="s">
        <v>104</v>
      </c>
    </row>
    <row r="2237" spans="1:5">
      <c r="A2237" t="s">
        <v>32</v>
      </c>
      <c r="B2237" s="20" t="s">
        <v>70</v>
      </c>
      <c r="C2237" s="20" t="s">
        <v>92</v>
      </c>
      <c r="E2237" s="162" t="s">
        <v>104</v>
      </c>
    </row>
    <row r="2238" spans="1:5">
      <c r="A2238" t="s">
        <v>33</v>
      </c>
      <c r="B2238" s="20" t="s">
        <v>71</v>
      </c>
      <c r="C2238" s="20" t="s">
        <v>92</v>
      </c>
      <c r="E2238" s="162" t="s">
        <v>104</v>
      </c>
    </row>
    <row r="2239" spans="1:5">
      <c r="A2239" t="s">
        <v>33</v>
      </c>
      <c r="B2239" s="20" t="s">
        <v>71</v>
      </c>
      <c r="C2239" s="20" t="s">
        <v>92</v>
      </c>
      <c r="E2239" s="162" t="s">
        <v>104</v>
      </c>
    </row>
    <row r="2240" spans="1:5">
      <c r="A2240" t="s">
        <v>34</v>
      </c>
      <c r="B2240" s="20" t="s">
        <v>72</v>
      </c>
      <c r="C2240" s="20" t="s">
        <v>92</v>
      </c>
      <c r="E2240" s="162" t="s">
        <v>104</v>
      </c>
    </row>
    <row r="2241" spans="1:5">
      <c r="A2241" t="s">
        <v>34</v>
      </c>
      <c r="B2241" s="20" t="s">
        <v>72</v>
      </c>
      <c r="C2241" s="20" t="s">
        <v>92</v>
      </c>
      <c r="E2241" s="162" t="s">
        <v>104</v>
      </c>
    </row>
    <row r="2242" spans="1:5">
      <c r="A2242" t="s">
        <v>35</v>
      </c>
      <c r="B2242" s="20" t="s">
        <v>73</v>
      </c>
      <c r="C2242" s="20" t="s">
        <v>92</v>
      </c>
      <c r="E2242" s="162" t="s">
        <v>104</v>
      </c>
    </row>
    <row r="2243" spans="1:5">
      <c r="A2243" t="s">
        <v>35</v>
      </c>
      <c r="B2243" s="20" t="s">
        <v>73</v>
      </c>
      <c r="C2243" s="20" t="s">
        <v>92</v>
      </c>
      <c r="E2243" s="162" t="s">
        <v>104</v>
      </c>
    </row>
    <row r="2244" spans="1:5">
      <c r="A2244" t="s">
        <v>3900</v>
      </c>
      <c r="B2244" s="20" t="s">
        <v>3901</v>
      </c>
      <c r="C2244" s="20" t="s">
        <v>92</v>
      </c>
      <c r="E2244" s="162" t="s">
        <v>104</v>
      </c>
    </row>
    <row r="2245" spans="1:5">
      <c r="A2245" t="s">
        <v>3900</v>
      </c>
      <c r="B2245" s="20" t="s">
        <v>3901</v>
      </c>
      <c r="C2245" s="20" t="s">
        <v>92</v>
      </c>
      <c r="E2245" s="162" t="s">
        <v>104</v>
      </c>
    </row>
    <row r="2246" spans="1:5">
      <c r="A2246" t="s">
        <v>3902</v>
      </c>
      <c r="B2246" s="20" t="s">
        <v>3903</v>
      </c>
      <c r="C2246" s="20" t="s">
        <v>92</v>
      </c>
      <c r="E2246" s="162" t="s">
        <v>104</v>
      </c>
    </row>
    <row r="2247" spans="1:5">
      <c r="A2247" t="s">
        <v>3902</v>
      </c>
      <c r="B2247" s="20" t="s">
        <v>3903</v>
      </c>
      <c r="C2247" s="20" t="s">
        <v>92</v>
      </c>
      <c r="E2247" s="162" t="s">
        <v>104</v>
      </c>
    </row>
    <row r="2248" spans="1:5">
      <c r="A2248" t="s">
        <v>3904</v>
      </c>
      <c r="B2248" s="20" t="s">
        <v>3905</v>
      </c>
      <c r="C2248" s="20" t="s">
        <v>90</v>
      </c>
      <c r="E2248" s="162" t="s">
        <v>104</v>
      </c>
    </row>
    <row r="2249" spans="1:5">
      <c r="A2249" t="s">
        <v>3906</v>
      </c>
      <c r="B2249" s="20" t="s">
        <v>3907</v>
      </c>
      <c r="C2249" s="20" t="s">
        <v>90</v>
      </c>
      <c r="E2249" s="162" t="s">
        <v>8549</v>
      </c>
    </row>
    <row r="2250" spans="1:5">
      <c r="A2250" t="s">
        <v>3908</v>
      </c>
      <c r="B2250" s="20" t="s">
        <v>3909</v>
      </c>
      <c r="C2250" s="20" t="s">
        <v>90</v>
      </c>
      <c r="E2250" s="162" t="s">
        <v>8549</v>
      </c>
    </row>
    <row r="2251" spans="1:5">
      <c r="A2251" t="s">
        <v>3910</v>
      </c>
      <c r="B2251" s="20" t="s">
        <v>3911</v>
      </c>
      <c r="C2251" s="20" t="s">
        <v>90</v>
      </c>
      <c r="E2251" s="162" t="s">
        <v>8549</v>
      </c>
    </row>
    <row r="2252" spans="1:5">
      <c r="A2252" t="s">
        <v>3912</v>
      </c>
      <c r="B2252" s="20" t="s">
        <v>3913</v>
      </c>
      <c r="C2252" s="20" t="s">
        <v>90</v>
      </c>
      <c r="E2252" s="162" t="s">
        <v>8549</v>
      </c>
    </row>
    <row r="2253" spans="1:5">
      <c r="A2253" t="s">
        <v>3914</v>
      </c>
      <c r="B2253" s="20" t="s">
        <v>3915</v>
      </c>
      <c r="C2253" s="20" t="s">
        <v>90</v>
      </c>
      <c r="E2253" s="162" t="s">
        <v>8549</v>
      </c>
    </row>
    <row r="2254" spans="1:5">
      <c r="A2254" t="s">
        <v>3916</v>
      </c>
      <c r="B2254" s="20" t="s">
        <v>3917</v>
      </c>
      <c r="C2254" s="20" t="s">
        <v>90</v>
      </c>
      <c r="E2254" s="162" t="s">
        <v>8549</v>
      </c>
    </row>
    <row r="2255" spans="1:5">
      <c r="A2255" t="s">
        <v>3918</v>
      </c>
      <c r="B2255" s="20" t="s">
        <v>3919</v>
      </c>
      <c r="C2255" s="20" t="s">
        <v>90</v>
      </c>
      <c r="E2255" s="162" t="s">
        <v>8549</v>
      </c>
    </row>
    <row r="2256" spans="1:5">
      <c r="A2256" t="s">
        <v>3920</v>
      </c>
      <c r="B2256" s="20" t="s">
        <v>3921</v>
      </c>
      <c r="C2256" s="20" t="s">
        <v>90</v>
      </c>
      <c r="E2256" s="162" t="s">
        <v>8549</v>
      </c>
    </row>
    <row r="2257" spans="1:5">
      <c r="A2257" t="s">
        <v>3922</v>
      </c>
      <c r="B2257" s="20" t="s">
        <v>3923</v>
      </c>
      <c r="C2257" s="20" t="s">
        <v>90</v>
      </c>
      <c r="E2257" s="162" t="s">
        <v>8549</v>
      </c>
    </row>
    <row r="2258" spans="1:5">
      <c r="A2258" t="s">
        <v>3924</v>
      </c>
      <c r="B2258" s="20" t="s">
        <v>3925</v>
      </c>
      <c r="C2258" s="20" t="s">
        <v>90</v>
      </c>
      <c r="E2258" s="162" t="s">
        <v>8549</v>
      </c>
    </row>
    <row r="2259" spans="1:5">
      <c r="A2259" t="s">
        <v>3926</v>
      </c>
      <c r="B2259" s="20" t="s">
        <v>3927</v>
      </c>
      <c r="C2259" s="20" t="s">
        <v>90</v>
      </c>
      <c r="E2259" s="162" t="s">
        <v>8549</v>
      </c>
    </row>
    <row r="2260" spans="1:5">
      <c r="A2260" t="s">
        <v>3928</v>
      </c>
      <c r="B2260" s="20" t="s">
        <v>3929</v>
      </c>
      <c r="C2260" s="20" t="s">
        <v>90</v>
      </c>
      <c r="E2260" s="162" t="s">
        <v>8549</v>
      </c>
    </row>
    <row r="2261" spans="1:5">
      <c r="A2261" t="s">
        <v>3930</v>
      </c>
      <c r="B2261" s="20" t="s">
        <v>3931</v>
      </c>
      <c r="C2261" s="20" t="s">
        <v>90</v>
      </c>
      <c r="E2261" s="162" t="s">
        <v>8549</v>
      </c>
    </row>
    <row r="2262" spans="1:5">
      <c r="A2262" t="s">
        <v>3932</v>
      </c>
      <c r="B2262" s="20" t="s">
        <v>3933</v>
      </c>
      <c r="C2262" s="20" t="s">
        <v>90</v>
      </c>
      <c r="E2262" s="162" t="s">
        <v>8549</v>
      </c>
    </row>
    <row r="2263" spans="1:5">
      <c r="A2263" t="s">
        <v>3934</v>
      </c>
      <c r="B2263" s="20" t="s">
        <v>3935</v>
      </c>
      <c r="C2263" s="20" t="s">
        <v>90</v>
      </c>
      <c r="E2263" s="162" t="s">
        <v>8549</v>
      </c>
    </row>
    <row r="2264" spans="1:5">
      <c r="A2264" t="s">
        <v>3936</v>
      </c>
      <c r="B2264" s="20" t="s">
        <v>3937</v>
      </c>
      <c r="C2264" s="20" t="s">
        <v>90</v>
      </c>
      <c r="E2264" s="162" t="s">
        <v>8549</v>
      </c>
    </row>
    <row r="2265" spans="1:5">
      <c r="A2265" t="s">
        <v>3938</v>
      </c>
      <c r="B2265" s="20" t="s">
        <v>3939</v>
      </c>
      <c r="C2265" s="20" t="s">
        <v>90</v>
      </c>
      <c r="E2265" s="162" t="s">
        <v>8549</v>
      </c>
    </row>
    <row r="2266" spans="1:5">
      <c r="A2266" t="s">
        <v>3940</v>
      </c>
      <c r="B2266" s="20" t="s">
        <v>3941</v>
      </c>
      <c r="C2266" s="20" t="s">
        <v>90</v>
      </c>
      <c r="E2266" s="162" t="s">
        <v>8549</v>
      </c>
    </row>
    <row r="2267" spans="1:5">
      <c r="A2267" t="s">
        <v>3942</v>
      </c>
      <c r="B2267" s="20" t="s">
        <v>3943</v>
      </c>
      <c r="C2267" s="20" t="s">
        <v>90</v>
      </c>
      <c r="E2267" s="162" t="s">
        <v>8549</v>
      </c>
    </row>
    <row r="2268" spans="1:5">
      <c r="A2268" t="s">
        <v>3944</v>
      </c>
      <c r="B2268" s="20" t="s">
        <v>3945</v>
      </c>
      <c r="C2268" s="20" t="s">
        <v>90</v>
      </c>
      <c r="E2268" s="162" t="s">
        <v>8549</v>
      </c>
    </row>
    <row r="2269" spans="1:5">
      <c r="A2269" t="s">
        <v>3946</v>
      </c>
      <c r="B2269" s="20" t="s">
        <v>3947</v>
      </c>
      <c r="C2269" s="20" t="s">
        <v>90</v>
      </c>
      <c r="E2269" s="162" t="s">
        <v>8549</v>
      </c>
    </row>
    <row r="2270" spans="1:5">
      <c r="A2270" t="s">
        <v>3948</v>
      </c>
      <c r="B2270" s="20" t="s">
        <v>3949</v>
      </c>
      <c r="C2270" s="20" t="s">
        <v>90</v>
      </c>
      <c r="E2270" s="162" t="s">
        <v>8549</v>
      </c>
    </row>
    <row r="2271" spans="1:5">
      <c r="A2271" t="s">
        <v>3950</v>
      </c>
      <c r="B2271" s="20" t="s">
        <v>3951</v>
      </c>
      <c r="C2271" s="20" t="s">
        <v>90</v>
      </c>
      <c r="E2271" s="162" t="s">
        <v>8549</v>
      </c>
    </row>
    <row r="2272" spans="1:5">
      <c r="A2272" t="s">
        <v>3952</v>
      </c>
      <c r="B2272" s="20" t="s">
        <v>3953</v>
      </c>
      <c r="C2272" s="20" t="s">
        <v>90</v>
      </c>
      <c r="E2272" s="162" t="s">
        <v>8549</v>
      </c>
    </row>
    <row r="2273" spans="1:5">
      <c r="A2273" t="s">
        <v>3954</v>
      </c>
      <c r="B2273" s="20" t="s">
        <v>3955</v>
      </c>
      <c r="C2273" s="20" t="s">
        <v>90</v>
      </c>
      <c r="E2273" s="162" t="s">
        <v>8549</v>
      </c>
    </row>
    <row r="2274" spans="1:5">
      <c r="A2274" t="s">
        <v>3956</v>
      </c>
      <c r="B2274" s="20" t="s">
        <v>3957</v>
      </c>
      <c r="C2274" s="20" t="s">
        <v>90</v>
      </c>
      <c r="E2274" s="162" t="s">
        <v>8549</v>
      </c>
    </row>
    <row r="2275" spans="1:5">
      <c r="A2275" t="s">
        <v>3958</v>
      </c>
      <c r="B2275" s="20" t="s">
        <v>3959</v>
      </c>
      <c r="C2275" s="20" t="s">
        <v>90</v>
      </c>
      <c r="E2275" s="162" t="s">
        <v>8549</v>
      </c>
    </row>
    <row r="2276" spans="1:5">
      <c r="A2276" t="s">
        <v>3960</v>
      </c>
      <c r="B2276" s="20" t="s">
        <v>3961</v>
      </c>
      <c r="C2276" s="20" t="s">
        <v>90</v>
      </c>
      <c r="E2276" s="162" t="s">
        <v>8549</v>
      </c>
    </row>
    <row r="2277" spans="1:5">
      <c r="A2277" t="s">
        <v>3962</v>
      </c>
      <c r="B2277" s="20" t="s">
        <v>3963</v>
      </c>
      <c r="C2277" s="20" t="s">
        <v>90</v>
      </c>
      <c r="E2277" s="162" t="s">
        <v>8549</v>
      </c>
    </row>
    <row r="2278" spans="1:5">
      <c r="A2278" t="s">
        <v>3964</v>
      </c>
      <c r="B2278" s="20" t="s">
        <v>3965</v>
      </c>
      <c r="C2278" s="20" t="s">
        <v>90</v>
      </c>
      <c r="E2278" s="162" t="s">
        <v>8549</v>
      </c>
    </row>
    <row r="2279" spans="1:5">
      <c r="A2279" t="s">
        <v>3966</v>
      </c>
      <c r="B2279" s="20" t="s">
        <v>3967</v>
      </c>
      <c r="C2279" s="20" t="s">
        <v>1138</v>
      </c>
      <c r="E2279" s="162" t="s">
        <v>8550</v>
      </c>
    </row>
    <row r="2280" spans="1:5">
      <c r="A2280" t="s">
        <v>3968</v>
      </c>
      <c r="B2280" s="20" t="s">
        <v>3969</v>
      </c>
      <c r="C2280" s="20" t="s">
        <v>1138</v>
      </c>
      <c r="E2280" s="162" t="s">
        <v>8551</v>
      </c>
    </row>
    <row r="2281" spans="1:5">
      <c r="A2281" t="s">
        <v>3970</v>
      </c>
      <c r="B2281" s="20" t="s">
        <v>3971</v>
      </c>
      <c r="C2281" s="20" t="s">
        <v>1138</v>
      </c>
      <c r="E2281" s="162" t="s">
        <v>8552</v>
      </c>
    </row>
    <row r="2282" spans="1:5">
      <c r="A2282" t="s">
        <v>3972</v>
      </c>
      <c r="B2282" s="20" t="s">
        <v>3973</v>
      </c>
      <c r="C2282" s="20" t="s">
        <v>1138</v>
      </c>
      <c r="E2282" s="162" t="s">
        <v>8553</v>
      </c>
    </row>
    <row r="2283" spans="1:5">
      <c r="A2283" t="s">
        <v>3974</v>
      </c>
      <c r="B2283" s="20" t="s">
        <v>3975</v>
      </c>
      <c r="C2283" s="20" t="s">
        <v>1138</v>
      </c>
      <c r="E2283" s="162" t="s">
        <v>8554</v>
      </c>
    </row>
    <row r="2284" spans="1:5">
      <c r="A2284" t="s">
        <v>3976</v>
      </c>
      <c r="B2284" s="20" t="s">
        <v>3977</v>
      </c>
      <c r="C2284" s="20" t="s">
        <v>1138</v>
      </c>
      <c r="E2284" s="162" t="s">
        <v>8555</v>
      </c>
    </row>
    <row r="2285" spans="1:5">
      <c r="A2285" t="s">
        <v>3978</v>
      </c>
      <c r="B2285" s="20" t="s">
        <v>3979</v>
      </c>
      <c r="C2285" s="20" t="s">
        <v>1138</v>
      </c>
      <c r="E2285" s="162" t="s">
        <v>8556</v>
      </c>
    </row>
    <row r="2286" spans="1:5">
      <c r="A2286" t="s">
        <v>3980</v>
      </c>
      <c r="B2286" s="20" t="s">
        <v>3981</v>
      </c>
      <c r="C2286" s="20" t="s">
        <v>1138</v>
      </c>
      <c r="E2286" s="162" t="s">
        <v>8557</v>
      </c>
    </row>
    <row r="2287" spans="1:5">
      <c r="A2287" t="s">
        <v>3982</v>
      </c>
      <c r="B2287" s="20" t="s">
        <v>3983</v>
      </c>
      <c r="C2287" s="20" t="s">
        <v>1138</v>
      </c>
      <c r="E2287" s="162" t="s">
        <v>8558</v>
      </c>
    </row>
    <row r="2288" spans="1:5">
      <c r="A2288" t="s">
        <v>3984</v>
      </c>
      <c r="B2288" s="20" t="s">
        <v>3985</v>
      </c>
      <c r="C2288" s="20" t="s">
        <v>90</v>
      </c>
      <c r="E2288" s="162" t="s">
        <v>8549</v>
      </c>
    </row>
    <row r="2289" spans="1:5">
      <c r="A2289" t="s">
        <v>3986</v>
      </c>
      <c r="B2289" s="20" t="s">
        <v>3987</v>
      </c>
      <c r="C2289" s="20" t="s">
        <v>90</v>
      </c>
      <c r="E2289" s="162" t="s">
        <v>8549</v>
      </c>
    </row>
    <row r="2290" spans="1:5">
      <c r="A2290" t="s">
        <v>3988</v>
      </c>
      <c r="B2290" s="20" t="s">
        <v>3989</v>
      </c>
      <c r="C2290" s="20" t="s">
        <v>89</v>
      </c>
      <c r="E2290" s="162" t="s">
        <v>8549</v>
      </c>
    </row>
    <row r="2291" spans="1:5">
      <c r="A2291" t="s">
        <v>3990</v>
      </c>
      <c r="B2291" s="20" t="s">
        <v>3991</v>
      </c>
      <c r="C2291" s="20" t="s">
        <v>89</v>
      </c>
      <c r="E2291" s="162" t="s">
        <v>8549</v>
      </c>
    </row>
    <row r="2292" spans="1:5">
      <c r="A2292" t="s">
        <v>3992</v>
      </c>
      <c r="B2292" s="20" t="s">
        <v>3993</v>
      </c>
      <c r="C2292" s="20" t="s">
        <v>89</v>
      </c>
      <c r="E2292" s="162" t="s">
        <v>8549</v>
      </c>
    </row>
    <row r="2293" spans="1:5">
      <c r="A2293" t="s">
        <v>3994</v>
      </c>
      <c r="B2293" s="20" t="s">
        <v>3995</v>
      </c>
      <c r="C2293" s="20" t="s">
        <v>89</v>
      </c>
      <c r="E2293" s="162" t="s">
        <v>8549</v>
      </c>
    </row>
    <row r="2294" spans="1:5">
      <c r="A2294" t="s">
        <v>3996</v>
      </c>
      <c r="B2294" s="20" t="s">
        <v>3997</v>
      </c>
      <c r="C2294" s="20" t="s">
        <v>89</v>
      </c>
      <c r="E2294" s="162" t="s">
        <v>8549</v>
      </c>
    </row>
    <row r="2295" spans="1:5">
      <c r="A2295" t="s">
        <v>3998</v>
      </c>
      <c r="B2295" s="20" t="s">
        <v>3999</v>
      </c>
      <c r="C2295" s="20" t="s">
        <v>89</v>
      </c>
      <c r="E2295" s="162" t="s">
        <v>8549</v>
      </c>
    </row>
    <row r="2296" spans="1:5">
      <c r="A2296" t="s">
        <v>4000</v>
      </c>
      <c r="B2296" s="20" t="s">
        <v>4001</v>
      </c>
      <c r="C2296" s="20" t="s">
        <v>90</v>
      </c>
      <c r="E2296" s="162" t="s">
        <v>8549</v>
      </c>
    </row>
    <row r="2297" spans="1:5">
      <c r="A2297" t="s">
        <v>4002</v>
      </c>
      <c r="B2297" s="20" t="s">
        <v>4003</v>
      </c>
      <c r="C2297" s="20" t="s">
        <v>1793</v>
      </c>
      <c r="E2297" s="162" t="s">
        <v>4979</v>
      </c>
    </row>
    <row r="2298" spans="1:5">
      <c r="A2298" t="s">
        <v>4004</v>
      </c>
      <c r="B2298" s="20" t="s">
        <v>4005</v>
      </c>
      <c r="C2298" s="20" t="s">
        <v>89</v>
      </c>
      <c r="E2298" s="162" t="s">
        <v>8384</v>
      </c>
    </row>
    <row r="2299" spans="1:5">
      <c r="A2299" t="s">
        <v>4006</v>
      </c>
      <c r="B2299" s="20" t="s">
        <v>4007</v>
      </c>
      <c r="C2299" s="20" t="s">
        <v>89</v>
      </c>
      <c r="E2299" s="162" t="s">
        <v>4979</v>
      </c>
    </row>
    <row r="2300" spans="1:5">
      <c r="A2300" t="s">
        <v>4008</v>
      </c>
      <c r="B2300" s="20" t="s">
        <v>4009</v>
      </c>
      <c r="C2300" s="20" t="s">
        <v>89</v>
      </c>
      <c r="E2300" s="162" t="s">
        <v>4979</v>
      </c>
    </row>
    <row r="2301" spans="1:5">
      <c r="A2301" t="s">
        <v>4010</v>
      </c>
      <c r="B2301" s="20" t="s">
        <v>4011</v>
      </c>
      <c r="C2301" s="20" t="s">
        <v>89</v>
      </c>
      <c r="E2301" s="162" t="s">
        <v>4979</v>
      </c>
    </row>
    <row r="2302" spans="1:5">
      <c r="A2302" t="s">
        <v>4010</v>
      </c>
      <c r="B2302" s="20" t="s">
        <v>4011</v>
      </c>
      <c r="C2302" s="20" t="s">
        <v>89</v>
      </c>
      <c r="E2302" s="162" t="s">
        <v>4979</v>
      </c>
    </row>
    <row r="2303" spans="1:5">
      <c r="A2303" t="s">
        <v>4012</v>
      </c>
      <c r="B2303" s="20" t="s">
        <v>4013</v>
      </c>
      <c r="C2303" s="20" t="s">
        <v>89</v>
      </c>
      <c r="E2303" s="162" t="s">
        <v>4979</v>
      </c>
    </row>
    <row r="2304" spans="1:5">
      <c r="A2304" t="s">
        <v>4014</v>
      </c>
      <c r="B2304" s="20" t="s">
        <v>4015</v>
      </c>
      <c r="C2304" s="20" t="s">
        <v>89</v>
      </c>
      <c r="E2304" s="162" t="s">
        <v>4979</v>
      </c>
    </row>
    <row r="2305" spans="1:5">
      <c r="A2305" t="s">
        <v>4016</v>
      </c>
      <c r="B2305" s="20" t="s">
        <v>4017</v>
      </c>
      <c r="C2305" s="20" t="s">
        <v>1793</v>
      </c>
      <c r="E2305" s="162" t="s">
        <v>4979</v>
      </c>
    </row>
    <row r="2306" spans="1:5">
      <c r="A2306" t="s">
        <v>4018</v>
      </c>
      <c r="B2306" s="20" t="s">
        <v>4019</v>
      </c>
      <c r="C2306" s="20" t="s">
        <v>90</v>
      </c>
      <c r="E2306" s="162" t="s">
        <v>8559</v>
      </c>
    </row>
    <row r="2307" spans="1:5">
      <c r="A2307" t="s">
        <v>4020</v>
      </c>
      <c r="B2307" s="20" t="s">
        <v>4021</v>
      </c>
      <c r="C2307" s="20" t="s">
        <v>3054</v>
      </c>
      <c r="E2307" s="162" t="s">
        <v>4979</v>
      </c>
    </row>
    <row r="2308" spans="1:5">
      <c r="A2308" t="s">
        <v>4022</v>
      </c>
      <c r="B2308" s="20" t="s">
        <v>4023</v>
      </c>
      <c r="C2308" s="20" t="s">
        <v>89</v>
      </c>
      <c r="E2308" s="162" t="s">
        <v>4979</v>
      </c>
    </row>
    <row r="2309" spans="1:5">
      <c r="A2309" t="s">
        <v>4024</v>
      </c>
      <c r="B2309" s="20" t="s">
        <v>4025</v>
      </c>
      <c r="C2309" s="20" t="s">
        <v>259</v>
      </c>
      <c r="E2309" s="162" t="s">
        <v>5562</v>
      </c>
    </row>
    <row r="2310" spans="1:5">
      <c r="A2310" t="s">
        <v>4024</v>
      </c>
      <c r="B2310" s="20" t="s">
        <v>4025</v>
      </c>
      <c r="C2310" s="20" t="s">
        <v>259</v>
      </c>
      <c r="E2310" s="162" t="s">
        <v>5562</v>
      </c>
    </row>
    <row r="2311" spans="1:5">
      <c r="A2311" t="s">
        <v>4026</v>
      </c>
      <c r="B2311" s="20" t="s">
        <v>4027</v>
      </c>
      <c r="C2311" s="20" t="s">
        <v>259</v>
      </c>
      <c r="E2311" s="162" t="s">
        <v>5421</v>
      </c>
    </row>
    <row r="2312" spans="1:5">
      <c r="A2312" t="s">
        <v>4026</v>
      </c>
      <c r="B2312" s="20" t="s">
        <v>4027</v>
      </c>
      <c r="C2312" s="20" t="s">
        <v>259</v>
      </c>
      <c r="E2312" s="162" t="s">
        <v>5421</v>
      </c>
    </row>
    <row r="2313" spans="1:5">
      <c r="A2313" t="s">
        <v>4028</v>
      </c>
      <c r="B2313" s="20" t="s">
        <v>4029</v>
      </c>
      <c r="C2313" s="20" t="s">
        <v>259</v>
      </c>
      <c r="E2313" s="162" t="s">
        <v>5421</v>
      </c>
    </row>
    <row r="2314" spans="1:5">
      <c r="A2314" t="s">
        <v>4030</v>
      </c>
      <c r="B2314" s="20" t="s">
        <v>4031</v>
      </c>
      <c r="C2314" s="20" t="s">
        <v>259</v>
      </c>
      <c r="E2314" s="162" t="s">
        <v>5562</v>
      </c>
    </row>
    <row r="2315" spans="1:5">
      <c r="A2315" t="s">
        <v>4032</v>
      </c>
      <c r="B2315" s="20" t="s">
        <v>4033</v>
      </c>
      <c r="C2315" s="20" t="s">
        <v>90</v>
      </c>
      <c r="E2315" s="162" t="s">
        <v>4991</v>
      </c>
    </row>
    <row r="2316" spans="1:5">
      <c r="A2316" t="s">
        <v>4034</v>
      </c>
      <c r="B2316" s="20" t="s">
        <v>4035</v>
      </c>
      <c r="C2316" s="20" t="s">
        <v>2125</v>
      </c>
      <c r="E2316" s="162" t="s">
        <v>6221</v>
      </c>
    </row>
    <row r="2317" spans="1:5">
      <c r="A2317" t="s">
        <v>4034</v>
      </c>
      <c r="B2317" s="20" t="s">
        <v>4035</v>
      </c>
      <c r="C2317" s="20" t="s">
        <v>2125</v>
      </c>
      <c r="E2317" s="162" t="s">
        <v>6221</v>
      </c>
    </row>
    <row r="2318" spans="1:5">
      <c r="A2318" t="s">
        <v>4036</v>
      </c>
      <c r="B2318" s="20" t="s">
        <v>4037</v>
      </c>
      <c r="C2318" s="20" t="s">
        <v>589</v>
      </c>
      <c r="E2318" s="162" t="s">
        <v>8560</v>
      </c>
    </row>
    <row r="2319" spans="1:5">
      <c r="A2319" t="s">
        <v>4038</v>
      </c>
      <c r="B2319" s="20" t="s">
        <v>4039</v>
      </c>
      <c r="C2319" s="20" t="s">
        <v>589</v>
      </c>
      <c r="E2319" s="162" t="s">
        <v>4819</v>
      </c>
    </row>
    <row r="2320" spans="1:5">
      <c r="A2320" t="s">
        <v>4038</v>
      </c>
      <c r="B2320" s="20" t="s">
        <v>4039</v>
      </c>
      <c r="C2320" s="20" t="s">
        <v>589</v>
      </c>
      <c r="E2320" s="162" t="s">
        <v>4819</v>
      </c>
    </row>
    <row r="2321" spans="1:5">
      <c r="A2321" t="s">
        <v>4040</v>
      </c>
      <c r="B2321" s="20" t="s">
        <v>4041</v>
      </c>
      <c r="C2321" s="20" t="s">
        <v>90</v>
      </c>
      <c r="E2321" s="162" t="s">
        <v>4972</v>
      </c>
    </row>
    <row r="2322" spans="1:5">
      <c r="A2322" t="s">
        <v>4042</v>
      </c>
      <c r="B2322" s="20" t="s">
        <v>4043</v>
      </c>
      <c r="C2322" s="20" t="s">
        <v>259</v>
      </c>
      <c r="E2322" s="162" t="s">
        <v>4829</v>
      </c>
    </row>
    <row r="2323" spans="1:5">
      <c r="A2323" t="s">
        <v>4042</v>
      </c>
      <c r="B2323" s="20" t="s">
        <v>4043</v>
      </c>
      <c r="C2323" s="20" t="s">
        <v>259</v>
      </c>
      <c r="E2323" s="162" t="s">
        <v>4829</v>
      </c>
    </row>
    <row r="2324" spans="1:5">
      <c r="A2324" t="s">
        <v>4044</v>
      </c>
      <c r="B2324" s="20" t="s">
        <v>4045</v>
      </c>
      <c r="C2324" s="20" t="s">
        <v>90</v>
      </c>
      <c r="E2324" s="162" t="s">
        <v>5562</v>
      </c>
    </row>
    <row r="2325" spans="1:5">
      <c r="A2325" t="s">
        <v>4046</v>
      </c>
      <c r="B2325" s="20" t="s">
        <v>4047</v>
      </c>
      <c r="C2325" s="20" t="s">
        <v>254</v>
      </c>
      <c r="E2325" s="162" t="s">
        <v>5562</v>
      </c>
    </row>
    <row r="2326" spans="1:5">
      <c r="A2326" t="s">
        <v>4048</v>
      </c>
      <c r="B2326" s="20" t="s">
        <v>4049</v>
      </c>
      <c r="C2326" s="20" t="s">
        <v>259</v>
      </c>
      <c r="E2326" s="162" t="s">
        <v>4829</v>
      </c>
    </row>
    <row r="2327" spans="1:5">
      <c r="A2327" t="s">
        <v>4048</v>
      </c>
      <c r="B2327" s="20" t="s">
        <v>4049</v>
      </c>
      <c r="C2327" s="20" t="s">
        <v>259</v>
      </c>
      <c r="E2327" s="162" t="s">
        <v>4829</v>
      </c>
    </row>
    <row r="2328" spans="1:5">
      <c r="A2328" t="s">
        <v>4050</v>
      </c>
      <c r="B2328" s="20" t="s">
        <v>4051</v>
      </c>
      <c r="C2328" s="20" t="s">
        <v>189</v>
      </c>
      <c r="E2328" s="162" t="s">
        <v>5562</v>
      </c>
    </row>
    <row r="2329" spans="1:5">
      <c r="A2329" t="s">
        <v>4050</v>
      </c>
      <c r="B2329" s="20" t="s">
        <v>4051</v>
      </c>
      <c r="C2329" s="20" t="s">
        <v>189</v>
      </c>
      <c r="E2329" s="162" t="s">
        <v>5562</v>
      </c>
    </row>
    <row r="2330" spans="1:5">
      <c r="A2330" t="s">
        <v>4052</v>
      </c>
      <c r="B2330" s="20" t="s">
        <v>4053</v>
      </c>
      <c r="C2330" s="20" t="s">
        <v>90</v>
      </c>
      <c r="E2330" s="162" t="s">
        <v>4829</v>
      </c>
    </row>
    <row r="2331" spans="1:5">
      <c r="A2331" t="s">
        <v>4054</v>
      </c>
      <c r="B2331" s="20" t="s">
        <v>4055</v>
      </c>
      <c r="C2331" s="20" t="s">
        <v>254</v>
      </c>
      <c r="E2331" s="162" t="s">
        <v>5562</v>
      </c>
    </row>
    <row r="2332" spans="1:5">
      <c r="A2332" t="s">
        <v>4054</v>
      </c>
      <c r="B2332" s="20" t="s">
        <v>4055</v>
      </c>
      <c r="C2332" s="20" t="s">
        <v>254</v>
      </c>
      <c r="E2332" s="162" t="s">
        <v>5562</v>
      </c>
    </row>
    <row r="2333" spans="1:5">
      <c r="A2333" t="s">
        <v>4056</v>
      </c>
      <c r="B2333" s="20" t="s">
        <v>4057</v>
      </c>
      <c r="C2333" s="20" t="s">
        <v>89</v>
      </c>
      <c r="E2333" s="162" t="s">
        <v>5614</v>
      </c>
    </row>
    <row r="2334" spans="1:5">
      <c r="A2334" t="s">
        <v>4058</v>
      </c>
      <c r="B2334" s="20" t="s">
        <v>4059</v>
      </c>
      <c r="C2334" s="20" t="s">
        <v>90</v>
      </c>
      <c r="E2334" s="162" t="s">
        <v>4979</v>
      </c>
    </row>
    <row r="2335" spans="1:5">
      <c r="A2335" t="s">
        <v>4060</v>
      </c>
      <c r="B2335" s="20" t="s">
        <v>4061</v>
      </c>
      <c r="C2335" s="20" t="s">
        <v>3054</v>
      </c>
      <c r="E2335" s="162" t="s">
        <v>4979</v>
      </c>
    </row>
    <row r="2336" spans="1:5">
      <c r="A2336" t="s">
        <v>4062</v>
      </c>
      <c r="B2336" s="20" t="s">
        <v>4063</v>
      </c>
      <c r="C2336" s="20" t="s">
        <v>254</v>
      </c>
      <c r="E2336" s="162" t="s">
        <v>5456</v>
      </c>
    </row>
    <row r="2337" spans="1:5">
      <c r="A2337" t="s">
        <v>4062</v>
      </c>
      <c r="B2337" s="20" t="s">
        <v>4063</v>
      </c>
      <c r="C2337" s="20" t="s">
        <v>254</v>
      </c>
      <c r="E2337" s="162" t="s">
        <v>5456</v>
      </c>
    </row>
    <row r="2338" spans="1:5">
      <c r="A2338" t="s">
        <v>4064</v>
      </c>
      <c r="B2338" s="20" t="s">
        <v>4065</v>
      </c>
      <c r="C2338" s="20" t="s">
        <v>90</v>
      </c>
      <c r="E2338" s="162" t="s">
        <v>4891</v>
      </c>
    </row>
    <row r="2339" spans="1:5">
      <c r="A2339" t="s">
        <v>4066</v>
      </c>
      <c r="B2339" s="20" t="s">
        <v>4067</v>
      </c>
      <c r="C2339" s="20" t="s">
        <v>89</v>
      </c>
      <c r="E2339" s="162" t="s">
        <v>4891</v>
      </c>
    </row>
    <row r="2340" spans="1:5">
      <c r="A2340" t="s">
        <v>4068</v>
      </c>
      <c r="B2340" s="20" t="s">
        <v>4069</v>
      </c>
      <c r="C2340" s="20" t="s">
        <v>90</v>
      </c>
      <c r="E2340" s="162" t="s">
        <v>8546</v>
      </c>
    </row>
    <row r="2341" spans="1:5">
      <c r="A2341" t="s">
        <v>4070</v>
      </c>
      <c r="B2341" s="20" t="s">
        <v>4071</v>
      </c>
      <c r="C2341" s="20" t="s">
        <v>92</v>
      </c>
      <c r="E2341" s="162" t="s">
        <v>4934</v>
      </c>
    </row>
    <row r="2342" spans="1:5">
      <c r="A2342" t="s">
        <v>4070</v>
      </c>
      <c r="B2342" s="20" t="s">
        <v>4071</v>
      </c>
      <c r="C2342" s="20" t="s">
        <v>92</v>
      </c>
      <c r="E2342" s="162" t="s">
        <v>4934</v>
      </c>
    </row>
    <row r="2343" spans="1:5">
      <c r="A2343" t="s">
        <v>4072</v>
      </c>
      <c r="B2343" s="20" t="s">
        <v>4073</v>
      </c>
      <c r="C2343" s="20" t="s">
        <v>589</v>
      </c>
      <c r="E2343" s="162" t="s">
        <v>4838</v>
      </c>
    </row>
    <row r="2344" spans="1:5">
      <c r="A2344" t="s">
        <v>4072</v>
      </c>
      <c r="B2344" s="20" t="s">
        <v>4073</v>
      </c>
      <c r="C2344" s="20" t="s">
        <v>589</v>
      </c>
      <c r="E2344" s="162" t="s">
        <v>4838</v>
      </c>
    </row>
    <row r="2345" spans="1:5">
      <c r="A2345" t="s">
        <v>4074</v>
      </c>
      <c r="B2345" s="20" t="s">
        <v>4075</v>
      </c>
      <c r="C2345" s="20" t="s">
        <v>589</v>
      </c>
      <c r="E2345" s="162" t="s">
        <v>4991</v>
      </c>
    </row>
    <row r="2346" spans="1:5">
      <c r="A2346" t="s">
        <v>4074</v>
      </c>
      <c r="B2346" s="20" t="s">
        <v>4075</v>
      </c>
      <c r="C2346" s="20" t="s">
        <v>589</v>
      </c>
      <c r="E2346" s="162" t="s">
        <v>4991</v>
      </c>
    </row>
    <row r="2347" spans="1:5">
      <c r="A2347" t="s">
        <v>4076</v>
      </c>
      <c r="B2347" s="20" t="s">
        <v>4077</v>
      </c>
      <c r="C2347" s="20" t="s">
        <v>589</v>
      </c>
      <c r="E2347" s="162" t="s">
        <v>4991</v>
      </c>
    </row>
    <row r="2348" spans="1:5">
      <c r="A2348" t="s">
        <v>4076</v>
      </c>
      <c r="B2348" s="20" t="s">
        <v>4077</v>
      </c>
      <c r="C2348" s="20" t="s">
        <v>589</v>
      </c>
      <c r="E2348" s="162" t="s">
        <v>4991</v>
      </c>
    </row>
    <row r="2349" spans="1:5">
      <c r="A2349" t="s">
        <v>4078</v>
      </c>
      <c r="B2349" s="20" t="s">
        <v>4079</v>
      </c>
      <c r="C2349" s="20" t="s">
        <v>4080</v>
      </c>
      <c r="E2349" s="162" t="s">
        <v>6572</v>
      </c>
    </row>
    <row r="2350" spans="1:5">
      <c r="A2350" t="s">
        <v>4081</v>
      </c>
      <c r="B2350" s="20" t="s">
        <v>4082</v>
      </c>
      <c r="C2350" s="20">
        <v>0</v>
      </c>
      <c r="E2350" s="162" t="s">
        <v>8561</v>
      </c>
    </row>
    <row r="2351" spans="1:5">
      <c r="A2351" t="s">
        <v>4083</v>
      </c>
      <c r="B2351" s="20" t="s">
        <v>4084</v>
      </c>
      <c r="C2351" s="20">
        <v>0</v>
      </c>
      <c r="E2351" s="162" t="s">
        <v>8562</v>
      </c>
    </row>
    <row r="2352" spans="1:5">
      <c r="A2352" t="s">
        <v>4085</v>
      </c>
      <c r="B2352" s="20" t="s">
        <v>4086</v>
      </c>
      <c r="C2352" s="20">
        <v>0</v>
      </c>
      <c r="E2352" s="162" t="s">
        <v>8563</v>
      </c>
    </row>
    <row r="2353" spans="1:5">
      <c r="A2353" t="s">
        <v>4087</v>
      </c>
      <c r="B2353" s="20" t="s">
        <v>4088</v>
      </c>
      <c r="C2353" s="20">
        <v>0</v>
      </c>
      <c r="E2353" s="162" t="s">
        <v>8564</v>
      </c>
    </row>
    <row r="2354" spans="1:5">
      <c r="A2354" t="s">
        <v>4089</v>
      </c>
      <c r="B2354" s="20" t="s">
        <v>4090</v>
      </c>
      <c r="C2354" s="20">
        <v>0</v>
      </c>
      <c r="E2354" s="162" t="s">
        <v>8565</v>
      </c>
    </row>
    <row r="2355" spans="1:5">
      <c r="A2355" t="s">
        <v>4091</v>
      </c>
      <c r="B2355" s="20" t="s">
        <v>4092</v>
      </c>
      <c r="C2355" s="20">
        <v>0</v>
      </c>
      <c r="E2355" s="162" t="s">
        <v>8566</v>
      </c>
    </row>
    <row r="2356" spans="1:5">
      <c r="A2356" t="s">
        <v>4093</v>
      </c>
      <c r="B2356" s="20" t="s">
        <v>4094</v>
      </c>
      <c r="C2356" s="20">
        <v>0</v>
      </c>
      <c r="E2356" s="162" t="s">
        <v>8567</v>
      </c>
    </row>
    <row r="2357" spans="1:5">
      <c r="A2357" t="s">
        <v>4095</v>
      </c>
      <c r="B2357" s="20" t="s">
        <v>4096</v>
      </c>
      <c r="C2357" s="20">
        <v>0</v>
      </c>
      <c r="E2357" s="162" t="s">
        <v>8568</v>
      </c>
    </row>
    <row r="2358" spans="1:5">
      <c r="A2358" t="s">
        <v>4097</v>
      </c>
      <c r="B2358" s="20" t="s">
        <v>4098</v>
      </c>
      <c r="C2358" s="20">
        <v>0</v>
      </c>
      <c r="E2358" s="162" t="s">
        <v>8569</v>
      </c>
    </row>
    <row r="2359" spans="1:5">
      <c r="A2359" t="s">
        <v>4099</v>
      </c>
      <c r="B2359" s="20" t="s">
        <v>4100</v>
      </c>
      <c r="C2359" s="20">
        <v>0</v>
      </c>
      <c r="E2359" s="162" t="s">
        <v>8570</v>
      </c>
    </row>
    <row r="2360" spans="1:5">
      <c r="A2360" t="s">
        <v>4101</v>
      </c>
      <c r="B2360" s="20" t="s">
        <v>4102</v>
      </c>
      <c r="C2360" s="20">
        <v>0</v>
      </c>
      <c r="E2360" s="162" t="s">
        <v>5419</v>
      </c>
    </row>
    <row r="2361" spans="1:5">
      <c r="A2361" t="s">
        <v>4103</v>
      </c>
      <c r="B2361" s="20" t="s">
        <v>4104</v>
      </c>
      <c r="C2361" s="20">
        <v>0</v>
      </c>
      <c r="E2361" s="162" t="s">
        <v>5420</v>
      </c>
    </row>
    <row r="2362" spans="1:5">
      <c r="A2362" t="s">
        <v>4105</v>
      </c>
      <c r="B2362" s="20" t="s">
        <v>4106</v>
      </c>
      <c r="C2362" s="20">
        <v>0</v>
      </c>
      <c r="E2362" s="162" t="s">
        <v>5435</v>
      </c>
    </row>
    <row r="2363" spans="1:5">
      <c r="A2363" t="s">
        <v>4107</v>
      </c>
      <c r="B2363" s="20" t="s">
        <v>4108</v>
      </c>
      <c r="C2363" s="20">
        <v>0</v>
      </c>
      <c r="E2363" s="162" t="s">
        <v>5436</v>
      </c>
    </row>
    <row r="2364" spans="1:5">
      <c r="A2364" t="s">
        <v>4109</v>
      </c>
      <c r="B2364" s="20" t="s">
        <v>4110</v>
      </c>
      <c r="C2364" s="20">
        <v>0</v>
      </c>
      <c r="E2364" s="162" t="s">
        <v>5435</v>
      </c>
    </row>
    <row r="2365" spans="1:5">
      <c r="A2365" t="s">
        <v>4111</v>
      </c>
      <c r="B2365" s="20" t="s">
        <v>4112</v>
      </c>
      <c r="C2365" s="20">
        <v>0</v>
      </c>
      <c r="E2365" s="162" t="s">
        <v>5436</v>
      </c>
    </row>
    <row r="2366" spans="1:5">
      <c r="A2366" t="s">
        <v>4113</v>
      </c>
      <c r="B2366" s="20" t="s">
        <v>4114</v>
      </c>
      <c r="C2366" s="20">
        <v>0</v>
      </c>
      <c r="E2366" s="162" t="s">
        <v>5431</v>
      </c>
    </row>
    <row r="2367" spans="1:5">
      <c r="A2367" t="s">
        <v>4115</v>
      </c>
      <c r="B2367" s="20" t="s">
        <v>4116</v>
      </c>
      <c r="C2367" s="20">
        <v>0</v>
      </c>
      <c r="E2367" s="162" t="s">
        <v>8571</v>
      </c>
    </row>
    <row r="2368" spans="1:5">
      <c r="A2368" t="s">
        <v>4117</v>
      </c>
      <c r="B2368" s="20" t="s">
        <v>4118</v>
      </c>
      <c r="C2368" s="20" t="s">
        <v>4119</v>
      </c>
      <c r="E2368" s="162" t="s">
        <v>8572</v>
      </c>
    </row>
    <row r="2369" spans="1:5">
      <c r="A2369" t="s">
        <v>4120</v>
      </c>
      <c r="B2369" s="20" t="s">
        <v>4121</v>
      </c>
      <c r="C2369" s="20">
        <v>0</v>
      </c>
      <c r="E2369" s="162" t="s">
        <v>8573</v>
      </c>
    </row>
    <row r="2370" spans="1:5">
      <c r="A2370" t="s">
        <v>4122</v>
      </c>
      <c r="B2370" s="20" t="s">
        <v>4123</v>
      </c>
      <c r="C2370" s="20">
        <v>0</v>
      </c>
      <c r="E2370" s="162" t="s">
        <v>6013</v>
      </c>
    </row>
    <row r="2371" spans="1:5">
      <c r="A2371" t="s">
        <v>4124</v>
      </c>
      <c r="B2371" s="20" t="s">
        <v>4125</v>
      </c>
      <c r="C2371" s="20">
        <v>0</v>
      </c>
      <c r="E2371" s="162" t="s">
        <v>8574</v>
      </c>
    </row>
    <row r="2372" spans="1:5">
      <c r="A2372" t="s">
        <v>4126</v>
      </c>
      <c r="B2372" s="20" t="s">
        <v>4127</v>
      </c>
      <c r="C2372" s="20">
        <v>0</v>
      </c>
      <c r="E2372" s="162" t="s">
        <v>8575</v>
      </c>
    </row>
    <row r="2373" spans="1:5">
      <c r="A2373" t="s">
        <v>4128</v>
      </c>
      <c r="B2373" s="20" t="s">
        <v>4129</v>
      </c>
      <c r="C2373" s="20">
        <v>0</v>
      </c>
      <c r="E2373" s="162" t="s">
        <v>8576</v>
      </c>
    </row>
    <row r="2374" spans="1:5">
      <c r="A2374" t="s">
        <v>4130</v>
      </c>
      <c r="B2374" s="20" t="s">
        <v>4131</v>
      </c>
      <c r="C2374" s="20">
        <v>0</v>
      </c>
      <c r="E2374" s="162" t="s">
        <v>8577</v>
      </c>
    </row>
    <row r="2375" spans="1:5">
      <c r="A2375" t="s">
        <v>4132</v>
      </c>
      <c r="B2375" s="20" t="s">
        <v>4133</v>
      </c>
      <c r="C2375" s="20">
        <v>0</v>
      </c>
      <c r="E2375" s="162" t="s">
        <v>8578</v>
      </c>
    </row>
    <row r="2376" spans="1:5">
      <c r="A2376" t="s">
        <v>4134</v>
      </c>
      <c r="B2376" s="20" t="s">
        <v>4135</v>
      </c>
      <c r="C2376" s="20">
        <v>0</v>
      </c>
      <c r="E2376" s="162" t="s">
        <v>8579</v>
      </c>
    </row>
    <row r="2377" spans="1:5">
      <c r="A2377" t="s">
        <v>4136</v>
      </c>
      <c r="B2377" s="20" t="s">
        <v>4137</v>
      </c>
      <c r="C2377" s="20">
        <v>0</v>
      </c>
      <c r="E2377" s="162" t="s">
        <v>6004</v>
      </c>
    </row>
    <row r="2378" spans="1:5">
      <c r="A2378" t="s">
        <v>4138</v>
      </c>
      <c r="B2378" s="20" t="s">
        <v>4139</v>
      </c>
      <c r="C2378" s="20">
        <v>0</v>
      </c>
      <c r="E2378" s="162" t="s">
        <v>8580</v>
      </c>
    </row>
    <row r="2379" spans="1:5">
      <c r="A2379" t="s">
        <v>4140</v>
      </c>
      <c r="B2379" s="20" t="s">
        <v>4141</v>
      </c>
      <c r="C2379" s="20">
        <v>0</v>
      </c>
      <c r="E2379" s="162" t="s">
        <v>8581</v>
      </c>
    </row>
    <row r="2380" spans="1:5">
      <c r="A2380" t="s">
        <v>4142</v>
      </c>
      <c r="B2380" s="20" t="s">
        <v>4143</v>
      </c>
      <c r="C2380" s="20">
        <v>0</v>
      </c>
      <c r="E2380" s="162" t="s">
        <v>5995</v>
      </c>
    </row>
    <row r="2381" spans="1:5">
      <c r="A2381" t="s">
        <v>4144</v>
      </c>
      <c r="B2381" s="20" t="s">
        <v>4145</v>
      </c>
      <c r="C2381" s="20">
        <v>0</v>
      </c>
      <c r="E2381" s="162" t="s">
        <v>5996</v>
      </c>
    </row>
    <row r="2382" spans="1:5">
      <c r="A2382" t="s">
        <v>4146</v>
      </c>
      <c r="B2382" s="20" t="s">
        <v>4147</v>
      </c>
      <c r="C2382" s="20">
        <v>0</v>
      </c>
      <c r="E2382" s="162" t="s">
        <v>5992</v>
      </c>
    </row>
    <row r="2383" spans="1:5">
      <c r="A2383" t="s">
        <v>4148</v>
      </c>
      <c r="B2383" s="20" t="s">
        <v>4149</v>
      </c>
      <c r="C2383" s="20">
        <v>0</v>
      </c>
      <c r="E2383" s="162" t="s">
        <v>5997</v>
      </c>
    </row>
    <row r="2384" spans="1:5">
      <c r="A2384" t="s">
        <v>4150</v>
      </c>
      <c r="B2384" s="20" t="s">
        <v>4151</v>
      </c>
      <c r="C2384" s="20">
        <v>0</v>
      </c>
      <c r="E2384" s="162" t="s">
        <v>8582</v>
      </c>
    </row>
    <row r="2385" spans="1:5">
      <c r="A2385" t="s">
        <v>4152</v>
      </c>
      <c r="B2385" s="20" t="s">
        <v>4153</v>
      </c>
      <c r="C2385" s="20">
        <v>0</v>
      </c>
      <c r="E2385" s="162" t="s">
        <v>5435</v>
      </c>
    </row>
    <row r="2386" spans="1:5">
      <c r="A2386" t="s">
        <v>4154</v>
      </c>
      <c r="B2386" s="20" t="s">
        <v>4155</v>
      </c>
      <c r="C2386" s="20">
        <v>0</v>
      </c>
      <c r="E2386" s="162" t="s">
        <v>5436</v>
      </c>
    </row>
    <row r="2387" spans="1:5">
      <c r="A2387" t="s">
        <v>4156</v>
      </c>
      <c r="B2387" s="20" t="s">
        <v>4157</v>
      </c>
      <c r="C2387" s="20">
        <v>0</v>
      </c>
      <c r="E2387" s="162" t="s">
        <v>8563</v>
      </c>
    </row>
    <row r="2388" spans="1:5">
      <c r="A2388" t="s">
        <v>4158</v>
      </c>
      <c r="B2388" s="20" t="s">
        <v>4159</v>
      </c>
      <c r="C2388" s="20">
        <v>0</v>
      </c>
      <c r="E2388" s="162" t="s">
        <v>8564</v>
      </c>
    </row>
    <row r="2389" spans="1:5">
      <c r="A2389" t="s">
        <v>4160</v>
      </c>
      <c r="B2389" s="20" t="s">
        <v>4161</v>
      </c>
      <c r="C2389" s="20">
        <v>0</v>
      </c>
      <c r="E2389" s="162" t="s">
        <v>8561</v>
      </c>
    </row>
    <row r="2390" spans="1:5">
      <c r="A2390" t="s">
        <v>4162</v>
      </c>
      <c r="B2390" s="20" t="s">
        <v>4163</v>
      </c>
      <c r="C2390" s="20">
        <v>0</v>
      </c>
      <c r="E2390" s="162" t="s">
        <v>8562</v>
      </c>
    </row>
    <row r="2391" spans="1:5">
      <c r="A2391" t="s">
        <v>4164</v>
      </c>
      <c r="B2391" s="20" t="s">
        <v>4165</v>
      </c>
      <c r="C2391" s="20">
        <v>0</v>
      </c>
      <c r="E2391" s="162" t="s">
        <v>5419</v>
      </c>
    </row>
    <row r="2392" spans="1:5">
      <c r="A2392" t="s">
        <v>4166</v>
      </c>
      <c r="B2392" s="20" t="s">
        <v>4167</v>
      </c>
      <c r="C2392" s="20">
        <v>0</v>
      </c>
      <c r="E2392" s="162" t="s">
        <v>5419</v>
      </c>
    </row>
    <row r="2393" spans="1:5">
      <c r="A2393" t="s">
        <v>4168</v>
      </c>
      <c r="B2393" s="20" t="s">
        <v>4169</v>
      </c>
      <c r="C2393" s="20">
        <v>0</v>
      </c>
      <c r="E2393" s="162" t="s">
        <v>5420</v>
      </c>
    </row>
    <row r="2394" spans="1:5">
      <c r="A2394" t="s">
        <v>4170</v>
      </c>
      <c r="B2394" s="20" t="s">
        <v>4171</v>
      </c>
      <c r="C2394" s="20">
        <v>0</v>
      </c>
      <c r="E2394" s="162" t="s">
        <v>5420</v>
      </c>
    </row>
    <row r="2395" spans="1:5">
      <c r="A2395" t="s">
        <v>4172</v>
      </c>
      <c r="B2395" s="20" t="s">
        <v>4173</v>
      </c>
      <c r="C2395" s="20">
        <v>0</v>
      </c>
      <c r="E2395" s="162" t="s">
        <v>5431</v>
      </c>
    </row>
    <row r="2396" spans="1:5">
      <c r="A2396" t="s">
        <v>4174</v>
      </c>
      <c r="B2396" s="20" t="s">
        <v>4175</v>
      </c>
      <c r="C2396" s="20">
        <v>0</v>
      </c>
      <c r="E2396" s="162" t="s">
        <v>5435</v>
      </c>
    </row>
    <row r="2397" spans="1:5">
      <c r="A2397" t="s">
        <v>4176</v>
      </c>
      <c r="B2397" s="20" t="s">
        <v>4177</v>
      </c>
      <c r="C2397" s="20">
        <v>0</v>
      </c>
      <c r="E2397" s="162" t="s">
        <v>5435</v>
      </c>
    </row>
    <row r="2398" spans="1:5">
      <c r="A2398" t="s">
        <v>4178</v>
      </c>
      <c r="B2398" s="20" t="s">
        <v>4179</v>
      </c>
      <c r="C2398" s="20">
        <v>0</v>
      </c>
      <c r="E2398" s="162" t="s">
        <v>5436</v>
      </c>
    </row>
    <row r="2399" spans="1:5">
      <c r="A2399" t="s">
        <v>4180</v>
      </c>
      <c r="B2399" s="20" t="s">
        <v>4181</v>
      </c>
      <c r="C2399" s="20">
        <v>0</v>
      </c>
      <c r="E2399" s="162" t="s">
        <v>5436</v>
      </c>
    </row>
    <row r="2400" spans="1:5">
      <c r="A2400" t="s">
        <v>4182</v>
      </c>
      <c r="B2400" s="20" t="s">
        <v>4183</v>
      </c>
      <c r="C2400" s="20">
        <v>0</v>
      </c>
      <c r="E2400" s="162" t="s">
        <v>8583</v>
      </c>
    </row>
    <row r="2401" spans="1:5">
      <c r="A2401" t="s">
        <v>4184</v>
      </c>
      <c r="B2401" s="20" t="s">
        <v>4185</v>
      </c>
      <c r="C2401" s="20">
        <v>0</v>
      </c>
      <c r="E2401" s="162" t="s">
        <v>8584</v>
      </c>
    </row>
    <row r="2402" spans="1:5">
      <c r="A2402" t="s">
        <v>4186</v>
      </c>
      <c r="B2402" s="20" t="s">
        <v>4187</v>
      </c>
      <c r="C2402" s="20">
        <v>0</v>
      </c>
      <c r="E2402" s="162" t="s">
        <v>8585</v>
      </c>
    </row>
    <row r="2403" spans="1:5">
      <c r="A2403" t="s">
        <v>4188</v>
      </c>
      <c r="B2403" s="20" t="s">
        <v>4189</v>
      </c>
      <c r="C2403" s="20">
        <v>0</v>
      </c>
      <c r="E2403" s="162" t="s">
        <v>8586</v>
      </c>
    </row>
    <row r="2404" spans="1:5">
      <c r="A2404" t="s">
        <v>4190</v>
      </c>
      <c r="B2404" s="20" t="s">
        <v>4191</v>
      </c>
      <c r="C2404" s="20">
        <v>0</v>
      </c>
      <c r="E2404" s="162" t="s">
        <v>8587</v>
      </c>
    </row>
    <row r="2405" spans="1:5">
      <c r="A2405" t="s">
        <v>4192</v>
      </c>
      <c r="B2405" s="20" t="s">
        <v>4193</v>
      </c>
      <c r="C2405" s="20">
        <v>0</v>
      </c>
      <c r="E2405" s="162" t="s">
        <v>8588</v>
      </c>
    </row>
    <row r="2406" spans="1:5">
      <c r="A2406" t="s">
        <v>4194</v>
      </c>
      <c r="B2406" s="20" t="s">
        <v>4195</v>
      </c>
      <c r="C2406" s="20">
        <v>0</v>
      </c>
      <c r="E2406" s="162" t="s">
        <v>8589</v>
      </c>
    </row>
    <row r="2407" spans="1:5">
      <c r="A2407" t="s">
        <v>4196</v>
      </c>
      <c r="B2407" s="20" t="s">
        <v>4197</v>
      </c>
      <c r="C2407" s="20">
        <v>0</v>
      </c>
      <c r="E2407" s="162" t="s">
        <v>8590</v>
      </c>
    </row>
    <row r="2408" spans="1:5">
      <c r="A2408" t="s">
        <v>4198</v>
      </c>
      <c r="B2408" s="20" t="s">
        <v>4199</v>
      </c>
      <c r="C2408" s="20">
        <v>0</v>
      </c>
      <c r="E2408" s="162" t="s">
        <v>8591</v>
      </c>
    </row>
    <row r="2409" spans="1:5">
      <c r="A2409" t="s">
        <v>4200</v>
      </c>
      <c r="B2409" s="20" t="s">
        <v>4201</v>
      </c>
      <c r="C2409" s="20">
        <v>0</v>
      </c>
      <c r="E2409" s="162" t="s">
        <v>8592</v>
      </c>
    </row>
    <row r="2410" spans="1:5">
      <c r="A2410" t="s">
        <v>4202</v>
      </c>
      <c r="B2410" s="20" t="s">
        <v>4203</v>
      </c>
      <c r="C2410" s="20">
        <v>0</v>
      </c>
      <c r="E2410" s="162" t="s">
        <v>8593</v>
      </c>
    </row>
    <row r="2411" spans="1:5">
      <c r="A2411" t="s">
        <v>4204</v>
      </c>
      <c r="B2411" s="20" t="s">
        <v>4204</v>
      </c>
      <c r="C2411" s="20">
        <v>0</v>
      </c>
      <c r="E2411" s="162" t="s">
        <v>119</v>
      </c>
    </row>
    <row r="2412" spans="1:5">
      <c r="A2412" t="s">
        <v>4205</v>
      </c>
      <c r="B2412" s="20" t="s">
        <v>4206</v>
      </c>
      <c r="C2412" s="20">
        <v>0</v>
      </c>
      <c r="E2412" s="162" t="s">
        <v>8594</v>
      </c>
    </row>
    <row r="2413" spans="1:5">
      <c r="A2413" t="s">
        <v>4207</v>
      </c>
      <c r="B2413" s="20" t="s">
        <v>4207</v>
      </c>
      <c r="C2413" s="20">
        <v>0</v>
      </c>
      <c r="E2413" s="162" t="s">
        <v>5125</v>
      </c>
    </row>
    <row r="2414" spans="1:5">
      <c r="A2414" t="s">
        <v>4208</v>
      </c>
      <c r="B2414" s="20" t="s">
        <v>4209</v>
      </c>
      <c r="C2414" s="20">
        <v>0</v>
      </c>
      <c r="E2414" s="162" t="s">
        <v>8594</v>
      </c>
    </row>
    <row r="2415" spans="1:5">
      <c r="A2415" t="s">
        <v>4210</v>
      </c>
      <c r="B2415" s="20" t="s">
        <v>4210</v>
      </c>
      <c r="C2415" s="20">
        <v>0</v>
      </c>
      <c r="E2415" s="162" t="s">
        <v>119</v>
      </c>
    </row>
    <row r="2416" spans="1:5">
      <c r="A2416" t="s">
        <v>4211</v>
      </c>
      <c r="B2416" s="20" t="s">
        <v>4212</v>
      </c>
      <c r="C2416" s="20">
        <v>0</v>
      </c>
      <c r="E2416" s="162" t="s">
        <v>8594</v>
      </c>
    </row>
    <row r="2417" spans="1:5">
      <c r="A2417" t="s">
        <v>4213</v>
      </c>
      <c r="B2417" s="20" t="s">
        <v>4213</v>
      </c>
      <c r="C2417" s="20">
        <v>0</v>
      </c>
      <c r="E2417" s="162" t="s">
        <v>5125</v>
      </c>
    </row>
    <row r="2418" spans="1:5">
      <c r="A2418" t="s">
        <v>4214</v>
      </c>
      <c r="B2418" s="20" t="s">
        <v>4215</v>
      </c>
      <c r="C2418" s="20">
        <v>0</v>
      </c>
      <c r="E2418" s="162" t="s">
        <v>8594</v>
      </c>
    </row>
    <row r="2419" spans="1:5">
      <c r="A2419" t="s">
        <v>4216</v>
      </c>
      <c r="B2419" s="20" t="s">
        <v>4216</v>
      </c>
      <c r="C2419" s="20">
        <v>0</v>
      </c>
      <c r="E2419" s="162" t="s">
        <v>119</v>
      </c>
    </row>
    <row r="2420" spans="1:5">
      <c r="A2420" t="s">
        <v>4217</v>
      </c>
      <c r="B2420" s="20" t="s">
        <v>4218</v>
      </c>
      <c r="C2420" s="20">
        <v>0</v>
      </c>
      <c r="E2420" s="162" t="s">
        <v>8594</v>
      </c>
    </row>
    <row r="2421" spans="1:5">
      <c r="A2421" t="s">
        <v>4219</v>
      </c>
      <c r="B2421" s="20" t="s">
        <v>4219</v>
      </c>
      <c r="C2421" s="20">
        <v>0</v>
      </c>
      <c r="E2421" s="162" t="s">
        <v>5125</v>
      </c>
    </row>
    <row r="2422" spans="1:5">
      <c r="A2422" t="s">
        <v>4220</v>
      </c>
      <c r="B2422" s="20" t="s">
        <v>4221</v>
      </c>
      <c r="C2422" s="20">
        <v>0</v>
      </c>
      <c r="E2422" s="162" t="s">
        <v>8594</v>
      </c>
    </row>
    <row r="2423" spans="1:5">
      <c r="A2423" t="s">
        <v>4222</v>
      </c>
      <c r="B2423" s="20" t="s">
        <v>4222</v>
      </c>
      <c r="C2423" s="20">
        <v>0</v>
      </c>
      <c r="E2423" s="162" t="s">
        <v>119</v>
      </c>
    </row>
    <row r="2424" spans="1:5">
      <c r="A2424" t="s">
        <v>4223</v>
      </c>
      <c r="B2424" s="20" t="s">
        <v>4224</v>
      </c>
      <c r="C2424" s="20">
        <v>0</v>
      </c>
      <c r="E2424" s="162" t="s">
        <v>8594</v>
      </c>
    </row>
    <row r="2425" spans="1:5">
      <c r="A2425" t="s">
        <v>4225</v>
      </c>
      <c r="B2425" s="20" t="s">
        <v>4225</v>
      </c>
      <c r="C2425" s="20">
        <v>0</v>
      </c>
      <c r="E2425" s="162" t="s">
        <v>5125</v>
      </c>
    </row>
    <row r="2426" spans="1:5">
      <c r="A2426" t="s">
        <v>4226</v>
      </c>
      <c r="B2426" s="20" t="s">
        <v>4227</v>
      </c>
      <c r="C2426" s="20">
        <v>0</v>
      </c>
      <c r="E2426" s="162" t="s">
        <v>8594</v>
      </c>
    </row>
    <row r="2427" spans="1:5">
      <c r="A2427" t="s">
        <v>4228</v>
      </c>
      <c r="B2427" s="20" t="s">
        <v>4228</v>
      </c>
      <c r="C2427" s="20">
        <v>0</v>
      </c>
      <c r="E2427" s="162" t="s">
        <v>8595</v>
      </c>
    </row>
    <row r="2428" spans="1:5">
      <c r="A2428" t="s">
        <v>4229</v>
      </c>
      <c r="B2428" s="20" t="s">
        <v>4230</v>
      </c>
      <c r="C2428" s="20">
        <v>0</v>
      </c>
      <c r="E2428" s="162" t="s">
        <v>8595</v>
      </c>
    </row>
    <row r="2429" spans="1:5">
      <c r="A2429" t="s">
        <v>4231</v>
      </c>
      <c r="B2429" s="20" t="s">
        <v>4231</v>
      </c>
      <c r="C2429" s="20">
        <v>0</v>
      </c>
      <c r="E2429" s="162" t="s">
        <v>8595</v>
      </c>
    </row>
    <row r="2430" spans="1:5">
      <c r="A2430" t="s">
        <v>4232</v>
      </c>
      <c r="B2430" s="20" t="s">
        <v>4233</v>
      </c>
      <c r="C2430" s="20">
        <v>0</v>
      </c>
      <c r="E2430" s="162" t="s">
        <v>8595</v>
      </c>
    </row>
    <row r="2431" spans="1:5">
      <c r="A2431" t="s">
        <v>4234</v>
      </c>
      <c r="B2431" s="20" t="s">
        <v>4234</v>
      </c>
      <c r="C2431" s="20">
        <v>0</v>
      </c>
      <c r="E2431" s="162" t="s">
        <v>8595</v>
      </c>
    </row>
    <row r="2432" spans="1:5">
      <c r="A2432" t="s">
        <v>4235</v>
      </c>
      <c r="B2432" s="20" t="s">
        <v>4236</v>
      </c>
      <c r="C2432" s="20">
        <v>0</v>
      </c>
      <c r="E2432" s="162" t="s">
        <v>8595</v>
      </c>
    </row>
    <row r="2433" spans="1:5">
      <c r="A2433" t="s">
        <v>4237</v>
      </c>
      <c r="B2433" s="20" t="s">
        <v>4237</v>
      </c>
      <c r="C2433" s="20">
        <v>0</v>
      </c>
      <c r="E2433" s="162" t="s">
        <v>8595</v>
      </c>
    </row>
    <row r="2434" spans="1:5">
      <c r="A2434" t="s">
        <v>4238</v>
      </c>
      <c r="B2434" s="20" t="s">
        <v>4239</v>
      </c>
      <c r="C2434" s="20">
        <v>0</v>
      </c>
      <c r="E2434" s="162" t="s">
        <v>8595</v>
      </c>
    </row>
    <row r="2435" spans="1:5">
      <c r="A2435" t="s">
        <v>4240</v>
      </c>
      <c r="B2435" s="20" t="s">
        <v>4240</v>
      </c>
      <c r="C2435" s="20">
        <v>0</v>
      </c>
      <c r="E2435" s="162" t="s">
        <v>8595</v>
      </c>
    </row>
    <row r="2436" spans="1:5">
      <c r="A2436" t="s">
        <v>4241</v>
      </c>
      <c r="B2436" s="20" t="s">
        <v>4242</v>
      </c>
      <c r="C2436" s="20">
        <v>0</v>
      </c>
      <c r="E2436" s="162" t="s">
        <v>8595</v>
      </c>
    </row>
    <row r="2437" spans="1:5">
      <c r="A2437" t="s">
        <v>4243</v>
      </c>
      <c r="B2437" s="20" t="s">
        <v>4243</v>
      </c>
      <c r="C2437" s="20">
        <v>0</v>
      </c>
      <c r="E2437" s="162" t="s">
        <v>8595</v>
      </c>
    </row>
    <row r="2438" spans="1:5">
      <c r="A2438" t="s">
        <v>4244</v>
      </c>
      <c r="B2438" s="20" t="s">
        <v>4245</v>
      </c>
      <c r="C2438" s="20">
        <v>0</v>
      </c>
      <c r="E2438" s="162" t="s">
        <v>8595</v>
      </c>
    </row>
    <row r="2439" spans="1:5">
      <c r="A2439" t="s">
        <v>4246</v>
      </c>
      <c r="B2439" s="20" t="s">
        <v>4246</v>
      </c>
      <c r="C2439" s="20">
        <v>0</v>
      </c>
      <c r="E2439" s="162" t="s">
        <v>8595</v>
      </c>
    </row>
    <row r="2440" spans="1:5">
      <c r="A2440" t="s">
        <v>4247</v>
      </c>
      <c r="B2440" s="20" t="s">
        <v>4248</v>
      </c>
      <c r="C2440" s="20">
        <v>0</v>
      </c>
      <c r="E2440" s="162" t="s">
        <v>8595</v>
      </c>
    </row>
    <row r="2441" spans="1:5">
      <c r="A2441" t="s">
        <v>4249</v>
      </c>
      <c r="B2441" s="20" t="s">
        <v>4249</v>
      </c>
      <c r="C2441" s="20">
        <v>0</v>
      </c>
      <c r="E2441" s="162" t="s">
        <v>8595</v>
      </c>
    </row>
    <row r="2442" spans="1:5">
      <c r="A2442" t="s">
        <v>4250</v>
      </c>
      <c r="B2442" s="20" t="s">
        <v>4251</v>
      </c>
      <c r="C2442" s="20">
        <v>0</v>
      </c>
      <c r="E2442" s="162" t="s">
        <v>8595</v>
      </c>
    </row>
    <row r="2443" spans="1:5">
      <c r="A2443" t="s">
        <v>4252</v>
      </c>
      <c r="B2443" s="20" t="s">
        <v>4253</v>
      </c>
      <c r="C2443" s="20" t="s">
        <v>254</v>
      </c>
      <c r="E2443" s="162" t="s">
        <v>8596</v>
      </c>
    </row>
    <row r="2444" spans="1:5">
      <c r="A2444" t="s">
        <v>4254</v>
      </c>
      <c r="B2444" s="20" t="s">
        <v>4255</v>
      </c>
      <c r="C2444" s="20" t="s">
        <v>254</v>
      </c>
      <c r="E2444" s="162" t="s">
        <v>8596</v>
      </c>
    </row>
    <row r="2445" spans="1:5">
      <c r="A2445" t="s">
        <v>4256</v>
      </c>
      <c r="B2445" s="20" t="s">
        <v>4257</v>
      </c>
      <c r="C2445" s="20" t="s">
        <v>254</v>
      </c>
      <c r="E2445" s="162" t="s">
        <v>8596</v>
      </c>
    </row>
    <row r="2446" spans="1:5">
      <c r="A2446" t="s">
        <v>4258</v>
      </c>
      <c r="B2446" s="20" t="s">
        <v>4259</v>
      </c>
      <c r="C2446" s="20" t="s">
        <v>254</v>
      </c>
      <c r="E2446" s="162" t="s">
        <v>8596</v>
      </c>
    </row>
    <row r="2447" spans="1:5">
      <c r="A2447" t="s">
        <v>4260</v>
      </c>
      <c r="B2447" s="20" t="s">
        <v>4261</v>
      </c>
      <c r="C2447" s="20" t="s">
        <v>4262</v>
      </c>
      <c r="E2447" s="162" t="s">
        <v>8597</v>
      </c>
    </row>
    <row r="2448" spans="1:5">
      <c r="A2448" t="s">
        <v>4263</v>
      </c>
      <c r="B2448" s="20" t="s">
        <v>4264</v>
      </c>
      <c r="C2448" s="20" t="s">
        <v>4262</v>
      </c>
      <c r="E2448" s="162" t="s">
        <v>8598</v>
      </c>
    </row>
    <row r="2449" spans="1:5">
      <c r="A2449" t="s">
        <v>4265</v>
      </c>
      <c r="B2449" s="20" t="s">
        <v>4266</v>
      </c>
      <c r="C2449" s="20" t="s">
        <v>4262</v>
      </c>
      <c r="E2449" s="162" t="s">
        <v>8599</v>
      </c>
    </row>
    <row r="2450" spans="1:5">
      <c r="A2450" t="s">
        <v>4267</v>
      </c>
      <c r="B2450" s="20" t="s">
        <v>4268</v>
      </c>
      <c r="C2450" s="20" t="s">
        <v>4262</v>
      </c>
      <c r="E2450" s="162" t="s">
        <v>8600</v>
      </c>
    </row>
    <row r="2451" spans="1:5">
      <c r="A2451" t="s">
        <v>4269</v>
      </c>
      <c r="B2451" s="20" t="s">
        <v>4269</v>
      </c>
      <c r="C2451" s="20">
        <v>0</v>
      </c>
      <c r="E2451" s="162" t="s">
        <v>8601</v>
      </c>
    </row>
    <row r="2452" spans="1:5">
      <c r="A2452" t="s">
        <v>4270</v>
      </c>
      <c r="B2452" s="20" t="s">
        <v>4270</v>
      </c>
      <c r="C2452" s="20">
        <v>0</v>
      </c>
      <c r="E2452" s="162" t="s">
        <v>8602</v>
      </c>
    </row>
    <row r="2453" spans="1:5">
      <c r="A2453" t="s">
        <v>4271</v>
      </c>
      <c r="B2453" s="20" t="s">
        <v>4272</v>
      </c>
      <c r="C2453" s="20">
        <v>0</v>
      </c>
      <c r="E2453" s="162" t="s">
        <v>4874</v>
      </c>
    </row>
    <row r="2454" spans="1:5">
      <c r="A2454" t="s">
        <v>4273</v>
      </c>
      <c r="B2454" s="20" t="s">
        <v>4274</v>
      </c>
      <c r="C2454" s="20">
        <v>0</v>
      </c>
      <c r="E2454" s="162" t="s">
        <v>4875</v>
      </c>
    </row>
    <row r="2455" spans="1:5">
      <c r="A2455" t="s">
        <v>4275</v>
      </c>
      <c r="B2455" s="20" t="s">
        <v>4276</v>
      </c>
      <c r="C2455" s="20">
        <v>0</v>
      </c>
      <c r="E2455" s="162" t="s">
        <v>4876</v>
      </c>
    </row>
    <row r="2456" spans="1:5">
      <c r="A2456" t="s">
        <v>4277</v>
      </c>
      <c r="B2456" s="20" t="s">
        <v>4278</v>
      </c>
      <c r="C2456" s="20">
        <v>0</v>
      </c>
      <c r="E2456" s="162" t="s">
        <v>4877</v>
      </c>
    </row>
    <row r="2457" spans="1:5">
      <c r="A2457" t="s">
        <v>4279</v>
      </c>
      <c r="B2457" s="20" t="s">
        <v>4280</v>
      </c>
      <c r="C2457" s="20">
        <v>0</v>
      </c>
      <c r="E2457" s="162" t="s">
        <v>8603</v>
      </c>
    </row>
    <row r="2458" spans="1:5">
      <c r="A2458" t="s">
        <v>4281</v>
      </c>
      <c r="B2458" s="20" t="s">
        <v>4282</v>
      </c>
      <c r="C2458" s="20">
        <v>0</v>
      </c>
      <c r="E2458" s="162" t="s">
        <v>8604</v>
      </c>
    </row>
    <row r="2459" spans="1:5">
      <c r="A2459" t="s">
        <v>4283</v>
      </c>
      <c r="B2459" s="20" t="s">
        <v>4284</v>
      </c>
      <c r="C2459" s="20">
        <v>0</v>
      </c>
      <c r="E2459" s="162" t="s">
        <v>8605</v>
      </c>
    </row>
    <row r="2460" spans="1:5">
      <c r="A2460" t="s">
        <v>4285</v>
      </c>
      <c r="B2460" s="20" t="s">
        <v>4286</v>
      </c>
      <c r="C2460" s="20">
        <v>0</v>
      </c>
      <c r="E2460" s="162" t="s">
        <v>8606</v>
      </c>
    </row>
    <row r="2461" spans="1:5">
      <c r="A2461" t="s">
        <v>4287</v>
      </c>
      <c r="B2461" s="20" t="s">
        <v>4288</v>
      </c>
      <c r="C2461" s="20">
        <v>0</v>
      </c>
      <c r="E2461" s="162" t="s">
        <v>8607</v>
      </c>
    </row>
    <row r="2462" spans="1:5">
      <c r="A2462" t="s">
        <v>4289</v>
      </c>
      <c r="B2462" s="20" t="s">
        <v>4290</v>
      </c>
      <c r="C2462" s="20">
        <v>0</v>
      </c>
      <c r="E2462" s="162" t="s">
        <v>8608</v>
      </c>
    </row>
    <row r="2463" spans="1:5">
      <c r="A2463" t="s">
        <v>4291</v>
      </c>
      <c r="B2463" s="20" t="s">
        <v>4292</v>
      </c>
      <c r="C2463" s="20">
        <v>0</v>
      </c>
      <c r="E2463" s="162" t="s">
        <v>8609</v>
      </c>
    </row>
    <row r="2464" spans="1:5">
      <c r="A2464" t="s">
        <v>4293</v>
      </c>
      <c r="B2464" s="20" t="s">
        <v>4294</v>
      </c>
      <c r="C2464" s="20">
        <v>0</v>
      </c>
      <c r="E2464" s="162" t="s">
        <v>8610</v>
      </c>
    </row>
    <row r="2465" spans="1:5">
      <c r="A2465" t="s">
        <v>4295</v>
      </c>
      <c r="B2465" s="20" t="s">
        <v>4296</v>
      </c>
      <c r="C2465" s="20">
        <v>0</v>
      </c>
      <c r="E2465" s="162" t="s">
        <v>8611</v>
      </c>
    </row>
    <row r="2466" spans="1:5">
      <c r="A2466" t="s">
        <v>4297</v>
      </c>
      <c r="B2466" s="20" t="s">
        <v>4298</v>
      </c>
      <c r="C2466" s="20">
        <v>0</v>
      </c>
      <c r="E2466" s="162" t="s">
        <v>8612</v>
      </c>
    </row>
    <row r="2467" spans="1:5">
      <c r="A2467" t="s">
        <v>4299</v>
      </c>
      <c r="B2467" s="20" t="s">
        <v>4300</v>
      </c>
      <c r="C2467" s="20" t="s">
        <v>4301</v>
      </c>
      <c r="E2467" s="162" t="s">
        <v>8613</v>
      </c>
    </row>
    <row r="2468" spans="1:5">
      <c r="A2468" t="s">
        <v>4302</v>
      </c>
      <c r="B2468" s="20" t="s">
        <v>4303</v>
      </c>
      <c r="C2468" s="20" t="s">
        <v>4304</v>
      </c>
      <c r="E2468" s="162" t="s">
        <v>8614</v>
      </c>
    </row>
    <row r="2469" spans="1:5">
      <c r="A2469" t="s">
        <v>4305</v>
      </c>
      <c r="B2469" s="20" t="s">
        <v>4306</v>
      </c>
      <c r="C2469" s="20" t="s">
        <v>4301</v>
      </c>
      <c r="E2469" s="162" t="s">
        <v>8615</v>
      </c>
    </row>
    <row r="2470" spans="1:5">
      <c r="A2470" t="s">
        <v>4307</v>
      </c>
      <c r="B2470" s="20" t="s">
        <v>4308</v>
      </c>
      <c r="C2470" s="20" t="s">
        <v>4301</v>
      </c>
      <c r="E2470" s="162" t="s">
        <v>8616</v>
      </c>
    </row>
    <row r="2471" spans="1:5">
      <c r="A2471" t="s">
        <v>4309</v>
      </c>
      <c r="B2471" s="20" t="s">
        <v>4310</v>
      </c>
      <c r="C2471" s="20" t="s">
        <v>4304</v>
      </c>
      <c r="E2471" s="162" t="s">
        <v>8617</v>
      </c>
    </row>
    <row r="2472" spans="1:5">
      <c r="A2472" t="s">
        <v>4311</v>
      </c>
      <c r="B2472" s="20" t="s">
        <v>4312</v>
      </c>
      <c r="C2472" s="20" t="s">
        <v>4301</v>
      </c>
      <c r="E2472" s="162" t="s">
        <v>8618</v>
      </c>
    </row>
    <row r="2473" spans="1:5">
      <c r="A2473" t="s">
        <v>4313</v>
      </c>
      <c r="B2473" s="20" t="s">
        <v>4314</v>
      </c>
      <c r="C2473" s="20">
        <v>0</v>
      </c>
      <c r="E2473" s="162" t="s">
        <v>8619</v>
      </c>
    </row>
    <row r="2474" spans="1:5">
      <c r="A2474" t="s">
        <v>4315</v>
      </c>
      <c r="B2474" s="20" t="s">
        <v>4316</v>
      </c>
      <c r="C2474" s="20">
        <v>0</v>
      </c>
      <c r="E2474" s="162" t="s">
        <v>8620</v>
      </c>
    </row>
    <row r="2475" spans="1:5">
      <c r="A2475" t="s">
        <v>4317</v>
      </c>
      <c r="B2475" s="20" t="s">
        <v>4318</v>
      </c>
      <c r="C2475" s="20">
        <v>0</v>
      </c>
      <c r="E2475" s="162" t="s">
        <v>8621</v>
      </c>
    </row>
    <row r="2476" spans="1:5">
      <c r="A2476" t="s">
        <v>4319</v>
      </c>
      <c r="B2476" s="20" t="s">
        <v>4320</v>
      </c>
      <c r="C2476" s="20">
        <v>0</v>
      </c>
      <c r="E2476" s="162" t="s">
        <v>8622</v>
      </c>
    </row>
    <row r="2477" spans="1:5">
      <c r="A2477" t="s">
        <v>4321</v>
      </c>
      <c r="B2477" s="20" t="s">
        <v>4322</v>
      </c>
      <c r="C2477" s="20">
        <v>0</v>
      </c>
      <c r="E2477" s="162" t="s">
        <v>8623</v>
      </c>
    </row>
    <row r="2478" spans="1:5">
      <c r="A2478" t="s">
        <v>4323</v>
      </c>
      <c r="B2478" s="20" t="s">
        <v>4324</v>
      </c>
      <c r="C2478" s="20">
        <v>0</v>
      </c>
      <c r="E2478" s="162" t="s">
        <v>8624</v>
      </c>
    </row>
    <row r="2479" spans="1:5">
      <c r="A2479" t="s">
        <v>4325</v>
      </c>
      <c r="B2479" s="20" t="s">
        <v>4326</v>
      </c>
      <c r="C2479" s="20">
        <v>0</v>
      </c>
      <c r="E2479" s="162" t="s">
        <v>8625</v>
      </c>
    </row>
    <row r="2480" spans="1:5">
      <c r="A2480" t="s">
        <v>4327</v>
      </c>
      <c r="B2480" s="20" t="s">
        <v>4328</v>
      </c>
      <c r="C2480" s="20">
        <v>0</v>
      </c>
      <c r="E2480" s="162" t="s">
        <v>8626</v>
      </c>
    </row>
    <row r="2481" spans="1:5">
      <c r="A2481" t="s">
        <v>4329</v>
      </c>
      <c r="B2481" s="20" t="s">
        <v>4330</v>
      </c>
      <c r="C2481" s="20">
        <v>0</v>
      </c>
      <c r="E2481" s="162" t="s">
        <v>8627</v>
      </c>
    </row>
    <row r="2482" spans="1:5">
      <c r="A2482" t="s">
        <v>4331</v>
      </c>
      <c r="B2482" s="20" t="s">
        <v>4332</v>
      </c>
      <c r="C2482" s="20">
        <v>0</v>
      </c>
      <c r="E2482" s="162" t="s">
        <v>8628</v>
      </c>
    </row>
    <row r="2483" spans="1:5">
      <c r="A2483" t="s">
        <v>4333</v>
      </c>
      <c r="B2483" s="20" t="s">
        <v>4334</v>
      </c>
      <c r="C2483" s="20">
        <v>0</v>
      </c>
      <c r="E2483" s="162" t="s">
        <v>8629</v>
      </c>
    </row>
    <row r="2484" spans="1:5">
      <c r="A2484" t="s">
        <v>4335</v>
      </c>
      <c r="B2484" s="20" t="s">
        <v>4336</v>
      </c>
      <c r="C2484" s="20">
        <v>0</v>
      </c>
      <c r="E2484" s="162" t="s">
        <v>8630</v>
      </c>
    </row>
    <row r="2485" spans="1:5">
      <c r="A2485" t="s">
        <v>4337</v>
      </c>
      <c r="B2485" s="20" t="s">
        <v>4338</v>
      </c>
      <c r="C2485" s="20" t="s">
        <v>4119</v>
      </c>
      <c r="E2485" s="162" t="s">
        <v>8631</v>
      </c>
    </row>
    <row r="2486" spans="1:5">
      <c r="A2486" t="s">
        <v>4339</v>
      </c>
      <c r="B2486" s="20" t="s">
        <v>4340</v>
      </c>
      <c r="C2486" s="20" t="s">
        <v>4119</v>
      </c>
      <c r="E2486" s="162" t="s">
        <v>8632</v>
      </c>
    </row>
    <row r="2487" spans="1:5">
      <c r="A2487" t="s">
        <v>4341</v>
      </c>
      <c r="B2487" s="20" t="s">
        <v>4342</v>
      </c>
      <c r="C2487" s="20">
        <v>0</v>
      </c>
      <c r="E2487" s="162" t="s">
        <v>8633</v>
      </c>
    </row>
    <row r="2488" spans="1:5">
      <c r="A2488" t="s">
        <v>4343</v>
      </c>
      <c r="B2488" s="20" t="s">
        <v>4344</v>
      </c>
      <c r="C2488" s="20">
        <v>0</v>
      </c>
      <c r="E2488" s="162" t="s">
        <v>8634</v>
      </c>
    </row>
    <row r="2489" spans="1:5">
      <c r="A2489" t="s">
        <v>4345</v>
      </c>
      <c r="B2489" s="20" t="s">
        <v>4346</v>
      </c>
      <c r="C2489" s="20">
        <v>0</v>
      </c>
      <c r="E2489" s="162" t="s">
        <v>8635</v>
      </c>
    </row>
    <row r="2490" spans="1:5">
      <c r="A2490" t="s">
        <v>4347</v>
      </c>
      <c r="B2490" s="20" t="s">
        <v>4348</v>
      </c>
      <c r="C2490" s="20">
        <v>0</v>
      </c>
      <c r="E2490" s="162" t="s">
        <v>8636</v>
      </c>
    </row>
    <row r="2491" spans="1:5">
      <c r="A2491" t="s">
        <v>4349</v>
      </c>
      <c r="B2491" s="20" t="s">
        <v>4350</v>
      </c>
      <c r="C2491" s="20">
        <v>0</v>
      </c>
      <c r="E2491" s="162" t="s">
        <v>8636</v>
      </c>
    </row>
    <row r="2492" spans="1:5">
      <c r="A2492" t="s">
        <v>4351</v>
      </c>
      <c r="B2492" s="20" t="s">
        <v>4352</v>
      </c>
      <c r="C2492" s="20">
        <v>0</v>
      </c>
      <c r="E2492" s="162" t="s">
        <v>8637</v>
      </c>
    </row>
    <row r="2493" spans="1:5">
      <c r="A2493" t="s">
        <v>4353</v>
      </c>
      <c r="B2493" s="20" t="s">
        <v>4354</v>
      </c>
      <c r="C2493" s="20">
        <v>0</v>
      </c>
      <c r="E2493" s="162" t="s">
        <v>8636</v>
      </c>
    </row>
    <row r="2494" spans="1:5">
      <c r="A2494" t="s">
        <v>4355</v>
      </c>
      <c r="B2494" s="20" t="s">
        <v>4356</v>
      </c>
      <c r="C2494" s="20">
        <v>0</v>
      </c>
      <c r="E2494" s="162" t="s">
        <v>8637</v>
      </c>
    </row>
    <row r="2495" spans="1:5">
      <c r="A2495" t="s">
        <v>4357</v>
      </c>
      <c r="B2495" s="20" t="s">
        <v>4358</v>
      </c>
      <c r="C2495" s="20">
        <v>0</v>
      </c>
      <c r="E2495" s="162" t="s">
        <v>8638</v>
      </c>
    </row>
    <row r="2496" spans="1:5">
      <c r="A2496" t="s">
        <v>4359</v>
      </c>
      <c r="B2496" s="20" t="s">
        <v>4360</v>
      </c>
      <c r="C2496" s="20">
        <v>0</v>
      </c>
      <c r="E2496" s="162" t="s">
        <v>8639</v>
      </c>
    </row>
    <row r="2497" spans="1:5">
      <c r="A2497" t="s">
        <v>4361</v>
      </c>
      <c r="B2497" s="20" t="s">
        <v>4362</v>
      </c>
      <c r="C2497" s="20" t="s">
        <v>4363</v>
      </c>
      <c r="E2497" s="162" t="s">
        <v>8640</v>
      </c>
    </row>
    <row r="2498" spans="1:5">
      <c r="A2498" t="s">
        <v>4364</v>
      </c>
      <c r="B2498" s="20" t="s">
        <v>4365</v>
      </c>
      <c r="C2498" s="20">
        <v>0</v>
      </c>
      <c r="E2498" s="162" t="s">
        <v>8641</v>
      </c>
    </row>
    <row r="2499" spans="1:5">
      <c r="A2499" t="s">
        <v>4366</v>
      </c>
      <c r="B2499" s="20" t="s">
        <v>4367</v>
      </c>
      <c r="C2499" s="20" t="s">
        <v>4368</v>
      </c>
      <c r="E2499" s="162" t="s">
        <v>8642</v>
      </c>
    </row>
    <row r="2500" spans="1:5">
      <c r="A2500" t="s">
        <v>4369</v>
      </c>
      <c r="B2500" s="20" t="s">
        <v>4370</v>
      </c>
      <c r="C2500" s="20">
        <v>0</v>
      </c>
      <c r="E2500" s="162" t="s">
        <v>8643</v>
      </c>
    </row>
    <row r="2501" spans="1:5">
      <c r="A2501" t="s">
        <v>4371</v>
      </c>
      <c r="B2501" s="20" t="s">
        <v>4372</v>
      </c>
      <c r="C2501" s="20">
        <v>0</v>
      </c>
      <c r="E2501" s="162" t="s">
        <v>8644</v>
      </c>
    </row>
    <row r="2502" spans="1:5">
      <c r="A2502" t="s">
        <v>4373</v>
      </c>
      <c r="B2502" s="20" t="s">
        <v>4374</v>
      </c>
      <c r="C2502" s="20">
        <v>0</v>
      </c>
      <c r="E2502" s="162" t="s">
        <v>6675</v>
      </c>
    </row>
    <row r="2503" spans="1:5">
      <c r="A2503" t="s">
        <v>4373</v>
      </c>
      <c r="B2503" s="20" t="s">
        <v>4374</v>
      </c>
      <c r="C2503" s="20">
        <v>0</v>
      </c>
      <c r="E2503" s="162" t="s">
        <v>6675</v>
      </c>
    </row>
    <row r="2504" spans="1:5">
      <c r="A2504" t="s">
        <v>4375</v>
      </c>
      <c r="B2504" s="20" t="s">
        <v>4375</v>
      </c>
      <c r="C2504" s="20">
        <v>0</v>
      </c>
      <c r="E2504" s="162" t="s">
        <v>8645</v>
      </c>
    </row>
    <row r="2505" spans="1:5">
      <c r="A2505" t="s">
        <v>4376</v>
      </c>
      <c r="B2505" s="20" t="s">
        <v>4377</v>
      </c>
      <c r="C2505" s="20">
        <v>0</v>
      </c>
      <c r="E2505" s="162" t="s">
        <v>8645</v>
      </c>
    </row>
    <row r="2506" spans="1:5">
      <c r="A2506" t="s">
        <v>4378</v>
      </c>
      <c r="B2506" s="20" t="s">
        <v>4378</v>
      </c>
      <c r="C2506" s="20">
        <v>0</v>
      </c>
      <c r="E2506" s="162" t="s">
        <v>8646</v>
      </c>
    </row>
    <row r="2507" spans="1:5">
      <c r="A2507" t="s">
        <v>4379</v>
      </c>
      <c r="B2507" s="20" t="s">
        <v>4379</v>
      </c>
      <c r="C2507" s="20">
        <v>0</v>
      </c>
      <c r="E2507" s="162" t="s">
        <v>8647</v>
      </c>
    </row>
    <row r="2508" spans="1:5">
      <c r="A2508" t="s">
        <v>4380</v>
      </c>
      <c r="B2508" s="20" t="s">
        <v>4380</v>
      </c>
      <c r="C2508" s="20">
        <v>0</v>
      </c>
      <c r="E2508" s="162" t="s">
        <v>8648</v>
      </c>
    </row>
    <row r="2509" spans="1:5">
      <c r="A2509" t="s">
        <v>4381</v>
      </c>
      <c r="B2509" s="20" t="s">
        <v>4381</v>
      </c>
      <c r="C2509" s="20">
        <v>0</v>
      </c>
      <c r="E2509" s="162" t="s">
        <v>8649</v>
      </c>
    </row>
    <row r="2510" spans="1:5">
      <c r="A2510" t="s">
        <v>4382</v>
      </c>
      <c r="B2510" s="20" t="s">
        <v>4382</v>
      </c>
      <c r="C2510" s="20">
        <v>0</v>
      </c>
      <c r="E2510" s="162" t="s">
        <v>8650</v>
      </c>
    </row>
    <row r="2511" spans="1:5">
      <c r="A2511" t="s">
        <v>4383</v>
      </c>
      <c r="B2511" s="20" t="s">
        <v>4383</v>
      </c>
      <c r="C2511" s="20">
        <v>0</v>
      </c>
      <c r="E2511" s="162" t="s">
        <v>8651</v>
      </c>
    </row>
    <row r="2512" spans="1:5">
      <c r="A2512" t="s">
        <v>4384</v>
      </c>
      <c r="B2512" s="20" t="s">
        <v>4384</v>
      </c>
      <c r="C2512" s="20">
        <v>0</v>
      </c>
      <c r="E2512" s="162" t="s">
        <v>8652</v>
      </c>
    </row>
    <row r="2513" spans="1:5">
      <c r="A2513" t="s">
        <v>4385</v>
      </c>
      <c r="B2513" s="20" t="s">
        <v>4386</v>
      </c>
      <c r="C2513" s="20">
        <v>0</v>
      </c>
      <c r="E2513" s="162" t="s">
        <v>8652</v>
      </c>
    </row>
    <row r="2514" spans="1:5">
      <c r="A2514" t="s">
        <v>4387</v>
      </c>
      <c r="B2514" s="20" t="s">
        <v>4387</v>
      </c>
      <c r="C2514" s="20">
        <v>0</v>
      </c>
      <c r="E2514" s="162" t="s">
        <v>8653</v>
      </c>
    </row>
    <row r="2515" spans="1:5">
      <c r="A2515" t="s">
        <v>4388</v>
      </c>
      <c r="B2515" s="20" t="s">
        <v>4389</v>
      </c>
      <c r="C2515" s="20">
        <v>0</v>
      </c>
      <c r="E2515" s="162" t="s">
        <v>8653</v>
      </c>
    </row>
    <row r="2516" spans="1:5">
      <c r="A2516" t="s">
        <v>4390</v>
      </c>
      <c r="B2516" s="20" t="s">
        <v>4390</v>
      </c>
      <c r="C2516" s="20">
        <v>0</v>
      </c>
      <c r="E2516" s="162" t="s">
        <v>8654</v>
      </c>
    </row>
    <row r="2517" spans="1:5">
      <c r="A2517" t="s">
        <v>4391</v>
      </c>
      <c r="B2517" s="20" t="s">
        <v>4392</v>
      </c>
      <c r="C2517" s="20">
        <v>0</v>
      </c>
      <c r="E2517" s="162" t="s">
        <v>8654</v>
      </c>
    </row>
    <row r="2518" spans="1:5">
      <c r="A2518" t="s">
        <v>4393</v>
      </c>
      <c r="B2518" s="20" t="s">
        <v>4393</v>
      </c>
      <c r="C2518" s="20">
        <v>0</v>
      </c>
      <c r="E2518" s="162" t="s">
        <v>8655</v>
      </c>
    </row>
    <row r="2519" spans="1:5">
      <c r="A2519" t="s">
        <v>4394</v>
      </c>
      <c r="B2519" s="20" t="s">
        <v>4395</v>
      </c>
      <c r="C2519" s="20">
        <v>0</v>
      </c>
      <c r="E2519" s="162" t="s">
        <v>8655</v>
      </c>
    </row>
    <row r="2520" spans="1:5">
      <c r="A2520" t="s">
        <v>4396</v>
      </c>
      <c r="B2520" s="20" t="s">
        <v>4396</v>
      </c>
      <c r="C2520" s="20">
        <v>0</v>
      </c>
      <c r="E2520" s="162" t="s">
        <v>8656</v>
      </c>
    </row>
    <row r="2521" spans="1:5">
      <c r="A2521" t="s">
        <v>4397</v>
      </c>
      <c r="B2521" s="20" t="s">
        <v>4398</v>
      </c>
      <c r="C2521" s="20">
        <v>0</v>
      </c>
      <c r="E2521" s="162" t="s">
        <v>8656</v>
      </c>
    </row>
    <row r="2522" spans="1:5">
      <c r="A2522" t="s">
        <v>4399</v>
      </c>
      <c r="B2522" s="20" t="s">
        <v>4400</v>
      </c>
      <c r="C2522" s="20">
        <v>0</v>
      </c>
      <c r="E2522" s="162" t="s">
        <v>8657</v>
      </c>
    </row>
    <row r="2523" spans="1:5">
      <c r="A2523" t="s">
        <v>4401</v>
      </c>
      <c r="B2523" s="20" t="s">
        <v>4402</v>
      </c>
      <c r="C2523" s="20">
        <v>0</v>
      </c>
      <c r="E2523" s="162" t="s">
        <v>8658</v>
      </c>
    </row>
    <row r="2524" spans="1:5">
      <c r="A2524" t="s">
        <v>4403</v>
      </c>
      <c r="B2524" s="20" t="s">
        <v>4404</v>
      </c>
      <c r="C2524" s="20">
        <v>0</v>
      </c>
      <c r="E2524" s="162" t="s">
        <v>8659</v>
      </c>
    </row>
    <row r="2525" spans="1:5">
      <c r="A2525" t="s">
        <v>4405</v>
      </c>
      <c r="B2525" s="20" t="s">
        <v>4406</v>
      </c>
      <c r="C2525" s="20">
        <v>0</v>
      </c>
      <c r="E2525" s="162" t="s">
        <v>8660</v>
      </c>
    </row>
    <row r="2526" spans="1:5">
      <c r="A2526" t="s">
        <v>4407</v>
      </c>
      <c r="B2526" s="20" t="s">
        <v>4408</v>
      </c>
      <c r="C2526" s="20">
        <v>0</v>
      </c>
      <c r="E2526" s="162" t="s">
        <v>8661</v>
      </c>
    </row>
    <row r="2527" spans="1:5">
      <c r="A2527" t="s">
        <v>4409</v>
      </c>
      <c r="B2527" s="20" t="s">
        <v>4410</v>
      </c>
      <c r="C2527" s="20">
        <v>0</v>
      </c>
      <c r="E2527" s="162" t="s">
        <v>8662</v>
      </c>
    </row>
    <row r="2528" spans="1:5">
      <c r="A2528" t="s">
        <v>4411</v>
      </c>
      <c r="B2528" s="20" t="s">
        <v>4412</v>
      </c>
      <c r="C2528" s="20">
        <v>0</v>
      </c>
      <c r="E2528" s="162" t="s">
        <v>8663</v>
      </c>
    </row>
    <row r="2529" spans="1:5">
      <c r="A2529" t="s">
        <v>4413</v>
      </c>
      <c r="B2529" s="20" t="s">
        <v>4414</v>
      </c>
      <c r="C2529" s="20">
        <v>0</v>
      </c>
      <c r="E2529" s="162" t="s">
        <v>8664</v>
      </c>
    </row>
    <row r="2530" spans="1:5">
      <c r="A2530" t="s">
        <v>4415</v>
      </c>
      <c r="B2530" s="20" t="s">
        <v>4416</v>
      </c>
      <c r="C2530" s="20">
        <v>0</v>
      </c>
      <c r="E2530" s="162" t="s">
        <v>8665</v>
      </c>
    </row>
    <row r="2531" spans="1:5">
      <c r="A2531" t="s">
        <v>4417</v>
      </c>
      <c r="B2531" s="20" t="s">
        <v>4418</v>
      </c>
      <c r="C2531" s="20">
        <v>0</v>
      </c>
      <c r="E2531" s="162" t="s">
        <v>8666</v>
      </c>
    </row>
    <row r="2532" spans="1:5">
      <c r="A2532" t="s">
        <v>4419</v>
      </c>
      <c r="B2532" s="20" t="s">
        <v>4420</v>
      </c>
      <c r="C2532" s="20" t="s">
        <v>4421</v>
      </c>
      <c r="E2532" s="162" t="s">
        <v>8667</v>
      </c>
    </row>
    <row r="2533" spans="1:5">
      <c r="A2533" t="s">
        <v>4422</v>
      </c>
      <c r="B2533" s="20" t="s">
        <v>4423</v>
      </c>
      <c r="C2533" s="20">
        <v>0</v>
      </c>
      <c r="E2533" s="162" t="s">
        <v>8668</v>
      </c>
    </row>
    <row r="2534" spans="1:5">
      <c r="A2534" t="s">
        <v>4424</v>
      </c>
      <c r="B2534" s="20" t="s">
        <v>4425</v>
      </c>
      <c r="C2534" s="20">
        <v>0</v>
      </c>
      <c r="E2534" s="162" t="s">
        <v>8669</v>
      </c>
    </row>
    <row r="2535" spans="1:5">
      <c r="A2535" t="s">
        <v>4426</v>
      </c>
      <c r="B2535" s="20" t="s">
        <v>4427</v>
      </c>
      <c r="C2535" s="20">
        <v>0</v>
      </c>
      <c r="E2535" s="162" t="s">
        <v>8670</v>
      </c>
    </row>
    <row r="2536" spans="1:5">
      <c r="A2536" t="s">
        <v>4428</v>
      </c>
      <c r="B2536" s="20" t="s">
        <v>4429</v>
      </c>
      <c r="C2536" s="20">
        <v>0</v>
      </c>
      <c r="E2536" s="162" t="s">
        <v>8671</v>
      </c>
    </row>
    <row r="2537" spans="1:5">
      <c r="A2537" t="s">
        <v>4430</v>
      </c>
      <c r="B2537" s="20" t="s">
        <v>4431</v>
      </c>
      <c r="C2537" s="20">
        <v>0</v>
      </c>
      <c r="E2537" s="162" t="s">
        <v>8672</v>
      </c>
    </row>
    <row r="2538" spans="1:5">
      <c r="A2538" t="s">
        <v>4432</v>
      </c>
      <c r="B2538" s="20" t="s">
        <v>4433</v>
      </c>
      <c r="C2538" s="20">
        <v>0</v>
      </c>
      <c r="E2538" s="162" t="s">
        <v>8673</v>
      </c>
    </row>
    <row r="2539" spans="1:5">
      <c r="A2539" t="s">
        <v>4434</v>
      </c>
      <c r="B2539" s="20" t="s">
        <v>4435</v>
      </c>
      <c r="C2539" s="20">
        <v>0</v>
      </c>
      <c r="E2539" s="162" t="s">
        <v>8674</v>
      </c>
    </row>
    <row r="2540" spans="1:5">
      <c r="A2540" t="s">
        <v>4436</v>
      </c>
      <c r="B2540" s="20" t="s">
        <v>4437</v>
      </c>
      <c r="C2540" s="20">
        <v>0</v>
      </c>
      <c r="E2540" s="162" t="s">
        <v>8675</v>
      </c>
    </row>
    <row r="2541" spans="1:5">
      <c r="A2541" t="s">
        <v>4438</v>
      </c>
      <c r="B2541" s="20" t="s">
        <v>4439</v>
      </c>
      <c r="C2541" s="20">
        <v>0</v>
      </c>
      <c r="E2541" s="162" t="s">
        <v>8676</v>
      </c>
    </row>
    <row r="2542" spans="1:5">
      <c r="A2542" t="s">
        <v>4440</v>
      </c>
      <c r="B2542" s="20" t="s">
        <v>4441</v>
      </c>
      <c r="C2542" s="20">
        <v>0</v>
      </c>
      <c r="E2542" s="162" t="s">
        <v>8677</v>
      </c>
    </row>
    <row r="2543" spans="1:5">
      <c r="A2543" t="s">
        <v>4442</v>
      </c>
      <c r="B2543" s="20" t="s">
        <v>4443</v>
      </c>
      <c r="C2543" s="20">
        <v>0</v>
      </c>
      <c r="E2543" s="162" t="s">
        <v>8678</v>
      </c>
    </row>
    <row r="2544" spans="1:5">
      <c r="A2544" t="s">
        <v>4444</v>
      </c>
      <c r="B2544" s="20" t="s">
        <v>4445</v>
      </c>
      <c r="C2544" s="20">
        <v>0</v>
      </c>
      <c r="E2544" s="162" t="s">
        <v>8679</v>
      </c>
    </row>
    <row r="2545" spans="1:5">
      <c r="A2545" t="s">
        <v>4446</v>
      </c>
      <c r="B2545" s="20" t="s">
        <v>4447</v>
      </c>
      <c r="C2545" s="20">
        <v>0</v>
      </c>
      <c r="E2545" s="162" t="s">
        <v>8680</v>
      </c>
    </row>
    <row r="2546" spans="1:5">
      <c r="A2546" t="s">
        <v>4448</v>
      </c>
      <c r="B2546" s="20" t="s">
        <v>4449</v>
      </c>
      <c r="C2546" s="20">
        <v>0</v>
      </c>
      <c r="E2546" s="162" t="s">
        <v>8681</v>
      </c>
    </row>
    <row r="2547" spans="1:5">
      <c r="A2547" t="s">
        <v>4450</v>
      </c>
      <c r="B2547" s="20" t="s">
        <v>4451</v>
      </c>
      <c r="C2547" s="20">
        <v>0</v>
      </c>
      <c r="E2547" s="162" t="s">
        <v>8682</v>
      </c>
    </row>
    <row r="2548" spans="1:5">
      <c r="A2548" t="s">
        <v>4452</v>
      </c>
      <c r="B2548" s="20" t="s">
        <v>4453</v>
      </c>
      <c r="C2548" s="20">
        <v>0</v>
      </c>
      <c r="E2548" s="162" t="s">
        <v>8683</v>
      </c>
    </row>
    <row r="2549" spans="1:5">
      <c r="A2549" t="s">
        <v>4454</v>
      </c>
      <c r="B2549" s="20" t="s">
        <v>4455</v>
      </c>
      <c r="C2549" s="20">
        <v>0</v>
      </c>
      <c r="E2549" s="162" t="s">
        <v>8684</v>
      </c>
    </row>
    <row r="2550" spans="1:5">
      <c r="A2550" t="s">
        <v>4456</v>
      </c>
      <c r="B2550" s="20" t="s">
        <v>4457</v>
      </c>
      <c r="C2550" s="20">
        <v>0</v>
      </c>
      <c r="E2550" s="162" t="s">
        <v>8685</v>
      </c>
    </row>
    <row r="2551" spans="1:5">
      <c r="A2551" t="s">
        <v>4458</v>
      </c>
      <c r="B2551" s="20" t="s">
        <v>4459</v>
      </c>
      <c r="C2551" s="20">
        <v>0</v>
      </c>
      <c r="E2551" s="162" t="s">
        <v>8686</v>
      </c>
    </row>
    <row r="2552" spans="1:5">
      <c r="A2552" t="s">
        <v>4460</v>
      </c>
      <c r="B2552" s="20" t="s">
        <v>4461</v>
      </c>
      <c r="C2552" s="20">
        <v>0</v>
      </c>
      <c r="E2552" s="162" t="s">
        <v>8687</v>
      </c>
    </row>
    <row r="2553" spans="1:5">
      <c r="A2553" t="s">
        <v>4462</v>
      </c>
      <c r="B2553" s="20" t="s">
        <v>4463</v>
      </c>
      <c r="C2553" s="20">
        <v>0</v>
      </c>
      <c r="E2553" s="162" t="s">
        <v>8688</v>
      </c>
    </row>
    <row r="2554" spans="1:5">
      <c r="A2554" t="s">
        <v>4464</v>
      </c>
      <c r="B2554" s="20" t="s">
        <v>4465</v>
      </c>
      <c r="C2554" s="20">
        <v>0</v>
      </c>
      <c r="E2554" s="162" t="s">
        <v>8689</v>
      </c>
    </row>
    <row r="2555" spans="1:5">
      <c r="A2555" t="s">
        <v>4466</v>
      </c>
      <c r="B2555" s="20" t="s">
        <v>4467</v>
      </c>
      <c r="C2555" s="20">
        <v>0</v>
      </c>
      <c r="E2555" s="162" t="s">
        <v>8690</v>
      </c>
    </row>
    <row r="2556" spans="1:5">
      <c r="A2556" t="s">
        <v>4468</v>
      </c>
      <c r="B2556" s="20" t="s">
        <v>4469</v>
      </c>
      <c r="C2556" s="20" t="s">
        <v>4470</v>
      </c>
      <c r="E2556" s="162" t="s">
        <v>8691</v>
      </c>
    </row>
    <row r="2557" spans="1:5">
      <c r="A2557" t="s">
        <v>4471</v>
      </c>
      <c r="B2557" s="20" t="s">
        <v>4472</v>
      </c>
      <c r="C2557" s="20" t="s">
        <v>4470</v>
      </c>
      <c r="E2557" s="162" t="s">
        <v>8692</v>
      </c>
    </row>
    <row r="2558" spans="1:5">
      <c r="A2558" t="s">
        <v>4473</v>
      </c>
      <c r="B2558" s="20" t="s">
        <v>4474</v>
      </c>
      <c r="C2558" s="20">
        <v>0</v>
      </c>
      <c r="E2558" s="162" t="s">
        <v>8693</v>
      </c>
    </row>
    <row r="2559" spans="1:5">
      <c r="A2559" t="s">
        <v>4475</v>
      </c>
      <c r="B2559" s="20" t="s">
        <v>4476</v>
      </c>
      <c r="C2559" s="20">
        <v>0</v>
      </c>
      <c r="E2559" s="162" t="s">
        <v>8694</v>
      </c>
    </row>
    <row r="2560" spans="1:5">
      <c r="A2560" t="s">
        <v>4477</v>
      </c>
      <c r="B2560" s="20" t="s">
        <v>4478</v>
      </c>
      <c r="C2560" s="20">
        <v>0</v>
      </c>
      <c r="E2560" s="162" t="s">
        <v>8695</v>
      </c>
    </row>
    <row r="2561" spans="1:5">
      <c r="A2561" t="s">
        <v>4479</v>
      </c>
      <c r="B2561" s="20" t="s">
        <v>4480</v>
      </c>
      <c r="C2561" s="20" t="s">
        <v>9289</v>
      </c>
      <c r="E2561" s="162" t="s">
        <v>8696</v>
      </c>
    </row>
    <row r="2562" spans="1:5">
      <c r="A2562" t="s">
        <v>4481</v>
      </c>
      <c r="B2562" s="20" t="s">
        <v>4482</v>
      </c>
      <c r="C2562" s="20" t="s">
        <v>9289</v>
      </c>
      <c r="E2562" s="162" t="s">
        <v>8697</v>
      </c>
    </row>
    <row r="2563" spans="1:5">
      <c r="A2563" t="s">
        <v>4483</v>
      </c>
      <c r="B2563" s="20" t="s">
        <v>4484</v>
      </c>
      <c r="C2563" s="20" t="s">
        <v>9289</v>
      </c>
      <c r="E2563" s="162" t="s">
        <v>8698</v>
      </c>
    </row>
    <row r="2564" spans="1:5">
      <c r="A2564" t="s">
        <v>4485</v>
      </c>
      <c r="B2564" s="20" t="s">
        <v>4486</v>
      </c>
      <c r="C2564" s="20" t="s">
        <v>9289</v>
      </c>
      <c r="E2564" s="162" t="s">
        <v>8699</v>
      </c>
    </row>
    <row r="2565" spans="1:5">
      <c r="A2565" t="s">
        <v>4487</v>
      </c>
      <c r="B2565" s="20" t="s">
        <v>4488</v>
      </c>
      <c r="C2565" s="20" t="s">
        <v>9289</v>
      </c>
      <c r="E2565" s="162" t="s">
        <v>8700</v>
      </c>
    </row>
    <row r="2566" spans="1:5">
      <c r="A2566" t="s">
        <v>4489</v>
      </c>
      <c r="B2566" s="20" t="s">
        <v>4490</v>
      </c>
      <c r="C2566" s="20" t="s">
        <v>9289</v>
      </c>
      <c r="E2566" s="162" t="s">
        <v>8701</v>
      </c>
    </row>
    <row r="2567" spans="1:5">
      <c r="A2567" t="s">
        <v>4491</v>
      </c>
      <c r="B2567" s="20" t="s">
        <v>4492</v>
      </c>
      <c r="C2567" s="20" t="s">
        <v>9289</v>
      </c>
      <c r="E2567" s="162" t="s">
        <v>8702</v>
      </c>
    </row>
    <row r="2568" spans="1:5">
      <c r="A2568" t="s">
        <v>4493</v>
      </c>
      <c r="B2568" s="20" t="s">
        <v>4494</v>
      </c>
      <c r="C2568" s="20" t="s">
        <v>9289</v>
      </c>
      <c r="E2568" s="162" t="s">
        <v>8703</v>
      </c>
    </row>
    <row r="2569" spans="1:5">
      <c r="A2569" t="s">
        <v>4495</v>
      </c>
      <c r="B2569" s="20" t="s">
        <v>4496</v>
      </c>
      <c r="C2569" s="20" t="s">
        <v>9289</v>
      </c>
      <c r="E2569" s="162" t="s">
        <v>8704</v>
      </c>
    </row>
    <row r="2570" spans="1:5">
      <c r="A2570" t="s">
        <v>4497</v>
      </c>
      <c r="B2570" s="20" t="s">
        <v>4498</v>
      </c>
      <c r="C2570" s="20" t="s">
        <v>9289</v>
      </c>
      <c r="E2570" s="162" t="s">
        <v>8705</v>
      </c>
    </row>
    <row r="2571" spans="1:5">
      <c r="A2571" t="s">
        <v>4499</v>
      </c>
      <c r="B2571" s="20" t="s">
        <v>4500</v>
      </c>
      <c r="C2571" s="20" t="s">
        <v>9289</v>
      </c>
      <c r="E2571" s="162" t="s">
        <v>8706</v>
      </c>
    </row>
    <row r="2572" spans="1:5">
      <c r="A2572" t="s">
        <v>4501</v>
      </c>
      <c r="B2572" s="20" t="s">
        <v>4502</v>
      </c>
      <c r="C2572" s="20" t="s">
        <v>9289</v>
      </c>
      <c r="E2572" s="162" t="s">
        <v>8707</v>
      </c>
    </row>
    <row r="2573" spans="1:5">
      <c r="A2573" t="s">
        <v>4503</v>
      </c>
      <c r="B2573" s="20" t="s">
        <v>4504</v>
      </c>
      <c r="C2573" s="20" t="s">
        <v>9289</v>
      </c>
      <c r="E2573" s="162" t="s">
        <v>8708</v>
      </c>
    </row>
    <row r="2574" spans="1:5">
      <c r="A2574" t="s">
        <v>4505</v>
      </c>
      <c r="B2574" s="20" t="s">
        <v>4506</v>
      </c>
      <c r="C2574" s="20" t="s">
        <v>9289</v>
      </c>
      <c r="E2574" s="162" t="s">
        <v>8709</v>
      </c>
    </row>
    <row r="2575" spans="1:5">
      <c r="A2575" t="s">
        <v>4507</v>
      </c>
      <c r="B2575" s="20" t="s">
        <v>4508</v>
      </c>
      <c r="C2575" s="20" t="s">
        <v>9289</v>
      </c>
      <c r="E2575" s="162" t="s">
        <v>8710</v>
      </c>
    </row>
    <row r="2576" spans="1:5">
      <c r="A2576" t="s">
        <v>4509</v>
      </c>
      <c r="B2576" s="20" t="s">
        <v>4510</v>
      </c>
      <c r="C2576" s="20" t="s">
        <v>9289</v>
      </c>
      <c r="E2576" s="162" t="s">
        <v>8711</v>
      </c>
    </row>
    <row r="2577" spans="1:5">
      <c r="A2577" t="s">
        <v>4511</v>
      </c>
      <c r="B2577" s="20" t="s">
        <v>4512</v>
      </c>
      <c r="C2577" s="20" t="s">
        <v>9289</v>
      </c>
      <c r="E2577" s="162" t="s">
        <v>8712</v>
      </c>
    </row>
    <row r="2578" spans="1:5">
      <c r="A2578" t="s">
        <v>4513</v>
      </c>
      <c r="B2578" s="20" t="s">
        <v>4514</v>
      </c>
      <c r="C2578" s="20" t="s">
        <v>9289</v>
      </c>
      <c r="E2578" s="162" t="s">
        <v>8713</v>
      </c>
    </row>
    <row r="2579" spans="1:5">
      <c r="A2579" t="s">
        <v>4515</v>
      </c>
      <c r="B2579" s="20" t="s">
        <v>4516</v>
      </c>
      <c r="C2579" s="20" t="s">
        <v>9289</v>
      </c>
      <c r="E2579" s="162" t="s">
        <v>8714</v>
      </c>
    </row>
    <row r="2580" spans="1:5">
      <c r="A2580" t="s">
        <v>4517</v>
      </c>
      <c r="B2580" s="20" t="s">
        <v>4518</v>
      </c>
      <c r="C2580" s="20" t="s">
        <v>9289</v>
      </c>
      <c r="E2580" s="162" t="s">
        <v>8715</v>
      </c>
    </row>
    <row r="2581" spans="1:5">
      <c r="A2581" t="s">
        <v>4519</v>
      </c>
      <c r="B2581" s="20" t="s">
        <v>4520</v>
      </c>
      <c r="C2581" s="20" t="s">
        <v>9289</v>
      </c>
      <c r="E2581" s="162" t="s">
        <v>8716</v>
      </c>
    </row>
    <row r="2582" spans="1:5">
      <c r="A2582" t="s">
        <v>4521</v>
      </c>
      <c r="B2582" s="20" t="s">
        <v>4522</v>
      </c>
      <c r="C2582" s="20" t="s">
        <v>9289</v>
      </c>
      <c r="E2582" s="162" t="s">
        <v>8717</v>
      </c>
    </row>
    <row r="2583" spans="1:5">
      <c r="A2583" t="s">
        <v>4523</v>
      </c>
      <c r="B2583" s="20" t="s">
        <v>4524</v>
      </c>
      <c r="C2583" s="20" t="s">
        <v>9289</v>
      </c>
      <c r="E2583" s="162" t="s">
        <v>8718</v>
      </c>
    </row>
    <row r="2584" spans="1:5">
      <c r="A2584" t="s">
        <v>4525</v>
      </c>
      <c r="B2584" s="20" t="s">
        <v>4526</v>
      </c>
      <c r="C2584" s="20" t="s">
        <v>9289</v>
      </c>
      <c r="E2584" s="162" t="s">
        <v>8719</v>
      </c>
    </row>
    <row r="2585" spans="1:5">
      <c r="A2585" t="s">
        <v>4527</v>
      </c>
      <c r="B2585" s="20" t="s">
        <v>4528</v>
      </c>
      <c r="C2585" s="20" t="s">
        <v>9289</v>
      </c>
      <c r="E2585" s="162" t="s">
        <v>8720</v>
      </c>
    </row>
    <row r="2586" spans="1:5">
      <c r="A2586" t="s">
        <v>4529</v>
      </c>
      <c r="B2586" s="20" t="s">
        <v>4530</v>
      </c>
      <c r="C2586" s="20" t="s">
        <v>9289</v>
      </c>
      <c r="E2586" s="162" t="s">
        <v>8721</v>
      </c>
    </row>
    <row r="2587" spans="1:5">
      <c r="A2587" t="s">
        <v>4531</v>
      </c>
      <c r="B2587" s="20" t="s">
        <v>4532</v>
      </c>
      <c r="C2587" s="20" t="s">
        <v>9289</v>
      </c>
      <c r="E2587" s="162" t="s">
        <v>8722</v>
      </c>
    </row>
    <row r="2588" spans="1:5">
      <c r="A2588" t="s">
        <v>4533</v>
      </c>
      <c r="B2588" s="20" t="s">
        <v>4534</v>
      </c>
      <c r="C2588" s="20" t="s">
        <v>9289</v>
      </c>
      <c r="E2588" s="162" t="s">
        <v>8723</v>
      </c>
    </row>
    <row r="2589" spans="1:5">
      <c r="A2589" t="s">
        <v>4535</v>
      </c>
      <c r="B2589" s="20" t="s">
        <v>4536</v>
      </c>
      <c r="C2589" s="20" t="s">
        <v>9289</v>
      </c>
      <c r="E2589" s="162" t="s">
        <v>8724</v>
      </c>
    </row>
    <row r="2590" spans="1:5">
      <c r="A2590" t="s">
        <v>4537</v>
      </c>
      <c r="B2590" s="20" t="s">
        <v>4538</v>
      </c>
      <c r="C2590" s="20" t="s">
        <v>9289</v>
      </c>
      <c r="E2590" s="162" t="s">
        <v>8725</v>
      </c>
    </row>
    <row r="2591" spans="1:5">
      <c r="A2591" t="s">
        <v>4539</v>
      </c>
      <c r="B2591" s="20" t="s">
        <v>4540</v>
      </c>
      <c r="C2591" s="20" t="s">
        <v>9289</v>
      </c>
      <c r="E2591" s="162" t="s">
        <v>8726</v>
      </c>
    </row>
    <row r="2592" spans="1:5">
      <c r="A2592" t="s">
        <v>4541</v>
      </c>
      <c r="B2592" s="20" t="s">
        <v>4542</v>
      </c>
      <c r="C2592" s="20" t="s">
        <v>9289</v>
      </c>
      <c r="E2592" s="162" t="s">
        <v>8727</v>
      </c>
    </row>
    <row r="2593" spans="1:5">
      <c r="A2593" t="s">
        <v>4543</v>
      </c>
      <c r="B2593" s="20" t="s">
        <v>4544</v>
      </c>
      <c r="C2593" s="20" t="s">
        <v>9289</v>
      </c>
      <c r="E2593" s="162" t="s">
        <v>8728</v>
      </c>
    </row>
    <row r="2594" spans="1:5">
      <c r="A2594" t="s">
        <v>4545</v>
      </c>
      <c r="B2594" s="20" t="s">
        <v>4546</v>
      </c>
      <c r="C2594" s="20" t="s">
        <v>9289</v>
      </c>
      <c r="E2594" s="162" t="s">
        <v>8729</v>
      </c>
    </row>
    <row r="2595" spans="1:5">
      <c r="A2595" t="s">
        <v>4547</v>
      </c>
      <c r="B2595" s="20" t="s">
        <v>4548</v>
      </c>
      <c r="C2595" s="20" t="s">
        <v>9289</v>
      </c>
      <c r="E2595" s="162" t="s">
        <v>8730</v>
      </c>
    </row>
    <row r="2596" spans="1:5">
      <c r="A2596" t="s">
        <v>4549</v>
      </c>
      <c r="B2596" s="20" t="s">
        <v>4550</v>
      </c>
      <c r="C2596" s="20" t="s">
        <v>9289</v>
      </c>
      <c r="E2596" s="162" t="s">
        <v>8731</v>
      </c>
    </row>
    <row r="2597" spans="1:5">
      <c r="A2597" t="s">
        <v>4551</v>
      </c>
      <c r="B2597" s="20" t="s">
        <v>4552</v>
      </c>
      <c r="C2597" s="20" t="s">
        <v>9289</v>
      </c>
      <c r="E2597" s="162" t="s">
        <v>8732</v>
      </c>
    </row>
    <row r="2598" spans="1:5">
      <c r="A2598" t="s">
        <v>4553</v>
      </c>
      <c r="B2598" s="20" t="s">
        <v>4554</v>
      </c>
      <c r="C2598" s="20" t="s">
        <v>9289</v>
      </c>
      <c r="E2598" s="162" t="s">
        <v>8733</v>
      </c>
    </row>
    <row r="2599" spans="1:5">
      <c r="A2599" t="s">
        <v>4555</v>
      </c>
      <c r="B2599" s="20" t="s">
        <v>4556</v>
      </c>
      <c r="C2599" s="20" t="s">
        <v>9289</v>
      </c>
      <c r="E2599" s="162" t="s">
        <v>8734</v>
      </c>
    </row>
    <row r="2600" spans="1:5">
      <c r="A2600" t="s">
        <v>4557</v>
      </c>
      <c r="B2600" s="20" t="s">
        <v>4558</v>
      </c>
      <c r="C2600" s="20" t="s">
        <v>9289</v>
      </c>
      <c r="E2600" s="162" t="s">
        <v>8735</v>
      </c>
    </row>
    <row r="2601" spans="1:5">
      <c r="A2601" t="s">
        <v>4559</v>
      </c>
      <c r="B2601" s="20" t="s">
        <v>4560</v>
      </c>
      <c r="C2601" s="20" t="s">
        <v>9289</v>
      </c>
      <c r="E2601" s="162" t="s">
        <v>8736</v>
      </c>
    </row>
    <row r="2602" spans="1:5">
      <c r="A2602" t="s">
        <v>4561</v>
      </c>
      <c r="B2602" s="20" t="s">
        <v>4562</v>
      </c>
      <c r="C2602" s="20" t="s">
        <v>9289</v>
      </c>
      <c r="E2602" s="162" t="s">
        <v>8737</v>
      </c>
    </row>
    <row r="2603" spans="1:5">
      <c r="A2603" t="s">
        <v>4563</v>
      </c>
      <c r="B2603" s="20" t="s">
        <v>4564</v>
      </c>
      <c r="C2603" s="20" t="s">
        <v>9289</v>
      </c>
      <c r="E2603" s="162" t="s">
        <v>8738</v>
      </c>
    </row>
    <row r="2604" spans="1:5">
      <c r="A2604" t="s">
        <v>4565</v>
      </c>
      <c r="B2604" s="20" t="s">
        <v>4566</v>
      </c>
      <c r="C2604" s="20" t="s">
        <v>9289</v>
      </c>
      <c r="E2604" s="162" t="s">
        <v>8739</v>
      </c>
    </row>
    <row r="2605" spans="1:5">
      <c r="A2605" t="s">
        <v>4567</v>
      </c>
      <c r="B2605" s="20" t="s">
        <v>4568</v>
      </c>
      <c r="C2605" s="20" t="s">
        <v>9289</v>
      </c>
      <c r="E2605" s="162" t="s">
        <v>8740</v>
      </c>
    </row>
    <row r="2606" spans="1:5">
      <c r="A2606" t="s">
        <v>4569</v>
      </c>
      <c r="B2606" s="20" t="s">
        <v>4570</v>
      </c>
      <c r="C2606" s="20" t="s">
        <v>9289</v>
      </c>
      <c r="E2606" s="162" t="s">
        <v>8741</v>
      </c>
    </row>
    <row r="2607" spans="1:5">
      <c r="A2607" t="s">
        <v>4571</v>
      </c>
      <c r="B2607" s="20" t="s">
        <v>4572</v>
      </c>
      <c r="C2607" s="20" t="s">
        <v>9289</v>
      </c>
      <c r="E2607" s="162" t="s">
        <v>8742</v>
      </c>
    </row>
    <row r="2608" spans="1:5">
      <c r="A2608" t="s">
        <v>4573</v>
      </c>
      <c r="B2608" s="20" t="s">
        <v>4574</v>
      </c>
      <c r="C2608" s="20" t="s">
        <v>9289</v>
      </c>
      <c r="E2608" s="162" t="s">
        <v>8743</v>
      </c>
    </row>
    <row r="2609" spans="1:5">
      <c r="A2609" t="s">
        <v>4575</v>
      </c>
      <c r="B2609" s="20" t="s">
        <v>4576</v>
      </c>
      <c r="C2609" s="20" t="s">
        <v>9289</v>
      </c>
      <c r="E2609" s="162" t="s">
        <v>8744</v>
      </c>
    </row>
    <row r="2610" spans="1:5">
      <c r="A2610" t="s">
        <v>4577</v>
      </c>
      <c r="B2610" s="20" t="s">
        <v>4578</v>
      </c>
      <c r="C2610" s="20" t="s">
        <v>9289</v>
      </c>
      <c r="E2610" s="162" t="s">
        <v>8745</v>
      </c>
    </row>
    <row r="2611" spans="1:5">
      <c r="A2611" t="s">
        <v>4579</v>
      </c>
      <c r="B2611" s="20" t="s">
        <v>4580</v>
      </c>
      <c r="C2611" s="20" t="s">
        <v>9289</v>
      </c>
      <c r="E2611" s="162" t="s">
        <v>8746</v>
      </c>
    </row>
    <row r="2612" spans="1:5">
      <c r="A2612" t="s">
        <v>4581</v>
      </c>
      <c r="B2612" s="20" t="s">
        <v>4582</v>
      </c>
      <c r="C2612" s="20" t="s">
        <v>9289</v>
      </c>
      <c r="E2612" s="162" t="s">
        <v>8747</v>
      </c>
    </row>
    <row r="2613" spans="1:5">
      <c r="A2613" t="s">
        <v>4583</v>
      </c>
      <c r="B2613" s="20" t="s">
        <v>4584</v>
      </c>
      <c r="C2613" s="20" t="s">
        <v>9289</v>
      </c>
      <c r="E2613" s="162" t="s">
        <v>8748</v>
      </c>
    </row>
    <row r="2614" spans="1:5">
      <c r="A2614" t="s">
        <v>4585</v>
      </c>
      <c r="B2614" s="20" t="s">
        <v>4586</v>
      </c>
      <c r="C2614" s="20" t="s">
        <v>9289</v>
      </c>
      <c r="E2614" s="162" t="s">
        <v>8749</v>
      </c>
    </row>
    <row r="2615" spans="1:5">
      <c r="A2615" t="s">
        <v>4587</v>
      </c>
      <c r="B2615" s="20" t="s">
        <v>4588</v>
      </c>
      <c r="C2615" s="20" t="s">
        <v>9289</v>
      </c>
      <c r="E2615" s="162" t="s">
        <v>8750</v>
      </c>
    </row>
    <row r="2616" spans="1:5">
      <c r="A2616" t="s">
        <v>4589</v>
      </c>
      <c r="B2616" s="20" t="s">
        <v>4590</v>
      </c>
      <c r="C2616" s="20" t="s">
        <v>9289</v>
      </c>
      <c r="E2616" s="162" t="s">
        <v>8751</v>
      </c>
    </row>
    <row r="2617" spans="1:5">
      <c r="A2617" t="s">
        <v>4591</v>
      </c>
      <c r="B2617" s="20" t="s">
        <v>4592</v>
      </c>
      <c r="C2617" s="20" t="s">
        <v>9289</v>
      </c>
      <c r="E2617" s="162" t="s">
        <v>8752</v>
      </c>
    </row>
    <row r="2618" spans="1:5">
      <c r="A2618" t="s">
        <v>4593</v>
      </c>
      <c r="B2618" s="20" t="s">
        <v>4594</v>
      </c>
      <c r="C2618" s="20" t="s">
        <v>9289</v>
      </c>
      <c r="E2618" s="162" t="s">
        <v>8753</v>
      </c>
    </row>
    <row r="2619" spans="1:5">
      <c r="A2619" t="s">
        <v>4595</v>
      </c>
      <c r="B2619" s="20" t="s">
        <v>4596</v>
      </c>
      <c r="C2619" s="20" t="s">
        <v>9289</v>
      </c>
      <c r="E2619" s="162" t="s">
        <v>8754</v>
      </c>
    </row>
    <row r="2620" spans="1:5">
      <c r="A2620" t="s">
        <v>4597</v>
      </c>
      <c r="B2620" s="20" t="s">
        <v>4598</v>
      </c>
      <c r="C2620" s="20" t="s">
        <v>9289</v>
      </c>
      <c r="E2620" s="162" t="s">
        <v>8755</v>
      </c>
    </row>
    <row r="2621" spans="1:5">
      <c r="A2621" t="s">
        <v>4599</v>
      </c>
      <c r="B2621" s="20" t="s">
        <v>4600</v>
      </c>
      <c r="C2621" s="20" t="s">
        <v>9289</v>
      </c>
      <c r="E2621" s="162" t="s">
        <v>8756</v>
      </c>
    </row>
    <row r="2622" spans="1:5">
      <c r="A2622" t="s">
        <v>4601</v>
      </c>
      <c r="B2622" s="20" t="s">
        <v>4602</v>
      </c>
      <c r="C2622" s="20" t="s">
        <v>9289</v>
      </c>
      <c r="E2622" s="162" t="s">
        <v>8757</v>
      </c>
    </row>
    <row r="2623" spans="1:5">
      <c r="A2623" t="s">
        <v>4603</v>
      </c>
      <c r="B2623" s="20" t="s">
        <v>4604</v>
      </c>
      <c r="C2623" s="20" t="s">
        <v>9289</v>
      </c>
      <c r="E2623" s="162" t="s">
        <v>8758</v>
      </c>
    </row>
    <row r="2624" spans="1:5">
      <c r="A2624" t="s">
        <v>4605</v>
      </c>
      <c r="B2624" s="20" t="s">
        <v>4606</v>
      </c>
      <c r="C2624" s="20" t="s">
        <v>9289</v>
      </c>
      <c r="E2624" s="162" t="s">
        <v>8759</v>
      </c>
    </row>
    <row r="2625" spans="1:5">
      <c r="A2625" t="s">
        <v>4607</v>
      </c>
      <c r="B2625" s="20" t="s">
        <v>4608</v>
      </c>
      <c r="C2625" s="20" t="s">
        <v>9289</v>
      </c>
      <c r="E2625" s="162" t="s">
        <v>8760</v>
      </c>
    </row>
    <row r="2626" spans="1:5">
      <c r="A2626" t="s">
        <v>4609</v>
      </c>
      <c r="B2626" s="20" t="s">
        <v>4610</v>
      </c>
      <c r="C2626" s="20" t="s">
        <v>9289</v>
      </c>
      <c r="E2626" s="162" t="s">
        <v>8761</v>
      </c>
    </row>
    <row r="2627" spans="1:5">
      <c r="A2627" t="s">
        <v>4611</v>
      </c>
      <c r="B2627" s="20" t="s">
        <v>4612</v>
      </c>
      <c r="C2627" s="20" t="s">
        <v>9289</v>
      </c>
      <c r="E2627" s="162" t="s">
        <v>8762</v>
      </c>
    </row>
    <row r="2628" spans="1:5">
      <c r="A2628" t="s">
        <v>4613</v>
      </c>
      <c r="B2628" s="20" t="s">
        <v>4614</v>
      </c>
      <c r="C2628" s="20" t="s">
        <v>9289</v>
      </c>
      <c r="E2628" s="162" t="s">
        <v>8763</v>
      </c>
    </row>
    <row r="2629" spans="1:5">
      <c r="A2629" t="s">
        <v>4615</v>
      </c>
      <c r="B2629" s="20" t="s">
        <v>4616</v>
      </c>
      <c r="C2629" s="20" t="s">
        <v>9289</v>
      </c>
      <c r="E2629" s="162" t="s">
        <v>8764</v>
      </c>
    </row>
    <row r="2630" spans="1:5">
      <c r="A2630" t="s">
        <v>4617</v>
      </c>
      <c r="B2630" s="20" t="s">
        <v>4618</v>
      </c>
      <c r="C2630" s="20" t="s">
        <v>9289</v>
      </c>
      <c r="E2630" s="162" t="s">
        <v>8765</v>
      </c>
    </row>
    <row r="2631" spans="1:5">
      <c r="A2631" t="s">
        <v>4619</v>
      </c>
      <c r="B2631" s="20" t="s">
        <v>4620</v>
      </c>
      <c r="C2631" s="20" t="s">
        <v>9289</v>
      </c>
      <c r="E2631" s="162" t="s">
        <v>8766</v>
      </c>
    </row>
    <row r="2632" spans="1:5">
      <c r="A2632" t="s">
        <v>4621</v>
      </c>
      <c r="B2632" s="20" t="s">
        <v>4622</v>
      </c>
      <c r="C2632" s="20" t="s">
        <v>9289</v>
      </c>
      <c r="E2632" s="162" t="s">
        <v>8767</v>
      </c>
    </row>
    <row r="2633" spans="1:5">
      <c r="A2633" t="s">
        <v>4623</v>
      </c>
      <c r="B2633" s="20" t="s">
        <v>4624</v>
      </c>
      <c r="C2633" s="20" t="s">
        <v>9289</v>
      </c>
      <c r="E2633" s="162" t="s">
        <v>8768</v>
      </c>
    </row>
    <row r="2634" spans="1:5">
      <c r="A2634" t="s">
        <v>4625</v>
      </c>
      <c r="B2634" s="20" t="s">
        <v>4626</v>
      </c>
      <c r="C2634" s="20" t="s">
        <v>9289</v>
      </c>
      <c r="E2634" s="162" t="s">
        <v>8769</v>
      </c>
    </row>
    <row r="2635" spans="1:5">
      <c r="A2635" t="s">
        <v>4627</v>
      </c>
      <c r="B2635" s="20" t="s">
        <v>4628</v>
      </c>
      <c r="C2635" s="20" t="s">
        <v>9289</v>
      </c>
      <c r="E2635" s="162" t="s">
        <v>8770</v>
      </c>
    </row>
    <row r="2636" spans="1:5">
      <c r="A2636" t="s">
        <v>4629</v>
      </c>
      <c r="B2636" s="20" t="s">
        <v>4630</v>
      </c>
      <c r="C2636" s="20" t="s">
        <v>9289</v>
      </c>
      <c r="E2636" s="162" t="s">
        <v>8771</v>
      </c>
    </row>
    <row r="2637" spans="1:5">
      <c r="A2637" t="s">
        <v>4631</v>
      </c>
      <c r="B2637" s="20" t="s">
        <v>4632</v>
      </c>
      <c r="C2637" s="20" t="s">
        <v>9289</v>
      </c>
      <c r="E2637" s="162" t="s">
        <v>8772</v>
      </c>
    </row>
    <row r="2638" spans="1:5">
      <c r="A2638" t="s">
        <v>4633</v>
      </c>
      <c r="B2638" s="20" t="s">
        <v>4634</v>
      </c>
      <c r="C2638" s="20" t="s">
        <v>9289</v>
      </c>
      <c r="E2638" s="162" t="s">
        <v>8773</v>
      </c>
    </row>
    <row r="2639" spans="1:5">
      <c r="A2639" t="s">
        <v>4635</v>
      </c>
      <c r="B2639" s="20" t="s">
        <v>4636</v>
      </c>
      <c r="C2639" s="20" t="s">
        <v>9289</v>
      </c>
      <c r="E2639" s="162" t="s">
        <v>8774</v>
      </c>
    </row>
    <row r="2640" spans="1:5">
      <c r="A2640" t="s">
        <v>4637</v>
      </c>
      <c r="B2640" s="20" t="s">
        <v>4638</v>
      </c>
      <c r="C2640" s="20" t="s">
        <v>9289</v>
      </c>
      <c r="E2640" s="162" t="s">
        <v>8775</v>
      </c>
    </row>
    <row r="2641" spans="1:5">
      <c r="A2641" t="s">
        <v>4639</v>
      </c>
      <c r="B2641" s="20" t="s">
        <v>4640</v>
      </c>
      <c r="C2641" s="20" t="s">
        <v>9289</v>
      </c>
      <c r="E2641" s="162" t="s">
        <v>8776</v>
      </c>
    </row>
    <row r="2642" spans="1:5">
      <c r="A2642" t="s">
        <v>4641</v>
      </c>
      <c r="B2642" s="20" t="s">
        <v>4642</v>
      </c>
      <c r="C2642" s="20" t="s">
        <v>9289</v>
      </c>
      <c r="E2642" s="162" t="s">
        <v>8777</v>
      </c>
    </row>
    <row r="2643" spans="1:5">
      <c r="A2643" t="s">
        <v>4643</v>
      </c>
      <c r="B2643" s="20" t="s">
        <v>4644</v>
      </c>
      <c r="C2643" s="20" t="s">
        <v>9289</v>
      </c>
      <c r="E2643" s="162" t="s">
        <v>8778</v>
      </c>
    </row>
    <row r="2644" spans="1:5">
      <c r="A2644" t="s">
        <v>4645</v>
      </c>
      <c r="B2644" s="20" t="s">
        <v>4646</v>
      </c>
      <c r="C2644" s="20" t="s">
        <v>9289</v>
      </c>
      <c r="E2644" s="162" t="s">
        <v>8778</v>
      </c>
    </row>
    <row r="2645" spans="1:5">
      <c r="A2645" t="s">
        <v>4647</v>
      </c>
      <c r="B2645" s="20" t="s">
        <v>4648</v>
      </c>
      <c r="C2645" s="20" t="s">
        <v>9289</v>
      </c>
      <c r="E2645" s="162" t="s">
        <v>8779</v>
      </c>
    </row>
    <row r="2646" spans="1:5">
      <c r="A2646" t="s">
        <v>4649</v>
      </c>
      <c r="B2646" s="20" t="s">
        <v>4650</v>
      </c>
      <c r="C2646" s="20" t="s">
        <v>9289</v>
      </c>
      <c r="E2646" s="162" t="s">
        <v>8780</v>
      </c>
    </row>
    <row r="2647" spans="1:5">
      <c r="A2647" t="s">
        <v>4651</v>
      </c>
      <c r="B2647" s="20" t="s">
        <v>4652</v>
      </c>
      <c r="C2647" s="20" t="s">
        <v>9289</v>
      </c>
      <c r="E2647" s="162" t="s">
        <v>8781</v>
      </c>
    </row>
    <row r="2648" spans="1:5">
      <c r="A2648" t="s">
        <v>4653</v>
      </c>
      <c r="B2648" s="20" t="s">
        <v>4654</v>
      </c>
      <c r="C2648" s="20" t="s">
        <v>9289</v>
      </c>
      <c r="E2648" s="162" t="s">
        <v>8782</v>
      </c>
    </row>
    <row r="2649" spans="1:5">
      <c r="A2649" t="s">
        <v>4655</v>
      </c>
      <c r="B2649" s="20" t="s">
        <v>4656</v>
      </c>
      <c r="C2649" s="20" t="s">
        <v>9289</v>
      </c>
      <c r="E2649" s="162" t="s">
        <v>8783</v>
      </c>
    </row>
    <row r="2650" spans="1:5">
      <c r="A2650" t="s">
        <v>4657</v>
      </c>
      <c r="B2650" s="20" t="s">
        <v>4658</v>
      </c>
      <c r="C2650" s="20" t="s">
        <v>9289</v>
      </c>
      <c r="E2650" s="162" t="s">
        <v>8784</v>
      </c>
    </row>
    <row r="2651" spans="1:5">
      <c r="A2651" t="s">
        <v>4659</v>
      </c>
      <c r="B2651" s="20" t="s">
        <v>4660</v>
      </c>
      <c r="C2651" s="20" t="s">
        <v>9289</v>
      </c>
      <c r="E2651" s="162" t="s">
        <v>8785</v>
      </c>
    </row>
    <row r="2652" spans="1:5">
      <c r="A2652" t="s">
        <v>4661</v>
      </c>
      <c r="B2652" s="20" t="s">
        <v>4662</v>
      </c>
      <c r="C2652" s="20" t="s">
        <v>9289</v>
      </c>
      <c r="E2652" s="162" t="s">
        <v>8786</v>
      </c>
    </row>
    <row r="2653" spans="1:5">
      <c r="A2653" t="s">
        <v>4663</v>
      </c>
      <c r="B2653" s="20" t="s">
        <v>4664</v>
      </c>
      <c r="C2653" s="20" t="s">
        <v>9289</v>
      </c>
      <c r="E2653" s="162" t="s">
        <v>8787</v>
      </c>
    </row>
    <row r="2654" spans="1:5">
      <c r="A2654" t="s">
        <v>4665</v>
      </c>
      <c r="B2654" s="20" t="s">
        <v>4666</v>
      </c>
      <c r="C2654" s="20" t="s">
        <v>9289</v>
      </c>
      <c r="E2654" s="162" t="s">
        <v>8788</v>
      </c>
    </row>
    <row r="2655" spans="1:5">
      <c r="A2655" t="s">
        <v>4667</v>
      </c>
      <c r="B2655" s="20" t="s">
        <v>4668</v>
      </c>
      <c r="C2655" s="20" t="s">
        <v>9289</v>
      </c>
      <c r="E2655" s="162" t="s">
        <v>8789</v>
      </c>
    </row>
    <row r="2656" spans="1:5">
      <c r="A2656" t="s">
        <v>4669</v>
      </c>
      <c r="B2656" s="20" t="s">
        <v>4670</v>
      </c>
      <c r="C2656" s="20" t="s">
        <v>9289</v>
      </c>
      <c r="E2656" s="162" t="s">
        <v>8790</v>
      </c>
    </row>
    <row r="2657" spans="1:5">
      <c r="A2657" t="s">
        <v>4671</v>
      </c>
      <c r="B2657" s="20" t="s">
        <v>4672</v>
      </c>
      <c r="C2657" s="20" t="s">
        <v>9289</v>
      </c>
      <c r="E2657" s="162" t="s">
        <v>8791</v>
      </c>
    </row>
    <row r="2658" spans="1:5">
      <c r="A2658" t="s">
        <v>4673</v>
      </c>
      <c r="B2658" s="20" t="s">
        <v>4674</v>
      </c>
      <c r="C2658" s="20" t="s">
        <v>9289</v>
      </c>
      <c r="E2658" s="162" t="s">
        <v>8792</v>
      </c>
    </row>
    <row r="2659" spans="1:5">
      <c r="A2659" t="s">
        <v>4675</v>
      </c>
      <c r="B2659" s="20" t="s">
        <v>4676</v>
      </c>
      <c r="C2659" s="20" t="s">
        <v>9289</v>
      </c>
      <c r="E2659" s="162" t="s">
        <v>8793</v>
      </c>
    </row>
    <row r="2660" spans="1:5">
      <c r="A2660" t="s">
        <v>4677</v>
      </c>
      <c r="B2660" s="20" t="s">
        <v>4678</v>
      </c>
      <c r="C2660" s="20" t="s">
        <v>9289</v>
      </c>
      <c r="E2660" s="162" t="s">
        <v>8794</v>
      </c>
    </row>
    <row r="2661" spans="1:5">
      <c r="A2661" t="s">
        <v>4679</v>
      </c>
      <c r="B2661" s="20" t="s">
        <v>4680</v>
      </c>
      <c r="C2661" s="20" t="s">
        <v>9289</v>
      </c>
      <c r="E2661" s="162" t="s">
        <v>8795</v>
      </c>
    </row>
    <row r="2662" spans="1:5">
      <c r="A2662" t="s">
        <v>4681</v>
      </c>
      <c r="B2662" s="20" t="s">
        <v>4682</v>
      </c>
      <c r="C2662" s="20" t="s">
        <v>9289</v>
      </c>
      <c r="E2662" s="162" t="s">
        <v>8796</v>
      </c>
    </row>
    <row r="2663" spans="1:5">
      <c r="A2663" t="s">
        <v>4683</v>
      </c>
      <c r="B2663" s="20" t="s">
        <v>4684</v>
      </c>
      <c r="C2663" s="20" t="s">
        <v>9289</v>
      </c>
      <c r="E2663" s="162" t="s">
        <v>8797</v>
      </c>
    </row>
    <row r="2664" spans="1:5">
      <c r="A2664" t="s">
        <v>4685</v>
      </c>
      <c r="B2664" s="20" t="s">
        <v>4686</v>
      </c>
      <c r="C2664" s="20" t="s">
        <v>9289</v>
      </c>
      <c r="E2664" s="162" t="s">
        <v>8798</v>
      </c>
    </row>
    <row r="2665" spans="1:5">
      <c r="A2665" t="s">
        <v>4687</v>
      </c>
      <c r="B2665" s="20" t="s">
        <v>4688</v>
      </c>
      <c r="C2665" s="20" t="s">
        <v>9289</v>
      </c>
      <c r="E2665" s="162" t="s">
        <v>8799</v>
      </c>
    </row>
    <row r="2666" spans="1:5">
      <c r="A2666" t="s">
        <v>4689</v>
      </c>
      <c r="B2666" s="20" t="s">
        <v>4690</v>
      </c>
      <c r="C2666" s="20" t="s">
        <v>9289</v>
      </c>
      <c r="E2666" s="162" t="s">
        <v>8800</v>
      </c>
    </row>
    <row r="2667" spans="1:5">
      <c r="A2667" t="s">
        <v>4691</v>
      </c>
      <c r="B2667" s="20" t="s">
        <v>4692</v>
      </c>
      <c r="C2667" s="20" t="s">
        <v>9289</v>
      </c>
      <c r="E2667" s="162" t="s">
        <v>8801</v>
      </c>
    </row>
    <row r="2668" spans="1:5">
      <c r="A2668" t="s">
        <v>4693</v>
      </c>
      <c r="B2668" s="20" t="s">
        <v>4694</v>
      </c>
      <c r="C2668" s="20" t="s">
        <v>9289</v>
      </c>
      <c r="E2668" s="162" t="s">
        <v>8802</v>
      </c>
    </row>
    <row r="2669" spans="1:5">
      <c r="A2669" t="s">
        <v>4695</v>
      </c>
      <c r="B2669" s="20" t="s">
        <v>4696</v>
      </c>
      <c r="C2669" s="20" t="s">
        <v>9289</v>
      </c>
      <c r="E2669" s="162" t="s">
        <v>8803</v>
      </c>
    </row>
    <row r="2670" spans="1:5">
      <c r="A2670" t="s">
        <v>4697</v>
      </c>
      <c r="B2670" s="20" t="s">
        <v>4698</v>
      </c>
      <c r="C2670" s="20" t="s">
        <v>9289</v>
      </c>
      <c r="E2670" s="162" t="s">
        <v>8804</v>
      </c>
    </row>
    <row r="2671" spans="1:5">
      <c r="A2671" t="s">
        <v>4699</v>
      </c>
      <c r="B2671" s="20" t="s">
        <v>4700</v>
      </c>
      <c r="C2671" s="20" t="s">
        <v>9289</v>
      </c>
      <c r="E2671" s="162" t="s">
        <v>8805</v>
      </c>
    </row>
    <row r="2672" spans="1:5">
      <c r="A2672" t="s">
        <v>4701</v>
      </c>
      <c r="B2672" s="20" t="s">
        <v>4702</v>
      </c>
      <c r="C2672" s="20" t="s">
        <v>9289</v>
      </c>
      <c r="E2672" s="162" t="s">
        <v>8806</v>
      </c>
    </row>
    <row r="2673" spans="1:5">
      <c r="A2673" t="s">
        <v>4703</v>
      </c>
      <c r="B2673" s="20" t="s">
        <v>4704</v>
      </c>
      <c r="C2673" s="20" t="s">
        <v>9289</v>
      </c>
      <c r="E2673" s="162" t="s">
        <v>8807</v>
      </c>
    </row>
    <row r="2674" spans="1:5">
      <c r="A2674" t="s">
        <v>4705</v>
      </c>
      <c r="B2674" s="20" t="s">
        <v>4706</v>
      </c>
      <c r="C2674" s="20" t="s">
        <v>9289</v>
      </c>
      <c r="E2674" s="162" t="s">
        <v>8808</v>
      </c>
    </row>
    <row r="2675" spans="1:5">
      <c r="A2675" t="s">
        <v>4707</v>
      </c>
      <c r="B2675" s="20" t="s">
        <v>4708</v>
      </c>
      <c r="C2675" s="20" t="s">
        <v>254</v>
      </c>
      <c r="E2675" s="162" t="s">
        <v>8809</v>
      </c>
    </row>
    <row r="2676" spans="1:5">
      <c r="A2676" t="s">
        <v>4709</v>
      </c>
      <c r="B2676" s="20" t="s">
        <v>4710</v>
      </c>
      <c r="C2676" s="20" t="s">
        <v>254</v>
      </c>
      <c r="E2676" s="162" t="s">
        <v>8810</v>
      </c>
    </row>
    <row r="2677" spans="1:5">
      <c r="A2677" t="s">
        <v>4711</v>
      </c>
      <c r="B2677" s="20" t="s">
        <v>4712</v>
      </c>
      <c r="C2677" s="20">
        <v>0</v>
      </c>
      <c r="E2677" s="162" t="s">
        <v>8811</v>
      </c>
    </row>
    <row r="2678" spans="1:5">
      <c r="A2678" t="s">
        <v>4713</v>
      </c>
      <c r="B2678" s="20" t="s">
        <v>4714</v>
      </c>
      <c r="C2678" s="20">
        <v>0</v>
      </c>
      <c r="E2678" s="162" t="s">
        <v>8812</v>
      </c>
    </row>
    <row r="2679" spans="1:5">
      <c r="A2679" t="s">
        <v>4715</v>
      </c>
      <c r="B2679" s="20" t="s">
        <v>4716</v>
      </c>
      <c r="C2679" s="20" t="s">
        <v>4421</v>
      </c>
      <c r="E2679" s="162" t="s">
        <v>8813</v>
      </c>
    </row>
    <row r="2680" spans="1:5">
      <c r="A2680" t="s">
        <v>4717</v>
      </c>
      <c r="B2680" s="20" t="s">
        <v>4718</v>
      </c>
      <c r="C2680" s="20" t="s">
        <v>4421</v>
      </c>
      <c r="E2680" s="162" t="s">
        <v>6552</v>
      </c>
    </row>
    <row r="2681" spans="1:5">
      <c r="A2681" t="s">
        <v>4719</v>
      </c>
      <c r="B2681" s="20" t="s">
        <v>4720</v>
      </c>
      <c r="C2681" s="20">
        <v>0</v>
      </c>
      <c r="E2681" s="162" t="s">
        <v>8814</v>
      </c>
    </row>
    <row r="2682" spans="1:5">
      <c r="A2682" t="s">
        <v>4721</v>
      </c>
      <c r="B2682" s="20" t="s">
        <v>4722</v>
      </c>
      <c r="C2682" s="20">
        <v>0</v>
      </c>
      <c r="E2682" s="162" t="s">
        <v>4899</v>
      </c>
    </row>
    <row r="2683" spans="1:5">
      <c r="A2683" t="s">
        <v>4723</v>
      </c>
      <c r="B2683" s="20" t="s">
        <v>4724</v>
      </c>
      <c r="C2683" s="20">
        <v>0</v>
      </c>
      <c r="E2683" s="162" t="s">
        <v>4936</v>
      </c>
    </row>
    <row r="2684" spans="1:5">
      <c r="A2684" t="s">
        <v>4725</v>
      </c>
      <c r="B2684" s="20" t="s">
        <v>4726</v>
      </c>
      <c r="C2684" s="20">
        <v>0</v>
      </c>
      <c r="E2684" s="162" t="s">
        <v>8258</v>
      </c>
    </row>
    <row r="2685" spans="1:5">
      <c r="A2685" t="s">
        <v>4727</v>
      </c>
      <c r="B2685" s="20" t="s">
        <v>4728</v>
      </c>
      <c r="C2685" s="20">
        <v>0</v>
      </c>
      <c r="E2685" s="162" t="s">
        <v>4938</v>
      </c>
    </row>
    <row r="2686" spans="1:5">
      <c r="A2686" t="s">
        <v>4729</v>
      </c>
      <c r="B2686" s="20" t="s">
        <v>4730</v>
      </c>
      <c r="C2686" s="20" t="s">
        <v>2125</v>
      </c>
      <c r="E2686" s="162" t="s">
        <v>4945</v>
      </c>
    </row>
    <row r="2687" spans="1:5">
      <c r="A2687" t="s">
        <v>4731</v>
      </c>
      <c r="B2687" s="20" t="s">
        <v>4732</v>
      </c>
      <c r="C2687" s="20" t="s">
        <v>2125</v>
      </c>
      <c r="E2687" s="162" t="s">
        <v>4944</v>
      </c>
    </row>
    <row r="2688" spans="1:5">
      <c r="A2688" t="s">
        <v>4733</v>
      </c>
      <c r="B2688" s="20" t="s">
        <v>4734</v>
      </c>
      <c r="C2688" s="20" t="s">
        <v>604</v>
      </c>
      <c r="E2688" s="162" t="s">
        <v>4942</v>
      </c>
    </row>
    <row r="2689" spans="1:5">
      <c r="A2689" t="s">
        <v>4735</v>
      </c>
      <c r="B2689" s="20" t="s">
        <v>4736</v>
      </c>
      <c r="C2689" s="20" t="s">
        <v>2125</v>
      </c>
      <c r="E2689" s="162" t="s">
        <v>4943</v>
      </c>
    </row>
    <row r="2690" spans="1:5">
      <c r="A2690" t="s">
        <v>4737</v>
      </c>
      <c r="B2690" s="20" t="s">
        <v>4738</v>
      </c>
      <c r="C2690" s="20" t="s">
        <v>254</v>
      </c>
      <c r="E2690" s="162" t="s">
        <v>4953</v>
      </c>
    </row>
    <row r="2691" spans="1:5">
      <c r="A2691" t="s">
        <v>4739</v>
      </c>
      <c r="B2691" s="20" t="s">
        <v>4740</v>
      </c>
      <c r="C2691" s="20" t="s">
        <v>254</v>
      </c>
      <c r="E2691" s="162" t="s">
        <v>4949</v>
      </c>
    </row>
    <row r="2692" spans="1:5">
      <c r="A2692" t="s">
        <v>4741</v>
      </c>
      <c r="B2692" s="20" t="s">
        <v>4742</v>
      </c>
      <c r="C2692" s="20" t="s">
        <v>254</v>
      </c>
      <c r="E2692" s="162" t="s">
        <v>4956</v>
      </c>
    </row>
    <row r="2693" spans="1:5">
      <c r="A2693" t="s">
        <v>4743</v>
      </c>
      <c r="B2693" s="20" t="s">
        <v>4744</v>
      </c>
      <c r="C2693" s="20" t="s">
        <v>254</v>
      </c>
      <c r="E2693" s="162" t="s">
        <v>4957</v>
      </c>
    </row>
    <row r="2694" spans="1:5">
      <c r="A2694" t="s">
        <v>4745</v>
      </c>
      <c r="B2694" s="20" t="s">
        <v>4746</v>
      </c>
      <c r="C2694" s="20" t="s">
        <v>254</v>
      </c>
      <c r="E2694" s="162" t="s">
        <v>8815</v>
      </c>
    </row>
    <row r="2695" spans="1:5">
      <c r="A2695" t="s">
        <v>4747</v>
      </c>
      <c r="B2695" s="20" t="s">
        <v>4748</v>
      </c>
      <c r="C2695" s="20" t="s">
        <v>254</v>
      </c>
      <c r="E2695" s="162" t="s">
        <v>8816</v>
      </c>
    </row>
    <row r="2696" spans="1:5">
      <c r="A2696" t="s">
        <v>4749</v>
      </c>
      <c r="B2696" s="20" t="s">
        <v>4750</v>
      </c>
      <c r="C2696" s="20" t="s">
        <v>2125</v>
      </c>
      <c r="E2696" s="162" t="s">
        <v>4946</v>
      </c>
    </row>
    <row r="2697" spans="1:5">
      <c r="A2697" t="s">
        <v>4751</v>
      </c>
      <c r="B2697" s="20" t="s">
        <v>4752</v>
      </c>
      <c r="C2697" s="20" t="s">
        <v>254</v>
      </c>
      <c r="E2697" s="162" t="s">
        <v>4948</v>
      </c>
    </row>
    <row r="2698" spans="1:5">
      <c r="A2698" t="s">
        <v>4753</v>
      </c>
      <c r="B2698" s="20" t="s">
        <v>4754</v>
      </c>
      <c r="C2698" s="20" t="s">
        <v>254</v>
      </c>
      <c r="E2698" s="162" t="s">
        <v>4947</v>
      </c>
    </row>
    <row r="2699" spans="1:5">
      <c r="A2699" t="s">
        <v>4755</v>
      </c>
      <c r="B2699" s="20" t="s">
        <v>4756</v>
      </c>
      <c r="C2699" s="20" t="s">
        <v>254</v>
      </c>
      <c r="E2699" s="162" t="s">
        <v>4949</v>
      </c>
    </row>
    <row r="2700" spans="1:5">
      <c r="A2700" t="s">
        <v>4757</v>
      </c>
      <c r="B2700" s="20" t="s">
        <v>4758</v>
      </c>
      <c r="C2700" s="20" t="s">
        <v>254</v>
      </c>
      <c r="E2700" s="162" t="s">
        <v>8817</v>
      </c>
    </row>
    <row r="2701" spans="1:5">
      <c r="A2701" t="s">
        <v>4759</v>
      </c>
      <c r="B2701" s="20" t="s">
        <v>4760</v>
      </c>
      <c r="C2701" s="20" t="s">
        <v>254</v>
      </c>
      <c r="E2701" s="162" t="s">
        <v>4952</v>
      </c>
    </row>
    <row r="2702" spans="1:5">
      <c r="A2702" t="s">
        <v>4761</v>
      </c>
      <c r="B2702" s="20" t="s">
        <v>4762</v>
      </c>
      <c r="C2702" s="20" t="s">
        <v>254</v>
      </c>
      <c r="E2702" s="162" t="s">
        <v>4953</v>
      </c>
    </row>
    <row r="2703" spans="1:5">
      <c r="A2703" t="s">
        <v>4763</v>
      </c>
      <c r="B2703" s="20" t="s">
        <v>4764</v>
      </c>
      <c r="C2703" s="20" t="s">
        <v>254</v>
      </c>
      <c r="E2703" s="162" t="s">
        <v>111</v>
      </c>
    </row>
    <row r="2704" spans="1:5">
      <c r="A2704" t="s">
        <v>4765</v>
      </c>
      <c r="B2704" s="20" t="s">
        <v>4766</v>
      </c>
      <c r="C2704" s="20" t="s">
        <v>254</v>
      </c>
      <c r="E2704" s="162" t="s">
        <v>8818</v>
      </c>
    </row>
    <row r="2705" spans="1:5">
      <c r="A2705" t="s">
        <v>4767</v>
      </c>
      <c r="B2705" s="20" t="s">
        <v>4768</v>
      </c>
      <c r="C2705" s="20" t="s">
        <v>1793</v>
      </c>
      <c r="E2705" s="162" t="s">
        <v>4941</v>
      </c>
    </row>
    <row r="2706" spans="1:5">
      <c r="A2706" t="s">
        <v>4769</v>
      </c>
      <c r="B2706" s="20" t="s">
        <v>4770</v>
      </c>
      <c r="C2706" s="20">
        <v>0</v>
      </c>
      <c r="E2706" s="162" t="s">
        <v>8819</v>
      </c>
    </row>
    <row r="2707" spans="1:5">
      <c r="A2707" t="s">
        <v>4771</v>
      </c>
      <c r="B2707" s="20" t="s">
        <v>4772</v>
      </c>
      <c r="C2707" s="20">
        <v>0</v>
      </c>
      <c r="E2707" s="162" t="s">
        <v>8820</v>
      </c>
    </row>
    <row r="2708" spans="1:5">
      <c r="A2708" t="s">
        <v>4773</v>
      </c>
      <c r="B2708" s="20" t="s">
        <v>4774</v>
      </c>
      <c r="C2708" s="20" t="s">
        <v>4775</v>
      </c>
      <c r="E2708" s="162" t="s">
        <v>8821</v>
      </c>
    </row>
    <row r="2709" spans="1:5">
      <c r="A2709" t="s">
        <v>4776</v>
      </c>
      <c r="B2709" s="20" t="s">
        <v>4777</v>
      </c>
      <c r="C2709" s="20">
        <v>0</v>
      </c>
      <c r="E2709" s="162" t="s">
        <v>8822</v>
      </c>
    </row>
    <row r="2710" spans="1:5">
      <c r="A2710" t="s">
        <v>4778</v>
      </c>
      <c r="B2710" s="20" t="s">
        <v>4779</v>
      </c>
      <c r="C2710" s="20">
        <v>0</v>
      </c>
      <c r="E2710" s="162" t="s">
        <v>8823</v>
      </c>
    </row>
    <row r="2711" spans="1:5">
      <c r="A2711" t="s">
        <v>4780</v>
      </c>
      <c r="B2711" s="20" t="s">
        <v>4781</v>
      </c>
      <c r="C2711" s="20" t="s">
        <v>4470</v>
      </c>
      <c r="E2711" s="162" t="s">
        <v>8824</v>
      </c>
    </row>
    <row r="2712" spans="1:5">
      <c r="A2712" t="s">
        <v>4782</v>
      </c>
      <c r="B2712" s="20" t="s">
        <v>4783</v>
      </c>
      <c r="C2712" s="20" t="s">
        <v>4470</v>
      </c>
      <c r="E2712" s="162" t="s">
        <v>8825</v>
      </c>
    </row>
    <row r="2713" spans="1:5">
      <c r="A2713" t="s">
        <v>4784</v>
      </c>
      <c r="B2713" s="20" t="s">
        <v>4785</v>
      </c>
      <c r="C2713" s="20" t="s">
        <v>4470</v>
      </c>
      <c r="E2713" s="162" t="s">
        <v>8826</v>
      </c>
    </row>
    <row r="2714" spans="1:5">
      <c r="A2714" t="s">
        <v>4786</v>
      </c>
      <c r="B2714" s="20" t="s">
        <v>4787</v>
      </c>
      <c r="C2714" s="20">
        <v>0</v>
      </c>
      <c r="E2714" s="162" t="s">
        <v>8827</v>
      </c>
    </row>
    <row r="2715" spans="1:5">
      <c r="A2715" t="s">
        <v>4788</v>
      </c>
      <c r="B2715" s="20" t="s">
        <v>4789</v>
      </c>
      <c r="C2715" s="20">
        <v>0</v>
      </c>
      <c r="E2715" s="162" t="s">
        <v>8828</v>
      </c>
    </row>
    <row r="2716" spans="1:5">
      <c r="A2716" t="s">
        <v>4790</v>
      </c>
      <c r="B2716" s="20" t="s">
        <v>4791</v>
      </c>
      <c r="C2716" s="20">
        <v>0</v>
      </c>
      <c r="E2716" s="162" t="s">
        <v>8829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091BC-FA41-46C6-B229-3C24E0AF4468}">
  <dimension ref="A1:G1156"/>
  <sheetViews>
    <sheetView topLeftCell="A302" workbookViewId="0">
      <selection activeCell="C314" sqref="C314"/>
    </sheetView>
  </sheetViews>
  <sheetFormatPr defaultRowHeight="14.5"/>
  <cols>
    <col min="1" max="2" width="7.90625" style="157" customWidth="1"/>
    <col min="3" max="3" width="8.6328125" style="157" bestFit="1" customWidth="1"/>
    <col min="4" max="4" width="18" style="157" bestFit="1" customWidth="1"/>
    <col min="5" max="5" width="10.90625" style="157" customWidth="1"/>
    <col min="6" max="6" width="58.08984375" style="158" customWidth="1"/>
    <col min="7" max="7" width="13.90625" style="158" customWidth="1"/>
  </cols>
  <sheetData>
    <row r="1" spans="1:7" ht="15" thickBot="1">
      <c r="A1" s="68" t="s">
        <v>6740</v>
      </c>
      <c r="B1" s="68" t="s">
        <v>6741</v>
      </c>
      <c r="C1" s="69" t="s">
        <v>8</v>
      </c>
      <c r="D1" s="70" t="s">
        <v>2</v>
      </c>
      <c r="E1" s="70" t="s">
        <v>125</v>
      </c>
      <c r="F1" s="71" t="s">
        <v>3</v>
      </c>
      <c r="G1" s="72" t="s">
        <v>6742</v>
      </c>
    </row>
    <row r="2" spans="1:7">
      <c r="A2" s="73" t="s">
        <v>6743</v>
      </c>
      <c r="B2" s="73">
        <v>29</v>
      </c>
      <c r="C2" s="74">
        <v>0</v>
      </c>
      <c r="D2" s="75" t="s">
        <v>5105</v>
      </c>
      <c r="E2" s="75" t="s">
        <v>1908</v>
      </c>
      <c r="F2" s="76" t="s">
        <v>6744</v>
      </c>
      <c r="G2" s="77">
        <v>851382</v>
      </c>
    </row>
    <row r="3" spans="1:7">
      <c r="A3" s="78" t="s">
        <v>6743</v>
      </c>
      <c r="B3" s="78">
        <v>38</v>
      </c>
      <c r="C3" s="79" t="s">
        <v>6745</v>
      </c>
      <c r="D3" s="81" t="s">
        <v>5218</v>
      </c>
      <c r="E3" s="80" t="s">
        <v>5217</v>
      </c>
      <c r="F3" s="82" t="s">
        <v>5219</v>
      </c>
      <c r="G3" s="83">
        <v>605855</v>
      </c>
    </row>
    <row r="4" spans="1:7">
      <c r="A4" s="78" t="s">
        <v>6743</v>
      </c>
      <c r="B4" s="78">
        <v>47</v>
      </c>
      <c r="C4" s="79" t="s">
        <v>6746</v>
      </c>
      <c r="D4" s="85" t="s">
        <v>6079</v>
      </c>
      <c r="E4" s="84" t="s">
        <v>6078</v>
      </c>
      <c r="F4" s="86" t="s">
        <v>6067</v>
      </c>
      <c r="G4" s="83">
        <v>482988</v>
      </c>
    </row>
    <row r="5" spans="1:7">
      <c r="A5" s="78" t="s">
        <v>6743</v>
      </c>
      <c r="B5" s="78">
        <v>56</v>
      </c>
      <c r="C5" s="79">
        <v>0</v>
      </c>
      <c r="D5" s="85" t="s">
        <v>5474</v>
      </c>
      <c r="E5" s="85" t="s">
        <v>5473</v>
      </c>
      <c r="F5" s="86" t="s">
        <v>5427</v>
      </c>
      <c r="G5" s="83">
        <v>433577</v>
      </c>
    </row>
    <row r="6" spans="1:7">
      <c r="A6" s="78" t="s">
        <v>6743</v>
      </c>
      <c r="B6" s="78">
        <v>65</v>
      </c>
      <c r="C6" s="79" t="s">
        <v>6747</v>
      </c>
      <c r="D6" s="85" t="s">
        <v>5706</v>
      </c>
      <c r="E6" s="84" t="s">
        <v>6748</v>
      </c>
      <c r="F6" s="86" t="s">
        <v>5687</v>
      </c>
      <c r="G6" s="83">
        <v>388154</v>
      </c>
    </row>
    <row r="7" spans="1:7">
      <c r="A7" s="78" t="s">
        <v>6743</v>
      </c>
      <c r="B7" s="78">
        <v>74</v>
      </c>
      <c r="C7" s="79">
        <v>0</v>
      </c>
      <c r="D7" s="85" t="s">
        <v>6750</v>
      </c>
      <c r="E7" s="84" t="s">
        <v>6749</v>
      </c>
      <c r="F7" s="86" t="s">
        <v>5120</v>
      </c>
      <c r="G7" s="83">
        <v>314154</v>
      </c>
    </row>
    <row r="8" spans="1:7">
      <c r="A8" s="78" t="s">
        <v>6743</v>
      </c>
      <c r="B8" s="78">
        <v>83</v>
      </c>
      <c r="C8" s="79">
        <v>0</v>
      </c>
      <c r="D8" s="85" t="s">
        <v>6752</v>
      </c>
      <c r="E8" s="84" t="s">
        <v>6751</v>
      </c>
      <c r="F8" s="86" t="s">
        <v>6753</v>
      </c>
      <c r="G8" s="83">
        <v>285809</v>
      </c>
    </row>
    <row r="9" spans="1:7">
      <c r="A9" s="78" t="s">
        <v>6743</v>
      </c>
      <c r="B9" s="78">
        <v>92</v>
      </c>
      <c r="C9" s="79">
        <v>0</v>
      </c>
      <c r="D9" s="85" t="s">
        <v>5591</v>
      </c>
      <c r="E9" s="84" t="s">
        <v>5590</v>
      </c>
      <c r="F9" s="86" t="s">
        <v>5592</v>
      </c>
      <c r="G9" s="83">
        <v>231930</v>
      </c>
    </row>
    <row r="10" spans="1:7">
      <c r="A10" s="78" t="s">
        <v>6743</v>
      </c>
      <c r="B10" s="78">
        <v>101</v>
      </c>
      <c r="C10" s="79">
        <v>0</v>
      </c>
      <c r="D10" s="85" t="s">
        <v>5552</v>
      </c>
      <c r="E10" s="84" t="s">
        <v>5551</v>
      </c>
      <c r="F10" s="86" t="s">
        <v>5553</v>
      </c>
      <c r="G10" s="83">
        <v>194417</v>
      </c>
    </row>
    <row r="11" spans="1:7">
      <c r="A11" s="78" t="s">
        <v>6743</v>
      </c>
      <c r="B11" s="78">
        <v>110</v>
      </c>
      <c r="C11" s="79">
        <v>0</v>
      </c>
      <c r="D11" s="85" t="s">
        <v>5907</v>
      </c>
      <c r="E11" s="85" t="s">
        <v>5906</v>
      </c>
      <c r="F11" s="86" t="s">
        <v>6754</v>
      </c>
      <c r="G11" s="83">
        <v>178442</v>
      </c>
    </row>
    <row r="12" spans="1:7">
      <c r="A12" s="78" t="s">
        <v>6743</v>
      </c>
      <c r="B12" s="78">
        <v>119</v>
      </c>
      <c r="C12" s="79">
        <v>0</v>
      </c>
      <c r="D12" s="85" t="s">
        <v>5751</v>
      </c>
      <c r="E12" s="84" t="s">
        <v>5750</v>
      </c>
      <c r="F12" s="86" t="s">
        <v>5687</v>
      </c>
      <c r="G12" s="83">
        <v>156486</v>
      </c>
    </row>
    <row r="13" spans="1:7">
      <c r="A13" s="78" t="s">
        <v>6743</v>
      </c>
      <c r="B13" s="78">
        <v>128</v>
      </c>
      <c r="C13" s="79" t="s">
        <v>6755</v>
      </c>
      <c r="D13" s="85" t="s">
        <v>6756</v>
      </c>
      <c r="E13" s="84" t="s">
        <v>6332</v>
      </c>
      <c r="F13" s="86" t="s">
        <v>6272</v>
      </c>
      <c r="G13" s="83">
        <v>144851</v>
      </c>
    </row>
    <row r="14" spans="1:7">
      <c r="A14" s="78" t="s">
        <v>6743</v>
      </c>
      <c r="B14" s="78">
        <v>137</v>
      </c>
      <c r="C14" s="79" t="s">
        <v>6746</v>
      </c>
      <c r="D14" s="85" t="s">
        <v>6084</v>
      </c>
      <c r="E14" s="84" t="s">
        <v>6083</v>
      </c>
      <c r="F14" s="86" t="s">
        <v>6067</v>
      </c>
      <c r="G14" s="83">
        <v>136640</v>
      </c>
    </row>
    <row r="15" spans="1:7">
      <c r="A15" s="78" t="s">
        <v>6743</v>
      </c>
      <c r="B15" s="78">
        <v>146</v>
      </c>
      <c r="C15" s="79" t="s">
        <v>6745</v>
      </c>
      <c r="D15" s="81" t="s">
        <v>5239</v>
      </c>
      <c r="E15" s="80" t="s">
        <v>5238</v>
      </c>
      <c r="F15" s="82" t="s">
        <v>6757</v>
      </c>
      <c r="G15" s="83">
        <v>125033</v>
      </c>
    </row>
    <row r="16" spans="1:7">
      <c r="A16" s="78" t="s">
        <v>6743</v>
      </c>
      <c r="B16" s="78">
        <v>155</v>
      </c>
      <c r="C16" s="79" t="s">
        <v>6758</v>
      </c>
      <c r="D16" s="88" t="s">
        <v>6760</v>
      </c>
      <c r="E16" s="87" t="s">
        <v>6759</v>
      </c>
      <c r="F16" s="89" t="s">
        <v>6761</v>
      </c>
      <c r="G16" s="83">
        <v>105971</v>
      </c>
    </row>
    <row r="17" spans="1:7">
      <c r="A17" s="78" t="s">
        <v>6743</v>
      </c>
      <c r="B17" s="78">
        <v>164</v>
      </c>
      <c r="C17" s="79">
        <v>0</v>
      </c>
      <c r="D17" s="85" t="s">
        <v>6763</v>
      </c>
      <c r="E17" s="85" t="s">
        <v>6762</v>
      </c>
      <c r="F17" s="86" t="s">
        <v>5125</v>
      </c>
      <c r="G17" s="83">
        <v>93324</v>
      </c>
    </row>
    <row r="18" spans="1:7">
      <c r="A18" s="78" t="s">
        <v>6743</v>
      </c>
      <c r="B18" s="78">
        <v>173</v>
      </c>
      <c r="C18" s="79">
        <v>0</v>
      </c>
      <c r="D18" s="85" t="s">
        <v>6764</v>
      </c>
      <c r="E18" s="84" t="s">
        <v>5912</v>
      </c>
      <c r="F18" s="86" t="s">
        <v>6269</v>
      </c>
      <c r="G18" s="83">
        <v>82236</v>
      </c>
    </row>
    <row r="19" spans="1:7">
      <c r="A19" s="78" t="s">
        <v>6743</v>
      </c>
      <c r="B19" s="78">
        <v>182</v>
      </c>
      <c r="C19" s="79" t="s">
        <v>6745</v>
      </c>
      <c r="D19" s="81" t="s">
        <v>5223</v>
      </c>
      <c r="E19" s="80" t="s">
        <v>5222</v>
      </c>
      <c r="F19" s="82" t="s">
        <v>5125</v>
      </c>
      <c r="G19" s="83">
        <v>74772</v>
      </c>
    </row>
    <row r="20" spans="1:7">
      <c r="A20" s="78" t="s">
        <v>6743</v>
      </c>
      <c r="B20" s="78">
        <v>191</v>
      </c>
      <c r="C20" s="79">
        <v>0</v>
      </c>
      <c r="D20" s="85" t="s">
        <v>4835</v>
      </c>
      <c r="E20" s="85" t="s">
        <v>4834</v>
      </c>
      <c r="F20" s="86" t="s">
        <v>5427</v>
      </c>
      <c r="G20" s="83">
        <v>61553</v>
      </c>
    </row>
    <row r="21" spans="1:7">
      <c r="A21" s="78" t="s">
        <v>6743</v>
      </c>
      <c r="B21" s="78">
        <v>200</v>
      </c>
      <c r="C21" s="79" t="s">
        <v>6745</v>
      </c>
      <c r="D21" s="81" t="s">
        <v>6164</v>
      </c>
      <c r="E21" s="80" t="s">
        <v>6163</v>
      </c>
      <c r="F21" s="82" t="s">
        <v>5138</v>
      </c>
      <c r="G21" s="83">
        <v>52450</v>
      </c>
    </row>
    <row r="22" spans="1:7">
      <c r="A22" s="78" t="s">
        <v>6743</v>
      </c>
      <c r="B22" s="78">
        <v>209</v>
      </c>
      <c r="C22" s="79" t="s">
        <v>6745</v>
      </c>
      <c r="D22" s="81" t="s">
        <v>6766</v>
      </c>
      <c r="E22" s="80" t="s">
        <v>6765</v>
      </c>
      <c r="F22" s="82" t="s">
        <v>6067</v>
      </c>
      <c r="G22" s="83">
        <v>42496</v>
      </c>
    </row>
    <row r="23" spans="1:7">
      <c r="A23" s="78" t="s">
        <v>6743</v>
      </c>
      <c r="B23" s="78">
        <v>218</v>
      </c>
      <c r="C23" s="79" t="s">
        <v>6745</v>
      </c>
      <c r="D23" s="81" t="s">
        <v>6767</v>
      </c>
      <c r="E23" s="80" t="s">
        <v>5277</v>
      </c>
      <c r="F23" s="82" t="s">
        <v>5279</v>
      </c>
      <c r="G23" s="83">
        <v>34790</v>
      </c>
    </row>
    <row r="24" spans="1:7">
      <c r="A24" s="78" t="s">
        <v>6743</v>
      </c>
      <c r="B24" s="78">
        <v>227</v>
      </c>
      <c r="C24" s="79" t="s">
        <v>6768</v>
      </c>
      <c r="D24" s="85" t="s">
        <v>6769</v>
      </c>
      <c r="E24" s="84" t="s">
        <v>5911</v>
      </c>
      <c r="F24" s="86" t="s">
        <v>5704</v>
      </c>
      <c r="G24" s="83">
        <v>32159</v>
      </c>
    </row>
    <row r="25" spans="1:7">
      <c r="A25" s="78" t="s">
        <v>6743</v>
      </c>
      <c r="B25" s="78">
        <v>236</v>
      </c>
      <c r="C25" s="79">
        <v>0</v>
      </c>
      <c r="D25" s="85" t="s">
        <v>6770</v>
      </c>
      <c r="E25" s="85" t="s">
        <v>5988</v>
      </c>
      <c r="F25" s="86" t="s">
        <v>5990</v>
      </c>
      <c r="G25" s="83">
        <v>30072</v>
      </c>
    </row>
    <row r="26" spans="1:7">
      <c r="A26" s="78" t="s">
        <v>6743</v>
      </c>
      <c r="B26" s="78">
        <v>245</v>
      </c>
      <c r="C26" s="79">
        <v>0</v>
      </c>
      <c r="D26" s="85" t="s">
        <v>6772</v>
      </c>
      <c r="E26" s="84" t="s">
        <v>6771</v>
      </c>
      <c r="F26" s="86" t="s">
        <v>6773</v>
      </c>
      <c r="G26" s="83">
        <v>25096</v>
      </c>
    </row>
    <row r="27" spans="1:7">
      <c r="A27" s="90" t="s">
        <v>6743</v>
      </c>
      <c r="B27" s="90">
        <v>254</v>
      </c>
      <c r="C27" s="91" t="s">
        <v>6758</v>
      </c>
      <c r="D27" s="93" t="s">
        <v>6775</v>
      </c>
      <c r="E27" s="92" t="s">
        <v>6774</v>
      </c>
      <c r="F27" s="94" t="s">
        <v>5135</v>
      </c>
      <c r="G27" s="95">
        <v>24299</v>
      </c>
    </row>
    <row r="28" spans="1:7">
      <c r="A28" s="96" t="s">
        <v>6743</v>
      </c>
      <c r="B28" s="96">
        <v>263</v>
      </c>
      <c r="C28" s="97" t="s">
        <v>6776</v>
      </c>
      <c r="D28" s="99" t="s">
        <v>6778</v>
      </c>
      <c r="E28" s="98" t="s">
        <v>6777</v>
      </c>
      <c r="F28" s="100" t="s">
        <v>5424</v>
      </c>
      <c r="G28" s="101">
        <v>14537</v>
      </c>
    </row>
    <row r="29" spans="1:7">
      <c r="A29" s="78" t="s">
        <v>6743</v>
      </c>
      <c r="B29" s="78">
        <v>272</v>
      </c>
      <c r="C29" s="79" t="s">
        <v>6779</v>
      </c>
      <c r="D29" s="85" t="s">
        <v>6514</v>
      </c>
      <c r="E29" s="84" t="s">
        <v>6780</v>
      </c>
      <c r="F29" s="86" t="s">
        <v>6781</v>
      </c>
      <c r="G29" s="83">
        <v>10982</v>
      </c>
    </row>
    <row r="30" spans="1:7">
      <c r="A30" s="78" t="s">
        <v>6743</v>
      </c>
      <c r="B30" s="78">
        <v>281</v>
      </c>
      <c r="C30" s="79" t="s">
        <v>6782</v>
      </c>
      <c r="D30" s="85" t="s">
        <v>6069</v>
      </c>
      <c r="E30" s="84" t="s">
        <v>6068</v>
      </c>
      <c r="F30" s="86" t="s">
        <v>6082</v>
      </c>
      <c r="G30" s="83">
        <v>8481</v>
      </c>
    </row>
    <row r="31" spans="1:7">
      <c r="A31" s="78" t="s">
        <v>6743</v>
      </c>
      <c r="B31" s="78">
        <v>290</v>
      </c>
      <c r="C31" s="79" t="s">
        <v>6782</v>
      </c>
      <c r="D31" s="85" t="s">
        <v>6518</v>
      </c>
      <c r="E31" s="84" t="s">
        <v>6517</v>
      </c>
      <c r="F31" s="86" t="s">
        <v>5135</v>
      </c>
      <c r="G31" s="83">
        <v>7794</v>
      </c>
    </row>
    <row r="32" spans="1:7">
      <c r="A32" s="78" t="s">
        <v>6743</v>
      </c>
      <c r="B32" s="78">
        <v>299</v>
      </c>
      <c r="C32" s="79" t="s">
        <v>6783</v>
      </c>
      <c r="D32" s="85" t="s">
        <v>6785</v>
      </c>
      <c r="E32" s="84" t="s">
        <v>6784</v>
      </c>
      <c r="F32" s="86" t="s">
        <v>5125</v>
      </c>
      <c r="G32" s="83">
        <v>3668</v>
      </c>
    </row>
    <row r="33" spans="1:7">
      <c r="A33" s="78" t="s">
        <v>6743</v>
      </c>
      <c r="B33" s="78">
        <v>308</v>
      </c>
      <c r="C33" s="79" t="s">
        <v>6782</v>
      </c>
      <c r="D33" s="85" t="s">
        <v>6075</v>
      </c>
      <c r="E33" s="84" t="s">
        <v>6074</v>
      </c>
      <c r="F33" s="86" t="s">
        <v>6082</v>
      </c>
      <c r="G33" s="83">
        <v>1732</v>
      </c>
    </row>
    <row r="34" spans="1:7">
      <c r="A34" s="78" t="s">
        <v>6743</v>
      </c>
      <c r="B34" s="78">
        <v>317</v>
      </c>
      <c r="C34" s="102" t="s">
        <v>6786</v>
      </c>
      <c r="D34" s="85" t="s">
        <v>6788</v>
      </c>
      <c r="E34" s="85" t="s">
        <v>6787</v>
      </c>
      <c r="F34" s="86" t="s">
        <v>6789</v>
      </c>
      <c r="G34" s="83">
        <v>0</v>
      </c>
    </row>
    <row r="35" spans="1:7">
      <c r="A35" s="78" t="s">
        <v>6743</v>
      </c>
      <c r="B35" s="78">
        <v>326</v>
      </c>
      <c r="C35" s="102" t="s">
        <v>6786</v>
      </c>
      <c r="D35" s="85" t="s">
        <v>6791</v>
      </c>
      <c r="E35" s="85" t="s">
        <v>6790</v>
      </c>
      <c r="F35" s="86" t="s">
        <v>6792</v>
      </c>
      <c r="G35" s="83">
        <v>0</v>
      </c>
    </row>
    <row r="36" spans="1:7">
      <c r="A36" s="78" t="s">
        <v>6743</v>
      </c>
      <c r="B36" s="78">
        <v>335</v>
      </c>
      <c r="C36" s="79">
        <v>0</v>
      </c>
      <c r="D36" s="85" t="s">
        <v>6794</v>
      </c>
      <c r="E36" s="85" t="s">
        <v>6793</v>
      </c>
      <c r="F36" s="86" t="s">
        <v>6795</v>
      </c>
      <c r="G36" s="83" t="s">
        <v>6796</v>
      </c>
    </row>
    <row r="37" spans="1:7">
      <c r="A37" s="78" t="s">
        <v>6743</v>
      </c>
      <c r="B37" s="78">
        <v>344</v>
      </c>
      <c r="C37" s="79">
        <v>0</v>
      </c>
      <c r="D37" s="85" t="s">
        <v>6798</v>
      </c>
      <c r="E37" s="85" t="s">
        <v>6797</v>
      </c>
      <c r="F37" s="86" t="s">
        <v>6799</v>
      </c>
      <c r="G37" s="83" t="s">
        <v>6796</v>
      </c>
    </row>
    <row r="38" spans="1:7">
      <c r="A38" s="78" t="s">
        <v>6743</v>
      </c>
      <c r="B38" s="78">
        <v>353</v>
      </c>
      <c r="C38" s="79">
        <v>0</v>
      </c>
      <c r="D38" s="85" t="s">
        <v>6801</v>
      </c>
      <c r="E38" s="85" t="s">
        <v>6800</v>
      </c>
      <c r="F38" s="86" t="s">
        <v>6802</v>
      </c>
      <c r="G38" s="83" t="s">
        <v>6796</v>
      </c>
    </row>
    <row r="39" spans="1:7">
      <c r="A39" s="78" t="s">
        <v>6743</v>
      </c>
      <c r="B39" s="78">
        <v>362</v>
      </c>
      <c r="C39" s="79">
        <v>0</v>
      </c>
      <c r="D39" s="85" t="s">
        <v>6804</v>
      </c>
      <c r="E39" s="85" t="s">
        <v>6803</v>
      </c>
      <c r="F39" s="86" t="s">
        <v>6805</v>
      </c>
      <c r="G39" s="83" t="s">
        <v>6796</v>
      </c>
    </row>
    <row r="40" spans="1:7">
      <c r="A40" s="78" t="s">
        <v>6743</v>
      </c>
      <c r="B40" s="78">
        <v>371</v>
      </c>
      <c r="C40" s="79">
        <v>0</v>
      </c>
      <c r="D40" s="85" t="s">
        <v>6807</v>
      </c>
      <c r="E40" s="85" t="s">
        <v>6806</v>
      </c>
      <c r="F40" s="86" t="s">
        <v>5138</v>
      </c>
      <c r="G40" s="83" t="s">
        <v>6796</v>
      </c>
    </row>
    <row r="41" spans="1:7">
      <c r="A41" s="90" t="s">
        <v>6743</v>
      </c>
      <c r="B41" s="90">
        <v>380</v>
      </c>
      <c r="C41" s="91">
        <v>0</v>
      </c>
      <c r="D41" s="103" t="s">
        <v>6809</v>
      </c>
      <c r="E41" s="103" t="s">
        <v>6808</v>
      </c>
      <c r="F41" s="104" t="s">
        <v>6810</v>
      </c>
      <c r="G41" s="83" t="s">
        <v>6796</v>
      </c>
    </row>
    <row r="42" spans="1:7">
      <c r="A42" s="96" t="s">
        <v>6743</v>
      </c>
      <c r="B42" s="96">
        <v>389</v>
      </c>
      <c r="C42" s="97">
        <v>0</v>
      </c>
      <c r="D42" s="99" t="s">
        <v>6812</v>
      </c>
      <c r="E42" s="99" t="s">
        <v>6811</v>
      </c>
      <c r="F42" s="100" t="s">
        <v>6813</v>
      </c>
      <c r="G42" s="83" t="s">
        <v>6796</v>
      </c>
    </row>
    <row r="43" spans="1:7">
      <c r="A43" s="78" t="s">
        <v>6743</v>
      </c>
      <c r="B43" s="78">
        <v>398</v>
      </c>
      <c r="C43" s="79">
        <v>0</v>
      </c>
      <c r="D43" s="85" t="s">
        <v>6815</v>
      </c>
      <c r="E43" s="85" t="s">
        <v>6814</v>
      </c>
      <c r="F43" s="86" t="s">
        <v>6816</v>
      </c>
      <c r="G43" s="83" t="s">
        <v>6796</v>
      </c>
    </row>
    <row r="44" spans="1:7">
      <c r="A44" s="78" t="s">
        <v>6743</v>
      </c>
      <c r="B44" s="78">
        <v>407</v>
      </c>
      <c r="C44" s="102" t="s">
        <v>6786</v>
      </c>
      <c r="D44" s="85" t="s">
        <v>6818</v>
      </c>
      <c r="E44" s="85" t="s">
        <v>6817</v>
      </c>
      <c r="F44" s="86" t="s">
        <v>5612</v>
      </c>
      <c r="G44" s="83">
        <v>0</v>
      </c>
    </row>
    <row r="45" spans="1:7">
      <c r="A45" s="78" t="s">
        <v>6743</v>
      </c>
      <c r="B45" s="78">
        <v>416</v>
      </c>
      <c r="C45" s="102" t="s">
        <v>6786</v>
      </c>
      <c r="D45" s="85" t="s">
        <v>6820</v>
      </c>
      <c r="E45" s="85" t="s">
        <v>6819</v>
      </c>
      <c r="F45" s="86" t="s">
        <v>6821</v>
      </c>
      <c r="G45" s="83">
        <v>0</v>
      </c>
    </row>
    <row r="46" spans="1:7">
      <c r="A46" s="78" t="s">
        <v>6743</v>
      </c>
      <c r="B46" s="78">
        <v>425</v>
      </c>
      <c r="C46" s="102" t="s">
        <v>6786</v>
      </c>
      <c r="D46" s="85" t="s">
        <v>6823</v>
      </c>
      <c r="E46" s="85" t="s">
        <v>6822</v>
      </c>
      <c r="F46" s="86" t="s">
        <v>6824</v>
      </c>
      <c r="G46" s="83">
        <v>0</v>
      </c>
    </row>
    <row r="47" spans="1:7">
      <c r="A47" s="78" t="s">
        <v>6743</v>
      </c>
      <c r="B47" s="78">
        <v>434</v>
      </c>
      <c r="C47" s="79">
        <v>0</v>
      </c>
      <c r="D47" s="85" t="s">
        <v>6826</v>
      </c>
      <c r="E47" s="85" t="s">
        <v>6825</v>
      </c>
      <c r="F47" s="86" t="s">
        <v>6827</v>
      </c>
      <c r="G47" s="83" t="s">
        <v>6796</v>
      </c>
    </row>
    <row r="48" spans="1:7">
      <c r="A48" s="78" t="s">
        <v>6743</v>
      </c>
      <c r="B48" s="78">
        <v>443</v>
      </c>
      <c r="C48" s="79">
        <v>0</v>
      </c>
      <c r="D48" s="85" t="s">
        <v>6829</v>
      </c>
      <c r="E48" s="85" t="s">
        <v>6828</v>
      </c>
      <c r="F48" s="86" t="s">
        <v>6830</v>
      </c>
      <c r="G48" s="83">
        <v>0</v>
      </c>
    </row>
    <row r="49" spans="1:7">
      <c r="A49" s="78" t="s">
        <v>6743</v>
      </c>
      <c r="B49" s="78">
        <v>452</v>
      </c>
      <c r="C49" s="102" t="s">
        <v>6786</v>
      </c>
      <c r="D49" s="85" t="s">
        <v>6832</v>
      </c>
      <c r="E49" s="85" t="s">
        <v>6831</v>
      </c>
      <c r="F49" s="86" t="s">
        <v>6833</v>
      </c>
      <c r="G49" s="83">
        <v>0</v>
      </c>
    </row>
    <row r="50" spans="1:7">
      <c r="A50" s="78" t="s">
        <v>6743</v>
      </c>
      <c r="B50" s="78">
        <v>461</v>
      </c>
      <c r="C50" s="102" t="s">
        <v>6786</v>
      </c>
      <c r="D50" s="85" t="s">
        <v>6835</v>
      </c>
      <c r="E50" s="85" t="s">
        <v>6834</v>
      </c>
      <c r="F50" s="86" t="s">
        <v>6836</v>
      </c>
      <c r="G50" s="83">
        <v>0</v>
      </c>
    </row>
    <row r="51" spans="1:7">
      <c r="A51" s="78" t="s">
        <v>6743</v>
      </c>
      <c r="B51" s="78">
        <v>470</v>
      </c>
      <c r="C51" s="102" t="s">
        <v>6786</v>
      </c>
      <c r="D51" s="85" t="s">
        <v>6838</v>
      </c>
      <c r="E51" s="85" t="s">
        <v>6837</v>
      </c>
      <c r="F51" s="86" t="s">
        <v>6839</v>
      </c>
      <c r="G51" s="83" t="s">
        <v>6796</v>
      </c>
    </row>
    <row r="52" spans="1:7">
      <c r="A52" s="78" t="s">
        <v>6743</v>
      </c>
      <c r="B52" s="78">
        <v>479</v>
      </c>
      <c r="C52" s="102" t="s">
        <v>6786</v>
      </c>
      <c r="D52" s="85" t="s">
        <v>6841</v>
      </c>
      <c r="E52" s="85" t="s">
        <v>6840</v>
      </c>
      <c r="F52" s="86" t="s">
        <v>6842</v>
      </c>
      <c r="G52" s="83">
        <v>0</v>
      </c>
    </row>
    <row r="53" spans="1:7">
      <c r="A53" s="78" t="s">
        <v>6743</v>
      </c>
      <c r="B53" s="78">
        <v>488</v>
      </c>
      <c r="C53" s="79">
        <v>0</v>
      </c>
      <c r="D53" s="85" t="s">
        <v>6844</v>
      </c>
      <c r="E53" s="85" t="s">
        <v>6843</v>
      </c>
      <c r="F53" s="86" t="s">
        <v>6845</v>
      </c>
      <c r="G53" s="83" t="s">
        <v>6796</v>
      </c>
    </row>
    <row r="54" spans="1:7">
      <c r="A54" s="78" t="s">
        <v>6743</v>
      </c>
      <c r="B54" s="78">
        <v>497</v>
      </c>
      <c r="C54" s="79">
        <v>0</v>
      </c>
      <c r="D54" s="85" t="s">
        <v>6847</v>
      </c>
      <c r="E54" s="85" t="s">
        <v>6846</v>
      </c>
      <c r="F54" s="86" t="s">
        <v>6848</v>
      </c>
      <c r="G54" s="83" t="s">
        <v>6796</v>
      </c>
    </row>
    <row r="55" spans="1:7">
      <c r="A55" s="78" t="s">
        <v>6743</v>
      </c>
      <c r="B55" s="78">
        <v>506</v>
      </c>
      <c r="C55" s="79">
        <v>0</v>
      </c>
      <c r="D55" s="85" t="s">
        <v>6850</v>
      </c>
      <c r="E55" s="85" t="s">
        <v>6849</v>
      </c>
      <c r="F55" s="86" t="s">
        <v>119</v>
      </c>
      <c r="G55" s="83" t="s">
        <v>6796</v>
      </c>
    </row>
    <row r="56" spans="1:7">
      <c r="A56" s="78" t="s">
        <v>6743</v>
      </c>
      <c r="B56" s="78">
        <v>515</v>
      </c>
      <c r="C56" s="79">
        <v>0</v>
      </c>
      <c r="D56" s="85" t="s">
        <v>6852</v>
      </c>
      <c r="E56" s="85" t="s">
        <v>6851</v>
      </c>
      <c r="F56" s="86" t="s">
        <v>5125</v>
      </c>
      <c r="G56" s="83">
        <v>0</v>
      </c>
    </row>
    <row r="57" spans="1:7">
      <c r="A57" s="78" t="s">
        <v>6743</v>
      </c>
      <c r="B57" s="78">
        <v>524</v>
      </c>
      <c r="C57" s="102" t="s">
        <v>6786</v>
      </c>
      <c r="D57" s="85" t="s">
        <v>6854</v>
      </c>
      <c r="E57" s="85" t="s">
        <v>6853</v>
      </c>
      <c r="F57" s="86" t="s">
        <v>5138</v>
      </c>
      <c r="G57" s="83">
        <v>0</v>
      </c>
    </row>
    <row r="58" spans="1:7">
      <c r="A58" s="78" t="s">
        <v>6743</v>
      </c>
      <c r="B58" s="78">
        <v>533</v>
      </c>
      <c r="C58" s="79">
        <v>0</v>
      </c>
      <c r="D58" s="85" t="s">
        <v>6856</v>
      </c>
      <c r="E58" s="85" t="s">
        <v>6855</v>
      </c>
      <c r="F58" s="86" t="s">
        <v>5103</v>
      </c>
      <c r="G58" s="83">
        <v>0</v>
      </c>
    </row>
    <row r="59" spans="1:7">
      <c r="A59" s="78" t="s">
        <v>6743</v>
      </c>
      <c r="B59" s="78">
        <v>542</v>
      </c>
      <c r="C59" s="79">
        <v>0</v>
      </c>
      <c r="D59" s="85" t="s">
        <v>6858</v>
      </c>
      <c r="E59" s="85" t="s">
        <v>6857</v>
      </c>
      <c r="F59" s="86" t="s">
        <v>5687</v>
      </c>
      <c r="G59" s="83" t="s">
        <v>6796</v>
      </c>
    </row>
    <row r="60" spans="1:7">
      <c r="A60" s="78" t="s">
        <v>6743</v>
      </c>
      <c r="B60" s="78">
        <v>551</v>
      </c>
      <c r="C60" s="79">
        <v>0</v>
      </c>
      <c r="D60" s="85" t="s">
        <v>6860</v>
      </c>
      <c r="E60" s="85" t="s">
        <v>6859</v>
      </c>
      <c r="F60" s="86" t="s">
        <v>5427</v>
      </c>
      <c r="G60" s="83">
        <v>0</v>
      </c>
    </row>
    <row r="61" spans="1:7">
      <c r="A61" s="90" t="s">
        <v>6743</v>
      </c>
      <c r="B61" s="90">
        <v>560</v>
      </c>
      <c r="C61" s="91">
        <v>0</v>
      </c>
      <c r="D61" s="103" t="s">
        <v>6862</v>
      </c>
      <c r="E61" s="103" t="s">
        <v>6861</v>
      </c>
      <c r="F61" s="104" t="s">
        <v>5424</v>
      </c>
      <c r="G61" s="95">
        <v>0</v>
      </c>
    </row>
    <row r="62" spans="1:7">
      <c r="A62" s="96" t="s">
        <v>6743</v>
      </c>
      <c r="B62" s="96">
        <v>569</v>
      </c>
      <c r="C62" s="97">
        <v>0</v>
      </c>
      <c r="D62" s="99" t="s">
        <v>6864</v>
      </c>
      <c r="E62" s="99" t="s">
        <v>6863</v>
      </c>
      <c r="F62" s="100" t="s">
        <v>119</v>
      </c>
      <c r="G62" s="101">
        <v>0</v>
      </c>
    </row>
    <row r="63" spans="1:7">
      <c r="A63" s="90" t="s">
        <v>6743</v>
      </c>
      <c r="B63" s="90">
        <v>578</v>
      </c>
      <c r="C63" s="91">
        <v>0</v>
      </c>
      <c r="D63" s="103" t="s">
        <v>6866</v>
      </c>
      <c r="E63" s="103" t="s">
        <v>6865</v>
      </c>
      <c r="F63" s="104" t="s">
        <v>5138</v>
      </c>
      <c r="G63" s="95">
        <v>0</v>
      </c>
    </row>
    <row r="64" spans="1:7">
      <c r="A64" s="105" t="s">
        <v>6743</v>
      </c>
      <c r="B64" s="105">
        <v>587</v>
      </c>
      <c r="C64" s="106">
        <v>0</v>
      </c>
      <c r="D64" s="107" t="s">
        <v>6868</v>
      </c>
      <c r="E64" s="107" t="s">
        <v>6867</v>
      </c>
      <c r="F64" s="108" t="s">
        <v>5125</v>
      </c>
      <c r="G64" s="83" t="s">
        <v>6796</v>
      </c>
    </row>
    <row r="65" spans="1:7">
      <c r="A65" s="96" t="s">
        <v>6743</v>
      </c>
      <c r="B65" s="96">
        <v>596</v>
      </c>
      <c r="C65" s="109" t="s">
        <v>6786</v>
      </c>
      <c r="D65" s="99" t="s">
        <v>6870</v>
      </c>
      <c r="E65" s="99" t="s">
        <v>6869</v>
      </c>
      <c r="F65" s="100" t="s">
        <v>5125</v>
      </c>
      <c r="G65" s="101">
        <v>0</v>
      </c>
    </row>
    <row r="66" spans="1:7">
      <c r="A66" s="78" t="s">
        <v>6743</v>
      </c>
      <c r="B66" s="78">
        <v>605</v>
      </c>
      <c r="C66" s="79">
        <v>0</v>
      </c>
      <c r="D66" s="85" t="s">
        <v>6872</v>
      </c>
      <c r="E66" s="85" t="s">
        <v>6871</v>
      </c>
      <c r="F66" s="86" t="s">
        <v>5135</v>
      </c>
      <c r="G66" s="83">
        <v>0</v>
      </c>
    </row>
    <row r="67" spans="1:7">
      <c r="A67" s="78" t="s">
        <v>6743</v>
      </c>
      <c r="B67" s="78">
        <v>614</v>
      </c>
      <c r="C67" s="79">
        <v>0</v>
      </c>
      <c r="D67" s="85" t="s">
        <v>6874</v>
      </c>
      <c r="E67" s="85" t="s">
        <v>6873</v>
      </c>
      <c r="F67" s="86" t="s">
        <v>5138</v>
      </c>
      <c r="G67" s="83" t="s">
        <v>6796</v>
      </c>
    </row>
    <row r="68" spans="1:7">
      <c r="A68" s="78" t="s">
        <v>6743</v>
      </c>
      <c r="B68" s="78">
        <v>623</v>
      </c>
      <c r="C68" s="79">
        <v>0</v>
      </c>
      <c r="D68" s="85" t="s">
        <v>6876</v>
      </c>
      <c r="E68" s="85" t="s">
        <v>6875</v>
      </c>
      <c r="F68" s="86" t="s">
        <v>5125</v>
      </c>
      <c r="G68" s="83">
        <v>0</v>
      </c>
    </row>
    <row r="69" spans="1:7">
      <c r="A69" s="78" t="s">
        <v>6743</v>
      </c>
      <c r="B69" s="78">
        <v>632</v>
      </c>
      <c r="C69" s="79">
        <v>0</v>
      </c>
      <c r="D69" s="85" t="s">
        <v>6878</v>
      </c>
      <c r="E69" s="85" t="s">
        <v>6877</v>
      </c>
      <c r="F69" s="86" t="s">
        <v>5125</v>
      </c>
      <c r="G69" s="83">
        <v>0</v>
      </c>
    </row>
    <row r="70" spans="1:7">
      <c r="A70" s="78" t="s">
        <v>6743</v>
      </c>
      <c r="B70" s="78">
        <v>641</v>
      </c>
      <c r="C70" s="79">
        <v>0</v>
      </c>
      <c r="D70" s="85" t="s">
        <v>6880</v>
      </c>
      <c r="E70" s="85" t="s">
        <v>6879</v>
      </c>
      <c r="F70" s="86" t="s">
        <v>6881</v>
      </c>
      <c r="G70" s="83">
        <v>0</v>
      </c>
    </row>
    <row r="71" spans="1:7">
      <c r="A71" s="90" t="s">
        <v>6743</v>
      </c>
      <c r="B71" s="90">
        <v>650</v>
      </c>
      <c r="C71" s="91">
        <v>0</v>
      </c>
      <c r="D71" s="103" t="s">
        <v>6883</v>
      </c>
      <c r="E71" s="110" t="s">
        <v>6882</v>
      </c>
      <c r="F71" s="104" t="s">
        <v>6802</v>
      </c>
      <c r="G71" s="95">
        <v>0</v>
      </c>
    </row>
    <row r="72" spans="1:7">
      <c r="A72" s="96" t="s">
        <v>6743</v>
      </c>
      <c r="B72" s="96">
        <v>659</v>
      </c>
      <c r="C72" s="97">
        <v>0</v>
      </c>
      <c r="D72" s="99" t="s">
        <v>6885</v>
      </c>
      <c r="E72" s="98" t="s">
        <v>6884</v>
      </c>
      <c r="F72" s="100" t="s">
        <v>5684</v>
      </c>
      <c r="G72" s="83" t="s">
        <v>6796</v>
      </c>
    </row>
    <row r="73" spans="1:7">
      <c r="A73" s="78" t="s">
        <v>6743</v>
      </c>
      <c r="B73" s="78">
        <v>668</v>
      </c>
      <c r="C73" s="79">
        <v>0</v>
      </c>
      <c r="D73" s="85" t="s">
        <v>6886</v>
      </c>
      <c r="E73" s="84" t="s">
        <v>4961</v>
      </c>
      <c r="F73" s="86" t="s">
        <v>6887</v>
      </c>
      <c r="G73" s="83">
        <v>0</v>
      </c>
    </row>
    <row r="74" spans="1:7">
      <c r="A74" s="78" t="s">
        <v>6743</v>
      </c>
      <c r="B74" s="78">
        <v>677</v>
      </c>
      <c r="C74" s="79" t="s">
        <v>6768</v>
      </c>
      <c r="D74" s="85" t="s">
        <v>5953</v>
      </c>
      <c r="E74" s="84" t="s">
        <v>5952</v>
      </c>
      <c r="F74" s="86" t="s">
        <v>5687</v>
      </c>
      <c r="G74" s="83">
        <v>0</v>
      </c>
    </row>
    <row r="75" spans="1:7">
      <c r="A75" s="90" t="s">
        <v>6743</v>
      </c>
      <c r="B75" s="90">
        <v>686</v>
      </c>
      <c r="C75" s="91" t="s">
        <v>6768</v>
      </c>
      <c r="D75" s="103" t="s">
        <v>6889</v>
      </c>
      <c r="E75" s="110" t="s">
        <v>6888</v>
      </c>
      <c r="F75" s="104" t="s">
        <v>5453</v>
      </c>
      <c r="G75" s="95">
        <v>0</v>
      </c>
    </row>
    <row r="76" spans="1:7">
      <c r="A76" s="96" t="s">
        <v>6743</v>
      </c>
      <c r="B76" s="96">
        <v>748</v>
      </c>
      <c r="C76" s="97">
        <v>0</v>
      </c>
      <c r="D76" s="99" t="s">
        <v>5003</v>
      </c>
      <c r="E76" s="98" t="s">
        <v>6890</v>
      </c>
      <c r="F76" s="100" t="s">
        <v>6891</v>
      </c>
      <c r="G76" s="101">
        <v>25577</v>
      </c>
    </row>
    <row r="77" spans="1:7">
      <c r="A77" s="78" t="s">
        <v>6743</v>
      </c>
      <c r="B77" s="78">
        <v>23</v>
      </c>
      <c r="C77" s="79">
        <v>0</v>
      </c>
      <c r="D77" s="85" t="s">
        <v>5102</v>
      </c>
      <c r="E77" s="85" t="s">
        <v>1896</v>
      </c>
      <c r="F77" s="86" t="s">
        <v>5103</v>
      </c>
      <c r="G77" s="83">
        <v>2159987</v>
      </c>
    </row>
    <row r="78" spans="1:7">
      <c r="A78" s="78" t="s">
        <v>6743</v>
      </c>
      <c r="B78" s="78">
        <v>32</v>
      </c>
      <c r="C78" s="79">
        <v>0</v>
      </c>
      <c r="D78" s="85" t="s">
        <v>6893</v>
      </c>
      <c r="E78" s="84" t="s">
        <v>6892</v>
      </c>
      <c r="F78" s="86" t="s">
        <v>6753</v>
      </c>
      <c r="G78" s="83">
        <v>759578</v>
      </c>
    </row>
    <row r="79" spans="1:7">
      <c r="A79" s="78" t="s">
        <v>6743</v>
      </c>
      <c r="B79" s="78">
        <v>41</v>
      </c>
      <c r="C79" s="79" t="s">
        <v>6745</v>
      </c>
      <c r="D79" s="81" t="s">
        <v>5252</v>
      </c>
      <c r="E79" s="80" t="s">
        <v>5251</v>
      </c>
      <c r="F79" s="82" t="s">
        <v>6082</v>
      </c>
      <c r="G79" s="83">
        <v>595473</v>
      </c>
    </row>
    <row r="80" spans="1:7">
      <c r="A80" s="78" t="s">
        <v>6743</v>
      </c>
      <c r="B80" s="78">
        <v>50</v>
      </c>
      <c r="C80" s="79" t="s">
        <v>6745</v>
      </c>
      <c r="D80" s="81" t="s">
        <v>5255</v>
      </c>
      <c r="E80" s="80" t="s">
        <v>5254</v>
      </c>
      <c r="F80" s="82" t="s">
        <v>6067</v>
      </c>
      <c r="G80" s="83">
        <v>458830</v>
      </c>
    </row>
    <row r="81" spans="1:7">
      <c r="A81" s="78" t="s">
        <v>6743</v>
      </c>
      <c r="B81" s="78">
        <v>59</v>
      </c>
      <c r="C81" s="79">
        <v>0</v>
      </c>
      <c r="D81" s="85" t="s">
        <v>6894</v>
      </c>
      <c r="E81" s="84" t="s">
        <v>5722</v>
      </c>
      <c r="F81" s="86" t="s">
        <v>5724</v>
      </c>
      <c r="G81" s="83">
        <v>406530</v>
      </c>
    </row>
    <row r="82" spans="1:7">
      <c r="A82" s="78" t="s">
        <v>6743</v>
      </c>
      <c r="B82" s="78">
        <v>68</v>
      </c>
      <c r="C82" s="79" t="s">
        <v>6895</v>
      </c>
      <c r="D82" s="85" t="s">
        <v>5451</v>
      </c>
      <c r="E82" s="85" t="s">
        <v>5450</v>
      </c>
      <c r="F82" s="86" t="s">
        <v>5427</v>
      </c>
      <c r="G82" s="83">
        <v>353920</v>
      </c>
    </row>
    <row r="83" spans="1:7">
      <c r="A83" s="90" t="s">
        <v>6743</v>
      </c>
      <c r="B83" s="90">
        <v>77</v>
      </c>
      <c r="C83" s="91" t="s">
        <v>6746</v>
      </c>
      <c r="D83" s="103" t="s">
        <v>6896</v>
      </c>
      <c r="E83" s="110" t="s">
        <v>6102</v>
      </c>
      <c r="F83" s="104" t="s">
        <v>6428</v>
      </c>
      <c r="G83" s="95">
        <v>294764</v>
      </c>
    </row>
    <row r="84" spans="1:7">
      <c r="A84" s="96" t="s">
        <v>6743</v>
      </c>
      <c r="B84" s="96">
        <v>86</v>
      </c>
      <c r="C84" s="97" t="s">
        <v>6745</v>
      </c>
      <c r="D84" s="112" t="s">
        <v>5405</v>
      </c>
      <c r="E84" s="111" t="s">
        <v>5404</v>
      </c>
      <c r="F84" s="113" t="s">
        <v>5406</v>
      </c>
      <c r="G84" s="101">
        <v>255294</v>
      </c>
    </row>
    <row r="85" spans="1:7">
      <c r="A85" s="78" t="s">
        <v>6743</v>
      </c>
      <c r="B85" s="78">
        <v>95</v>
      </c>
      <c r="C85" s="79">
        <v>0</v>
      </c>
      <c r="D85" s="85" t="s">
        <v>5650</v>
      </c>
      <c r="E85" s="84" t="s">
        <v>5649</v>
      </c>
      <c r="F85" s="86" t="s">
        <v>5651</v>
      </c>
      <c r="G85" s="83">
        <v>195912</v>
      </c>
    </row>
    <row r="86" spans="1:7">
      <c r="A86" s="78" t="s">
        <v>6743</v>
      </c>
      <c r="B86" s="78">
        <v>104</v>
      </c>
      <c r="C86" s="79">
        <v>0</v>
      </c>
      <c r="D86" s="85" t="s">
        <v>5533</v>
      </c>
      <c r="E86" s="84" t="s">
        <v>5532</v>
      </c>
      <c r="F86" s="86" t="s">
        <v>5531</v>
      </c>
      <c r="G86" s="83">
        <v>182710</v>
      </c>
    </row>
    <row r="87" spans="1:7">
      <c r="A87" s="90" t="s">
        <v>6743</v>
      </c>
      <c r="B87" s="90">
        <v>113</v>
      </c>
      <c r="C87" s="91" t="s">
        <v>6768</v>
      </c>
      <c r="D87" s="103" t="s">
        <v>6404</v>
      </c>
      <c r="E87" s="110" t="s">
        <v>6403</v>
      </c>
      <c r="F87" s="104" t="s">
        <v>6405</v>
      </c>
      <c r="G87" s="95">
        <v>160754</v>
      </c>
    </row>
    <row r="88" spans="1:7">
      <c r="A88" s="96" t="s">
        <v>6743</v>
      </c>
      <c r="B88" s="96">
        <v>122</v>
      </c>
      <c r="C88" s="97" t="s">
        <v>6745</v>
      </c>
      <c r="D88" s="112" t="s">
        <v>5303</v>
      </c>
      <c r="E88" s="111" t="s">
        <v>5302</v>
      </c>
      <c r="F88" s="113" t="s">
        <v>6897</v>
      </c>
      <c r="G88" s="101">
        <v>154032</v>
      </c>
    </row>
    <row r="89" spans="1:7">
      <c r="A89" s="90" t="s">
        <v>6743</v>
      </c>
      <c r="B89" s="90">
        <v>131</v>
      </c>
      <c r="C89" s="91" t="s">
        <v>6755</v>
      </c>
      <c r="D89" s="103" t="s">
        <v>5970</v>
      </c>
      <c r="E89" s="110" t="s">
        <v>5969</v>
      </c>
      <c r="F89" s="104" t="s">
        <v>5704</v>
      </c>
      <c r="G89" s="95">
        <v>142979</v>
      </c>
    </row>
    <row r="90" spans="1:7">
      <c r="A90" s="96" t="s">
        <v>6743</v>
      </c>
      <c r="B90" s="96">
        <v>140</v>
      </c>
      <c r="C90" s="97" t="s">
        <v>6898</v>
      </c>
      <c r="D90" s="115" t="s">
        <v>6574</v>
      </c>
      <c r="E90" s="114" t="s">
        <v>6573</v>
      </c>
      <c r="F90" s="116" t="s">
        <v>5219</v>
      </c>
      <c r="G90" s="101">
        <v>136536</v>
      </c>
    </row>
    <row r="91" spans="1:7">
      <c r="A91" s="78" t="s">
        <v>6743</v>
      </c>
      <c r="B91" s="78">
        <v>149</v>
      </c>
      <c r="C91" s="79" t="s">
        <v>6746</v>
      </c>
      <c r="D91" s="85" t="s">
        <v>5940</v>
      </c>
      <c r="E91" s="84" t="s">
        <v>6899</v>
      </c>
      <c r="F91" s="86" t="s">
        <v>5687</v>
      </c>
      <c r="G91" s="83">
        <v>111241</v>
      </c>
    </row>
    <row r="92" spans="1:7">
      <c r="A92" s="78" t="s">
        <v>6743</v>
      </c>
      <c r="B92" s="78">
        <v>158</v>
      </c>
      <c r="C92" s="79" t="s">
        <v>6758</v>
      </c>
      <c r="D92" s="88" t="s">
        <v>6901</v>
      </c>
      <c r="E92" s="87" t="s">
        <v>6900</v>
      </c>
      <c r="F92" s="89" t="s">
        <v>5660</v>
      </c>
      <c r="G92" s="83">
        <v>105971</v>
      </c>
    </row>
    <row r="93" spans="1:7">
      <c r="A93" s="78" t="s">
        <v>6743</v>
      </c>
      <c r="B93" s="78">
        <v>167</v>
      </c>
      <c r="C93" s="79">
        <v>0</v>
      </c>
      <c r="D93" s="85" t="s">
        <v>6903</v>
      </c>
      <c r="E93" s="85" t="s">
        <v>6902</v>
      </c>
      <c r="F93" s="86" t="s">
        <v>119</v>
      </c>
      <c r="G93" s="83">
        <v>93160</v>
      </c>
    </row>
    <row r="94" spans="1:7">
      <c r="A94" s="73" t="s">
        <v>6743</v>
      </c>
      <c r="B94" s="73">
        <v>176</v>
      </c>
      <c r="C94" s="74">
        <v>0</v>
      </c>
      <c r="D94" s="75" t="s">
        <v>6904</v>
      </c>
      <c r="E94" s="75" t="s">
        <v>5763</v>
      </c>
      <c r="F94" s="76" t="s">
        <v>5704</v>
      </c>
      <c r="G94" s="117">
        <v>80815</v>
      </c>
    </row>
    <row r="95" spans="1:7">
      <c r="A95" s="78" t="s">
        <v>6743</v>
      </c>
      <c r="B95" s="78">
        <v>185</v>
      </c>
      <c r="C95" s="79">
        <v>0</v>
      </c>
      <c r="D95" s="85" t="s">
        <v>6906</v>
      </c>
      <c r="E95" s="84" t="s">
        <v>6905</v>
      </c>
      <c r="F95" s="86" t="s">
        <v>5117</v>
      </c>
      <c r="G95" s="83">
        <v>69973</v>
      </c>
    </row>
    <row r="96" spans="1:7">
      <c r="A96" s="78" t="s">
        <v>6743</v>
      </c>
      <c r="B96" s="78">
        <v>194</v>
      </c>
      <c r="C96" s="79" t="s">
        <v>6755</v>
      </c>
      <c r="D96" s="85" t="s">
        <v>6907</v>
      </c>
      <c r="E96" s="84" t="s">
        <v>6330</v>
      </c>
      <c r="F96" s="86" t="s">
        <v>6300</v>
      </c>
      <c r="G96" s="83">
        <v>59805</v>
      </c>
    </row>
    <row r="97" spans="1:7">
      <c r="A97" s="78" t="s">
        <v>6743</v>
      </c>
      <c r="B97" s="78">
        <v>203</v>
      </c>
      <c r="C97" s="79" t="s">
        <v>6745</v>
      </c>
      <c r="D97" s="81" t="s">
        <v>6908</v>
      </c>
      <c r="E97" s="80" t="s">
        <v>5289</v>
      </c>
      <c r="F97" s="82" t="s">
        <v>5138</v>
      </c>
      <c r="G97" s="83">
        <v>43937</v>
      </c>
    </row>
    <row r="98" spans="1:7">
      <c r="A98" s="78" t="s">
        <v>6743</v>
      </c>
      <c r="B98" s="78">
        <v>212</v>
      </c>
      <c r="C98" s="79"/>
      <c r="D98" s="85" t="s">
        <v>5743</v>
      </c>
      <c r="E98" s="85" t="s">
        <v>5742</v>
      </c>
      <c r="F98" s="86" t="s">
        <v>5687</v>
      </c>
      <c r="G98" s="83">
        <v>36889</v>
      </c>
    </row>
    <row r="99" spans="1:7">
      <c r="A99" s="90" t="s">
        <v>6743</v>
      </c>
      <c r="B99" s="90">
        <v>221</v>
      </c>
      <c r="C99" s="91" t="s">
        <v>6745</v>
      </c>
      <c r="D99" s="119" t="s">
        <v>6910</v>
      </c>
      <c r="E99" s="118" t="s">
        <v>6909</v>
      </c>
      <c r="F99" s="120" t="s">
        <v>6428</v>
      </c>
      <c r="G99" s="95">
        <v>34690</v>
      </c>
    </row>
    <row r="100" spans="1:7">
      <c r="A100" s="96" t="s">
        <v>6743</v>
      </c>
      <c r="B100" s="96">
        <v>230</v>
      </c>
      <c r="C100" s="97" t="s">
        <v>6768</v>
      </c>
      <c r="D100" s="99" t="s">
        <v>6494</v>
      </c>
      <c r="E100" s="98" t="s">
        <v>6493</v>
      </c>
      <c r="F100" s="100" t="s">
        <v>6300</v>
      </c>
      <c r="G100" s="101">
        <v>32159</v>
      </c>
    </row>
    <row r="101" spans="1:7">
      <c r="A101" s="90" t="s">
        <v>6743</v>
      </c>
      <c r="B101" s="90">
        <v>239</v>
      </c>
      <c r="C101" s="91" t="s">
        <v>6745</v>
      </c>
      <c r="D101" s="119" t="s">
        <v>6911</v>
      </c>
      <c r="E101" s="118" t="s">
        <v>5270</v>
      </c>
      <c r="F101" s="120" t="s">
        <v>119</v>
      </c>
      <c r="G101" s="95">
        <v>28413</v>
      </c>
    </row>
    <row r="102" spans="1:7">
      <c r="A102" s="96" t="s">
        <v>6743</v>
      </c>
      <c r="B102" s="96">
        <v>248</v>
      </c>
      <c r="C102" s="97">
        <v>0</v>
      </c>
      <c r="D102" s="99" t="s">
        <v>6913</v>
      </c>
      <c r="E102" s="99" t="s">
        <v>6912</v>
      </c>
      <c r="F102" s="100" t="s">
        <v>119</v>
      </c>
      <c r="G102" s="101">
        <v>24610</v>
      </c>
    </row>
    <row r="103" spans="1:7">
      <c r="A103" s="78" t="s">
        <v>6743</v>
      </c>
      <c r="B103" s="78">
        <v>257</v>
      </c>
      <c r="C103" s="79" t="s">
        <v>6914</v>
      </c>
      <c r="D103" s="88" t="s">
        <v>6916</v>
      </c>
      <c r="E103" s="87" t="s">
        <v>6915</v>
      </c>
      <c r="F103" s="89" t="s">
        <v>119</v>
      </c>
      <c r="G103" s="83">
        <v>20835</v>
      </c>
    </row>
    <row r="104" spans="1:7">
      <c r="A104" s="78" t="s">
        <v>6743</v>
      </c>
      <c r="B104" s="78">
        <v>266</v>
      </c>
      <c r="C104" s="79" t="s">
        <v>6914</v>
      </c>
      <c r="D104" s="88" t="s">
        <v>6918</v>
      </c>
      <c r="E104" s="87" t="s">
        <v>6917</v>
      </c>
      <c r="F104" s="89" t="s">
        <v>5125</v>
      </c>
      <c r="G104" s="83">
        <v>13507</v>
      </c>
    </row>
    <row r="105" spans="1:7">
      <c r="A105" s="78" t="s">
        <v>6743</v>
      </c>
      <c r="B105" s="78">
        <v>275</v>
      </c>
      <c r="C105" s="79" t="s">
        <v>6782</v>
      </c>
      <c r="D105" s="85" t="s">
        <v>6528</v>
      </c>
      <c r="E105" s="84" t="s">
        <v>6527</v>
      </c>
      <c r="F105" s="86" t="s">
        <v>5226</v>
      </c>
      <c r="G105" s="83">
        <v>10900</v>
      </c>
    </row>
    <row r="106" spans="1:7">
      <c r="A106" s="78" t="s">
        <v>6743</v>
      </c>
      <c r="B106" s="78">
        <v>284</v>
      </c>
      <c r="C106" s="79" t="s">
        <v>6914</v>
      </c>
      <c r="D106" s="88" t="s">
        <v>6920</v>
      </c>
      <c r="E106" s="87" t="s">
        <v>6919</v>
      </c>
      <c r="F106" s="89" t="s">
        <v>5138</v>
      </c>
      <c r="G106" s="83">
        <v>8441</v>
      </c>
    </row>
    <row r="107" spans="1:7">
      <c r="A107" s="78" t="s">
        <v>6743</v>
      </c>
      <c r="B107" s="78">
        <v>293</v>
      </c>
      <c r="C107" s="79" t="s">
        <v>6755</v>
      </c>
      <c r="D107" s="85" t="s">
        <v>6386</v>
      </c>
      <c r="E107" s="84" t="s">
        <v>6385</v>
      </c>
      <c r="F107" s="86" t="s">
        <v>119</v>
      </c>
      <c r="G107" s="83">
        <v>6454</v>
      </c>
    </row>
    <row r="108" spans="1:7">
      <c r="A108" s="78" t="s">
        <v>6743</v>
      </c>
      <c r="B108" s="78">
        <v>302</v>
      </c>
      <c r="C108" s="79" t="s">
        <v>6914</v>
      </c>
      <c r="D108" s="88" t="s">
        <v>6922</v>
      </c>
      <c r="E108" s="87" t="s">
        <v>6921</v>
      </c>
      <c r="F108" s="89" t="s">
        <v>5125</v>
      </c>
      <c r="G108" s="83">
        <v>2423</v>
      </c>
    </row>
    <row r="109" spans="1:7">
      <c r="A109" s="78" t="s">
        <v>6743</v>
      </c>
      <c r="B109" s="78">
        <v>311</v>
      </c>
      <c r="C109" s="79" t="s">
        <v>6782</v>
      </c>
      <c r="D109" s="85" t="s">
        <v>6522</v>
      </c>
      <c r="E109" s="84" t="s">
        <v>6521</v>
      </c>
      <c r="F109" s="86" t="s">
        <v>5138</v>
      </c>
      <c r="G109" s="83">
        <v>1732</v>
      </c>
    </row>
    <row r="110" spans="1:7">
      <c r="A110" s="78" t="s">
        <v>6743</v>
      </c>
      <c r="B110" s="78">
        <v>320</v>
      </c>
      <c r="C110" s="79">
        <v>0</v>
      </c>
      <c r="D110" s="85" t="s">
        <v>6924</v>
      </c>
      <c r="E110" s="85" t="s">
        <v>6923</v>
      </c>
      <c r="F110" s="86" t="s">
        <v>6925</v>
      </c>
      <c r="G110" s="83" t="s">
        <v>6796</v>
      </c>
    </row>
    <row r="111" spans="1:7" ht="15" thickBot="1">
      <c r="A111" s="121" t="s">
        <v>6743</v>
      </c>
      <c r="B111" s="121">
        <v>329</v>
      </c>
      <c r="C111" s="122" t="s">
        <v>6786</v>
      </c>
      <c r="D111" s="123" t="s">
        <v>6927</v>
      </c>
      <c r="E111" s="123" t="s">
        <v>6926</v>
      </c>
      <c r="F111" s="124" t="s">
        <v>6789</v>
      </c>
      <c r="G111" s="125">
        <v>0</v>
      </c>
    </row>
    <row r="112" spans="1:7">
      <c r="A112" s="126" t="s">
        <v>6743</v>
      </c>
      <c r="B112" s="126">
        <v>338</v>
      </c>
      <c r="C112" s="127">
        <v>0</v>
      </c>
      <c r="D112" s="128" t="s">
        <v>6929</v>
      </c>
      <c r="E112" s="128" t="s">
        <v>6928</v>
      </c>
      <c r="F112" s="129" t="s">
        <v>6930</v>
      </c>
      <c r="G112" s="83" t="s">
        <v>6796</v>
      </c>
    </row>
    <row r="113" spans="1:7">
      <c r="A113" s="78" t="s">
        <v>6743</v>
      </c>
      <c r="B113" s="78">
        <v>347</v>
      </c>
      <c r="C113" s="79">
        <v>0</v>
      </c>
      <c r="D113" s="85" t="s">
        <v>6932</v>
      </c>
      <c r="E113" s="85" t="s">
        <v>6931</v>
      </c>
      <c r="F113" s="86" t="s">
        <v>6933</v>
      </c>
      <c r="G113" s="83" t="s">
        <v>6796</v>
      </c>
    </row>
    <row r="114" spans="1:7">
      <c r="A114" s="78" t="s">
        <v>6743</v>
      </c>
      <c r="B114" s="78">
        <v>356</v>
      </c>
      <c r="C114" s="79">
        <v>0</v>
      </c>
      <c r="D114" s="85" t="s">
        <v>6935</v>
      </c>
      <c r="E114" s="85" t="s">
        <v>6934</v>
      </c>
      <c r="F114" s="86" t="s">
        <v>6936</v>
      </c>
      <c r="G114" s="83" t="s">
        <v>6796</v>
      </c>
    </row>
    <row r="115" spans="1:7">
      <c r="A115" s="78" t="s">
        <v>6743</v>
      </c>
      <c r="B115" s="78">
        <v>365</v>
      </c>
      <c r="C115" s="79">
        <v>0</v>
      </c>
      <c r="D115" s="85" t="s">
        <v>6938</v>
      </c>
      <c r="E115" s="85" t="s">
        <v>6937</v>
      </c>
      <c r="F115" s="86" t="s">
        <v>6939</v>
      </c>
      <c r="G115" s="83" t="s">
        <v>6796</v>
      </c>
    </row>
    <row r="116" spans="1:7">
      <c r="A116" s="78" t="s">
        <v>6743</v>
      </c>
      <c r="B116" s="78">
        <v>374</v>
      </c>
      <c r="C116" s="79">
        <v>0</v>
      </c>
      <c r="D116" s="85" t="s">
        <v>6941</v>
      </c>
      <c r="E116" s="85" t="s">
        <v>6940</v>
      </c>
      <c r="F116" s="86" t="s">
        <v>6942</v>
      </c>
      <c r="G116" s="83" t="s">
        <v>6796</v>
      </c>
    </row>
    <row r="117" spans="1:7">
      <c r="A117" s="78" t="s">
        <v>6743</v>
      </c>
      <c r="B117" s="78">
        <v>383</v>
      </c>
      <c r="C117" s="79">
        <v>0</v>
      </c>
      <c r="D117" s="85" t="s">
        <v>6944</v>
      </c>
      <c r="E117" s="85" t="s">
        <v>6943</v>
      </c>
      <c r="F117" s="86" t="s">
        <v>6945</v>
      </c>
      <c r="G117" s="83" t="s">
        <v>6796</v>
      </c>
    </row>
    <row r="118" spans="1:7">
      <c r="A118" s="78" t="s">
        <v>6743</v>
      </c>
      <c r="B118" s="78">
        <v>392</v>
      </c>
      <c r="C118" s="79">
        <v>0</v>
      </c>
      <c r="D118" s="85" t="s">
        <v>6947</v>
      </c>
      <c r="E118" s="85" t="s">
        <v>6946</v>
      </c>
      <c r="F118" s="86" t="s">
        <v>6948</v>
      </c>
      <c r="G118" s="83">
        <v>0</v>
      </c>
    </row>
    <row r="119" spans="1:7">
      <c r="A119" s="78" t="s">
        <v>6743</v>
      </c>
      <c r="B119" s="78">
        <v>401</v>
      </c>
      <c r="C119" s="79">
        <v>0</v>
      </c>
      <c r="D119" s="85" t="s">
        <v>6950</v>
      </c>
      <c r="E119" s="85" t="s">
        <v>6949</v>
      </c>
      <c r="F119" s="86" t="s">
        <v>6951</v>
      </c>
      <c r="G119" s="83" t="s">
        <v>6796</v>
      </c>
    </row>
    <row r="120" spans="1:7">
      <c r="A120" s="78" t="s">
        <v>6743</v>
      </c>
      <c r="B120" s="78">
        <v>410</v>
      </c>
      <c r="C120" s="102" t="s">
        <v>6786</v>
      </c>
      <c r="D120" s="85" t="s">
        <v>6953</v>
      </c>
      <c r="E120" s="85" t="s">
        <v>6952</v>
      </c>
      <c r="F120" s="86" t="s">
        <v>6954</v>
      </c>
      <c r="G120" s="83">
        <v>0</v>
      </c>
    </row>
    <row r="121" spans="1:7">
      <c r="A121" s="78" t="s">
        <v>6743</v>
      </c>
      <c r="B121" s="78">
        <v>419</v>
      </c>
      <c r="C121" s="79">
        <v>0</v>
      </c>
      <c r="D121" s="85" t="s">
        <v>6956</v>
      </c>
      <c r="E121" s="85" t="s">
        <v>6955</v>
      </c>
      <c r="F121" s="86" t="s">
        <v>6957</v>
      </c>
      <c r="G121" s="83" t="s">
        <v>6796</v>
      </c>
    </row>
    <row r="122" spans="1:7">
      <c r="A122" s="78" t="s">
        <v>6743</v>
      </c>
      <c r="B122" s="78">
        <v>428</v>
      </c>
      <c r="C122" s="79">
        <v>0</v>
      </c>
      <c r="D122" s="85" t="s">
        <v>6959</v>
      </c>
      <c r="E122" s="85" t="s">
        <v>6958</v>
      </c>
      <c r="F122" s="86" t="s">
        <v>6960</v>
      </c>
      <c r="G122" s="83" t="s">
        <v>6796</v>
      </c>
    </row>
    <row r="123" spans="1:7">
      <c r="A123" s="78" t="s">
        <v>6743</v>
      </c>
      <c r="B123" s="78">
        <v>437</v>
      </c>
      <c r="C123" s="102" t="s">
        <v>6786</v>
      </c>
      <c r="D123" s="85" t="s">
        <v>6962</v>
      </c>
      <c r="E123" s="85" t="s">
        <v>6961</v>
      </c>
      <c r="F123" s="86" t="s">
        <v>6963</v>
      </c>
      <c r="G123" s="83">
        <v>0</v>
      </c>
    </row>
    <row r="124" spans="1:7">
      <c r="A124" s="78" t="s">
        <v>6743</v>
      </c>
      <c r="B124" s="78">
        <v>446</v>
      </c>
      <c r="C124" s="79">
        <v>0</v>
      </c>
      <c r="D124" s="85" t="s">
        <v>6965</v>
      </c>
      <c r="E124" s="85" t="s">
        <v>6964</v>
      </c>
      <c r="F124" s="86" t="s">
        <v>5363</v>
      </c>
      <c r="G124" s="83">
        <v>0</v>
      </c>
    </row>
    <row r="125" spans="1:7">
      <c r="A125" s="90" t="s">
        <v>6743</v>
      </c>
      <c r="B125" s="90">
        <v>455</v>
      </c>
      <c r="C125" s="130" t="s">
        <v>6786</v>
      </c>
      <c r="D125" s="103" t="s">
        <v>6967</v>
      </c>
      <c r="E125" s="103" t="s">
        <v>6966</v>
      </c>
      <c r="F125" s="104" t="s">
        <v>6968</v>
      </c>
      <c r="G125" s="95">
        <v>0</v>
      </c>
    </row>
    <row r="126" spans="1:7">
      <c r="A126" s="96" t="s">
        <v>6743</v>
      </c>
      <c r="B126" s="96">
        <v>464</v>
      </c>
      <c r="C126" s="109" t="s">
        <v>6786</v>
      </c>
      <c r="D126" s="99" t="s">
        <v>6970</v>
      </c>
      <c r="E126" s="99" t="s">
        <v>6969</v>
      </c>
      <c r="F126" s="100" t="s">
        <v>6971</v>
      </c>
      <c r="G126" s="101">
        <v>0</v>
      </c>
    </row>
    <row r="127" spans="1:7">
      <c r="A127" s="78" t="s">
        <v>6743</v>
      </c>
      <c r="B127" s="78">
        <v>473</v>
      </c>
      <c r="C127" s="102" t="s">
        <v>6786</v>
      </c>
      <c r="D127" s="85" t="s">
        <v>6973</v>
      </c>
      <c r="E127" s="85" t="s">
        <v>6972</v>
      </c>
      <c r="F127" s="86" t="s">
        <v>6974</v>
      </c>
      <c r="G127" s="83" t="s">
        <v>6796</v>
      </c>
    </row>
    <row r="128" spans="1:7">
      <c r="A128" s="78" t="s">
        <v>6743</v>
      </c>
      <c r="B128" s="78">
        <v>482</v>
      </c>
      <c r="C128" s="102" t="s">
        <v>6786</v>
      </c>
      <c r="D128" s="85" t="s">
        <v>6976</v>
      </c>
      <c r="E128" s="85" t="s">
        <v>6975</v>
      </c>
      <c r="F128" s="86" t="s">
        <v>6977</v>
      </c>
      <c r="G128" s="83">
        <v>0</v>
      </c>
    </row>
    <row r="129" spans="1:7">
      <c r="A129" s="78" t="s">
        <v>6743</v>
      </c>
      <c r="B129" s="78">
        <v>491</v>
      </c>
      <c r="C129" s="79">
        <v>0</v>
      </c>
      <c r="D129" s="85" t="s">
        <v>6979</v>
      </c>
      <c r="E129" s="85" t="s">
        <v>6978</v>
      </c>
      <c r="F129" s="86" t="s">
        <v>6980</v>
      </c>
      <c r="G129" s="83" t="s">
        <v>6796</v>
      </c>
    </row>
    <row r="130" spans="1:7">
      <c r="A130" s="78" t="s">
        <v>6743</v>
      </c>
      <c r="B130" s="78">
        <v>500</v>
      </c>
      <c r="C130" s="79">
        <v>0</v>
      </c>
      <c r="D130" s="85" t="s">
        <v>6982</v>
      </c>
      <c r="E130" s="85" t="s">
        <v>6981</v>
      </c>
      <c r="F130" s="86" t="s">
        <v>6983</v>
      </c>
      <c r="G130" s="83">
        <v>0</v>
      </c>
    </row>
    <row r="131" spans="1:7">
      <c r="A131" s="78" t="s">
        <v>6743</v>
      </c>
      <c r="B131" s="78">
        <v>509</v>
      </c>
      <c r="C131" s="79">
        <v>0</v>
      </c>
      <c r="D131" s="85" t="s">
        <v>6985</v>
      </c>
      <c r="E131" s="85" t="s">
        <v>6984</v>
      </c>
      <c r="F131" s="86" t="s">
        <v>5125</v>
      </c>
      <c r="G131" s="83" t="s">
        <v>6796</v>
      </c>
    </row>
    <row r="132" spans="1:7">
      <c r="A132" s="78" t="s">
        <v>6743</v>
      </c>
      <c r="B132" s="78">
        <v>518</v>
      </c>
      <c r="C132" s="79">
        <v>0</v>
      </c>
      <c r="D132" s="85" t="s">
        <v>6987</v>
      </c>
      <c r="E132" s="85" t="s">
        <v>6986</v>
      </c>
      <c r="F132" s="86" t="s">
        <v>119</v>
      </c>
      <c r="G132" s="83" t="s">
        <v>6796</v>
      </c>
    </row>
    <row r="133" spans="1:7">
      <c r="A133" s="78" t="s">
        <v>6743</v>
      </c>
      <c r="B133" s="78">
        <v>527</v>
      </c>
      <c r="C133" s="102" t="s">
        <v>6786</v>
      </c>
      <c r="D133" s="85" t="s">
        <v>6989</v>
      </c>
      <c r="E133" s="85" t="s">
        <v>6988</v>
      </c>
      <c r="F133" s="86" t="s">
        <v>5135</v>
      </c>
      <c r="G133" s="83">
        <v>0</v>
      </c>
    </row>
    <row r="134" spans="1:7">
      <c r="A134" s="78" t="s">
        <v>6743</v>
      </c>
      <c r="B134" s="78">
        <v>536</v>
      </c>
      <c r="C134" s="79">
        <v>0</v>
      </c>
      <c r="D134" s="85" t="s">
        <v>6991</v>
      </c>
      <c r="E134" s="85" t="s">
        <v>6990</v>
      </c>
      <c r="F134" s="86" t="s">
        <v>5704</v>
      </c>
      <c r="G134" s="83">
        <v>0</v>
      </c>
    </row>
    <row r="135" spans="1:7">
      <c r="A135" s="78" t="s">
        <v>6743</v>
      </c>
      <c r="B135" s="78">
        <v>545</v>
      </c>
      <c r="C135" s="79">
        <v>0</v>
      </c>
      <c r="D135" s="85" t="s">
        <v>5686</v>
      </c>
      <c r="E135" s="85" t="s">
        <v>5685</v>
      </c>
      <c r="F135" s="86" t="s">
        <v>5687</v>
      </c>
      <c r="G135" s="83" t="s">
        <v>6796</v>
      </c>
    </row>
    <row r="136" spans="1:7">
      <c r="A136" s="78" t="s">
        <v>6743</v>
      </c>
      <c r="B136" s="78">
        <v>554</v>
      </c>
      <c r="C136" s="79">
        <v>0</v>
      </c>
      <c r="D136" s="85" t="s">
        <v>5468</v>
      </c>
      <c r="E136" s="85" t="s">
        <v>5467</v>
      </c>
      <c r="F136" s="86" t="s">
        <v>5427</v>
      </c>
      <c r="G136" s="83" t="s">
        <v>6796</v>
      </c>
    </row>
    <row r="137" spans="1:7">
      <c r="A137" s="78" t="s">
        <v>6743</v>
      </c>
      <c r="B137" s="78">
        <v>563</v>
      </c>
      <c r="C137" s="79">
        <v>0</v>
      </c>
      <c r="D137" s="85" t="s">
        <v>6993</v>
      </c>
      <c r="E137" s="85" t="s">
        <v>6992</v>
      </c>
      <c r="F137" s="86" t="s">
        <v>5427</v>
      </c>
      <c r="G137" s="83">
        <v>0</v>
      </c>
    </row>
    <row r="138" spans="1:7">
      <c r="A138" s="78" t="s">
        <v>6743</v>
      </c>
      <c r="B138" s="78">
        <v>572</v>
      </c>
      <c r="C138" s="79">
        <v>0</v>
      </c>
      <c r="D138" s="85" t="s">
        <v>6995</v>
      </c>
      <c r="E138" s="85" t="s">
        <v>6994</v>
      </c>
      <c r="F138" s="86" t="s">
        <v>5125</v>
      </c>
      <c r="G138" s="83">
        <v>0</v>
      </c>
    </row>
    <row r="139" spans="1:7">
      <c r="A139" s="78" t="s">
        <v>6743</v>
      </c>
      <c r="B139" s="78">
        <v>581</v>
      </c>
      <c r="C139" s="79">
        <v>0</v>
      </c>
      <c r="D139" s="85" t="s">
        <v>6997</v>
      </c>
      <c r="E139" s="85" t="s">
        <v>6996</v>
      </c>
      <c r="F139" s="86" t="s">
        <v>5135</v>
      </c>
      <c r="G139" s="83">
        <v>0</v>
      </c>
    </row>
    <row r="140" spans="1:7">
      <c r="A140" s="78" t="s">
        <v>6743</v>
      </c>
      <c r="B140" s="78">
        <v>590</v>
      </c>
      <c r="C140" s="79">
        <v>0</v>
      </c>
      <c r="D140" s="85" t="s">
        <v>6999</v>
      </c>
      <c r="E140" s="85" t="s">
        <v>6998</v>
      </c>
      <c r="F140" s="86" t="s">
        <v>119</v>
      </c>
      <c r="G140" s="83">
        <v>0</v>
      </c>
    </row>
    <row r="141" spans="1:7">
      <c r="A141" s="78" t="s">
        <v>6743</v>
      </c>
      <c r="B141" s="78">
        <v>599</v>
      </c>
      <c r="C141" s="79">
        <v>0</v>
      </c>
      <c r="D141" s="85" t="s">
        <v>7001</v>
      </c>
      <c r="E141" s="85" t="s">
        <v>7000</v>
      </c>
      <c r="F141" s="86" t="s">
        <v>5125</v>
      </c>
      <c r="G141" s="83">
        <v>0</v>
      </c>
    </row>
    <row r="142" spans="1:7">
      <c r="A142" s="78" t="s">
        <v>6743</v>
      </c>
      <c r="B142" s="78">
        <v>608</v>
      </c>
      <c r="C142" s="79">
        <v>0</v>
      </c>
      <c r="D142" s="85" t="s">
        <v>7003</v>
      </c>
      <c r="E142" s="85" t="s">
        <v>7002</v>
      </c>
      <c r="F142" s="86" t="s">
        <v>5138</v>
      </c>
      <c r="G142" s="83" t="s">
        <v>6796</v>
      </c>
    </row>
    <row r="143" spans="1:7">
      <c r="A143" s="78" t="s">
        <v>6743</v>
      </c>
      <c r="B143" s="78">
        <v>617</v>
      </c>
      <c r="C143" s="79">
        <v>0</v>
      </c>
      <c r="D143" s="85" t="s">
        <v>7005</v>
      </c>
      <c r="E143" s="85" t="s">
        <v>7004</v>
      </c>
      <c r="F143" s="86" t="s">
        <v>5125</v>
      </c>
      <c r="G143" s="83">
        <v>0</v>
      </c>
    </row>
    <row r="144" spans="1:7">
      <c r="A144" s="78" t="s">
        <v>6743</v>
      </c>
      <c r="B144" s="78">
        <v>626</v>
      </c>
      <c r="C144" s="79">
        <v>0</v>
      </c>
      <c r="D144" s="85" t="s">
        <v>7007</v>
      </c>
      <c r="E144" s="85" t="s">
        <v>7006</v>
      </c>
      <c r="F144" s="86" t="s">
        <v>5135</v>
      </c>
      <c r="G144" s="83" t="s">
        <v>6796</v>
      </c>
    </row>
    <row r="145" spans="1:7">
      <c r="A145" s="78" t="s">
        <v>6743</v>
      </c>
      <c r="B145" s="78">
        <v>635</v>
      </c>
      <c r="C145" s="79">
        <v>0</v>
      </c>
      <c r="D145" s="85" t="s">
        <v>5155</v>
      </c>
      <c r="E145" s="84" t="s">
        <v>5154</v>
      </c>
      <c r="F145" s="86" t="s">
        <v>5125</v>
      </c>
      <c r="G145" s="83">
        <v>0</v>
      </c>
    </row>
    <row r="146" spans="1:7">
      <c r="A146" s="78" t="s">
        <v>6743</v>
      </c>
      <c r="B146" s="78">
        <v>644</v>
      </c>
      <c r="C146" s="79">
        <v>0</v>
      </c>
      <c r="D146" s="85" t="s">
        <v>1231</v>
      </c>
      <c r="E146" s="84" t="s">
        <v>7008</v>
      </c>
      <c r="F146" s="86" t="s">
        <v>4899</v>
      </c>
      <c r="G146" s="83">
        <v>0</v>
      </c>
    </row>
    <row r="147" spans="1:7">
      <c r="A147" s="78" t="s">
        <v>6743</v>
      </c>
      <c r="B147" s="78">
        <v>653</v>
      </c>
      <c r="C147" s="79">
        <v>0</v>
      </c>
      <c r="D147" s="85" t="s">
        <v>7010</v>
      </c>
      <c r="E147" s="84" t="s">
        <v>7009</v>
      </c>
      <c r="F147" s="86" t="s">
        <v>7011</v>
      </c>
      <c r="G147" s="83">
        <v>0</v>
      </c>
    </row>
    <row r="148" spans="1:7">
      <c r="A148" s="78" t="s">
        <v>6743</v>
      </c>
      <c r="B148" s="78">
        <v>662</v>
      </c>
      <c r="C148" s="79">
        <v>0</v>
      </c>
      <c r="D148" s="85" t="s">
        <v>7013</v>
      </c>
      <c r="E148" s="84" t="s">
        <v>7012</v>
      </c>
      <c r="F148" s="86" t="s">
        <v>5614</v>
      </c>
      <c r="G148" s="83" t="s">
        <v>6796</v>
      </c>
    </row>
    <row r="149" spans="1:7">
      <c r="A149" s="90" t="s">
        <v>6743</v>
      </c>
      <c r="B149" s="90">
        <v>671</v>
      </c>
      <c r="C149" s="91" t="s">
        <v>6755</v>
      </c>
      <c r="D149" s="103" t="s">
        <v>7015</v>
      </c>
      <c r="E149" s="110" t="s">
        <v>7014</v>
      </c>
      <c r="F149" s="104" t="s">
        <v>5704</v>
      </c>
      <c r="G149" s="95">
        <v>0</v>
      </c>
    </row>
    <row r="150" spans="1:7">
      <c r="A150" s="96" t="s">
        <v>6743</v>
      </c>
      <c r="B150" s="96">
        <v>680</v>
      </c>
      <c r="C150" s="97" t="s">
        <v>6768</v>
      </c>
      <c r="D150" s="99" t="s">
        <v>6488</v>
      </c>
      <c r="E150" s="98" t="s">
        <v>6487</v>
      </c>
      <c r="F150" s="100" t="s">
        <v>6269</v>
      </c>
      <c r="G150" s="101">
        <v>0</v>
      </c>
    </row>
    <row r="151" spans="1:7">
      <c r="A151" s="78" t="s">
        <v>6743</v>
      </c>
      <c r="B151" s="78">
        <v>689</v>
      </c>
      <c r="C151" s="79" t="s">
        <v>6768</v>
      </c>
      <c r="D151" s="85" t="s">
        <v>7017</v>
      </c>
      <c r="E151" s="84" t="s">
        <v>7016</v>
      </c>
      <c r="F151" s="86" t="s">
        <v>7018</v>
      </c>
      <c r="G151" s="83">
        <v>0</v>
      </c>
    </row>
    <row r="152" spans="1:7">
      <c r="A152" s="78" t="s">
        <v>6743</v>
      </c>
      <c r="B152" s="78">
        <v>28</v>
      </c>
      <c r="C152" s="79" t="s">
        <v>6782</v>
      </c>
      <c r="D152" s="85" t="s">
        <v>7020</v>
      </c>
      <c r="E152" s="84" t="s">
        <v>7019</v>
      </c>
      <c r="F152" s="86" t="s">
        <v>7021</v>
      </c>
      <c r="G152" s="83">
        <v>969279</v>
      </c>
    </row>
    <row r="153" spans="1:7">
      <c r="A153" s="78" t="s">
        <v>6743</v>
      </c>
      <c r="B153" s="78">
        <v>37</v>
      </c>
      <c r="C153" s="79">
        <v>0</v>
      </c>
      <c r="D153" s="85" t="s">
        <v>5982</v>
      </c>
      <c r="E153" s="84" t="s">
        <v>5981</v>
      </c>
      <c r="F153" s="86" t="s">
        <v>5980</v>
      </c>
      <c r="G153" s="83">
        <v>677724</v>
      </c>
    </row>
    <row r="154" spans="1:7">
      <c r="A154" s="78" t="s">
        <v>6743</v>
      </c>
      <c r="B154" s="78">
        <v>46</v>
      </c>
      <c r="C154" s="79" t="s">
        <v>6746</v>
      </c>
      <c r="D154" s="85" t="s">
        <v>6100</v>
      </c>
      <c r="E154" s="84" t="s">
        <v>6099</v>
      </c>
      <c r="F154" s="86" t="s">
        <v>6101</v>
      </c>
      <c r="G154" s="83">
        <v>482988</v>
      </c>
    </row>
    <row r="155" spans="1:7">
      <c r="A155" s="78" t="s">
        <v>6743</v>
      </c>
      <c r="B155" s="78">
        <v>55</v>
      </c>
      <c r="C155" s="79">
        <v>0</v>
      </c>
      <c r="D155" s="85" t="s">
        <v>5423</v>
      </c>
      <c r="E155" s="85" t="s">
        <v>5422</v>
      </c>
      <c r="F155" s="86" t="s">
        <v>5424</v>
      </c>
      <c r="G155" s="83">
        <v>446266</v>
      </c>
    </row>
    <row r="156" spans="1:7">
      <c r="A156" s="78" t="s">
        <v>6743</v>
      </c>
      <c r="B156" s="78">
        <v>64</v>
      </c>
      <c r="C156" s="79">
        <v>0</v>
      </c>
      <c r="D156" s="85" t="s">
        <v>5485</v>
      </c>
      <c r="E156" s="84" t="s">
        <v>5484</v>
      </c>
      <c r="F156" s="86" t="s">
        <v>5424</v>
      </c>
      <c r="G156" s="83">
        <v>389492</v>
      </c>
    </row>
    <row r="157" spans="1:7">
      <c r="A157" s="78" t="s">
        <v>6743</v>
      </c>
      <c r="B157" s="78">
        <v>73</v>
      </c>
      <c r="C157" s="79">
        <v>0</v>
      </c>
      <c r="D157" s="85" t="s">
        <v>5122</v>
      </c>
      <c r="E157" s="84" t="s">
        <v>5121</v>
      </c>
      <c r="F157" s="86" t="s">
        <v>119</v>
      </c>
      <c r="G157" s="83">
        <v>317581</v>
      </c>
    </row>
    <row r="158" spans="1:7">
      <c r="A158" s="78" t="s">
        <v>6743</v>
      </c>
      <c r="B158" s="78">
        <v>82</v>
      </c>
      <c r="C158" s="79" t="s">
        <v>6746</v>
      </c>
      <c r="D158" s="85" t="s">
        <v>6049</v>
      </c>
      <c r="E158" s="84" t="s">
        <v>6048</v>
      </c>
      <c r="F158" s="86" t="s">
        <v>5138</v>
      </c>
      <c r="G158" s="83">
        <v>292502</v>
      </c>
    </row>
    <row r="159" spans="1:7">
      <c r="A159" s="78" t="s">
        <v>6743</v>
      </c>
      <c r="B159" s="78">
        <v>91</v>
      </c>
      <c r="C159" s="79">
        <v>0</v>
      </c>
      <c r="D159" s="85" t="s">
        <v>5594</v>
      </c>
      <c r="E159" s="84" t="s">
        <v>5593</v>
      </c>
      <c r="F159" s="86" t="s">
        <v>5595</v>
      </c>
      <c r="G159" s="83">
        <v>232071</v>
      </c>
    </row>
    <row r="160" spans="1:7">
      <c r="A160" s="78" t="s">
        <v>6743</v>
      </c>
      <c r="B160" s="78">
        <v>100</v>
      </c>
      <c r="C160" s="79">
        <v>0</v>
      </c>
      <c r="D160" s="85" t="s">
        <v>5575</v>
      </c>
      <c r="E160" s="84" t="s">
        <v>5574</v>
      </c>
      <c r="F160" s="86" t="s">
        <v>5553</v>
      </c>
      <c r="G160" s="83">
        <v>195073</v>
      </c>
    </row>
    <row r="161" spans="1:7">
      <c r="A161" s="78" t="s">
        <v>6743</v>
      </c>
      <c r="B161" s="78">
        <v>109</v>
      </c>
      <c r="C161" s="79">
        <v>0</v>
      </c>
      <c r="D161" s="85" t="s">
        <v>5880</v>
      </c>
      <c r="E161" s="84" t="s">
        <v>5879</v>
      </c>
      <c r="F161" s="86" t="s">
        <v>6272</v>
      </c>
      <c r="G161" s="83">
        <v>178516</v>
      </c>
    </row>
    <row r="162" spans="1:7">
      <c r="A162" s="78" t="s">
        <v>6743</v>
      </c>
      <c r="B162" s="78">
        <v>118</v>
      </c>
      <c r="C162" s="79">
        <v>0</v>
      </c>
      <c r="D162" s="85" t="s">
        <v>5137</v>
      </c>
      <c r="E162" s="84" t="s">
        <v>5136</v>
      </c>
      <c r="F162" s="86" t="s">
        <v>5138</v>
      </c>
      <c r="G162" s="83">
        <v>157012</v>
      </c>
    </row>
    <row r="163" spans="1:7">
      <c r="A163" s="78" t="s">
        <v>6743</v>
      </c>
      <c r="B163" s="78">
        <v>127</v>
      </c>
      <c r="C163" s="79">
        <v>0</v>
      </c>
      <c r="D163" s="85" t="s">
        <v>5827</v>
      </c>
      <c r="E163" s="84" t="s">
        <v>5826</v>
      </c>
      <c r="F163" s="86" t="s">
        <v>7022</v>
      </c>
      <c r="G163" s="83">
        <v>147518</v>
      </c>
    </row>
    <row r="164" spans="1:7">
      <c r="A164" s="78" t="s">
        <v>6743</v>
      </c>
      <c r="B164" s="78">
        <v>136</v>
      </c>
      <c r="C164" s="79" t="s">
        <v>6746</v>
      </c>
      <c r="D164" s="85" t="s">
        <v>7023</v>
      </c>
      <c r="E164" s="84" t="s">
        <v>6103</v>
      </c>
      <c r="F164" s="86" t="s">
        <v>5424</v>
      </c>
      <c r="G164" s="83">
        <v>136640</v>
      </c>
    </row>
    <row r="165" spans="1:7">
      <c r="A165" s="78" t="s">
        <v>6743</v>
      </c>
      <c r="B165" s="78">
        <v>145</v>
      </c>
      <c r="C165" s="79" t="s">
        <v>6755</v>
      </c>
      <c r="D165" s="85" t="s">
        <v>6174</v>
      </c>
      <c r="E165" s="84" t="s">
        <v>6173</v>
      </c>
      <c r="F165" s="86" t="s">
        <v>5135</v>
      </c>
      <c r="G165" s="83">
        <v>127814</v>
      </c>
    </row>
    <row r="166" spans="1:7">
      <c r="A166" s="78" t="s">
        <v>6743</v>
      </c>
      <c r="B166" s="78">
        <v>154</v>
      </c>
      <c r="C166" s="79" t="s">
        <v>6758</v>
      </c>
      <c r="D166" s="88" t="s">
        <v>7025</v>
      </c>
      <c r="E166" s="87" t="s">
        <v>7024</v>
      </c>
      <c r="F166" s="89" t="s">
        <v>7026</v>
      </c>
      <c r="G166" s="83">
        <v>105971</v>
      </c>
    </row>
    <row r="167" spans="1:7">
      <c r="A167" s="78" t="s">
        <v>6743</v>
      </c>
      <c r="B167" s="78">
        <v>163</v>
      </c>
      <c r="C167" s="79" t="s">
        <v>6898</v>
      </c>
      <c r="D167" s="88" t="s">
        <v>6560</v>
      </c>
      <c r="E167" s="87" t="s">
        <v>6559</v>
      </c>
      <c r="F167" s="89" t="s">
        <v>5687</v>
      </c>
      <c r="G167" s="83">
        <v>93482</v>
      </c>
    </row>
    <row r="168" spans="1:7">
      <c r="A168" s="78" t="s">
        <v>6743</v>
      </c>
      <c r="B168" s="78">
        <v>172</v>
      </c>
      <c r="C168" s="79">
        <v>0</v>
      </c>
      <c r="D168" s="85" t="s">
        <v>7027</v>
      </c>
      <c r="E168" s="85" t="s">
        <v>5870</v>
      </c>
      <c r="F168" s="86" t="s">
        <v>7028</v>
      </c>
      <c r="G168" s="83">
        <v>82498</v>
      </c>
    </row>
    <row r="169" spans="1:7">
      <c r="A169" s="78" t="s">
        <v>6743</v>
      </c>
      <c r="B169" s="78">
        <v>181</v>
      </c>
      <c r="C169" s="79" t="s">
        <v>6745</v>
      </c>
      <c r="D169" s="81" t="s">
        <v>5247</v>
      </c>
      <c r="E169" s="80" t="s">
        <v>5246</v>
      </c>
      <c r="F169" s="82" t="s">
        <v>6428</v>
      </c>
      <c r="G169" s="83">
        <v>74772</v>
      </c>
    </row>
    <row r="170" spans="1:7">
      <c r="A170" s="78" t="s">
        <v>6743</v>
      </c>
      <c r="B170" s="78">
        <v>190</v>
      </c>
      <c r="C170" s="79">
        <v>0</v>
      </c>
      <c r="D170" s="85" t="s">
        <v>7029</v>
      </c>
      <c r="E170" s="85" t="s">
        <v>5441</v>
      </c>
      <c r="F170" s="86" t="s">
        <v>5427</v>
      </c>
      <c r="G170" s="83">
        <v>67645</v>
      </c>
    </row>
    <row r="171" spans="1:7">
      <c r="A171" s="78" t="s">
        <v>6743</v>
      </c>
      <c r="B171" s="78">
        <v>199</v>
      </c>
      <c r="C171" s="79" t="s">
        <v>6745</v>
      </c>
      <c r="D171" s="81" t="s">
        <v>94</v>
      </c>
      <c r="E171" s="80" t="s">
        <v>6161</v>
      </c>
      <c r="F171" s="82" t="s">
        <v>119</v>
      </c>
      <c r="G171" s="83">
        <v>52450</v>
      </c>
    </row>
    <row r="172" spans="1:7">
      <c r="A172" s="78" t="s">
        <v>6743</v>
      </c>
      <c r="B172" s="78">
        <v>208</v>
      </c>
      <c r="C172" s="79" t="s">
        <v>6745</v>
      </c>
      <c r="D172" s="81" t="s">
        <v>7031</v>
      </c>
      <c r="E172" s="80" t="s">
        <v>7030</v>
      </c>
      <c r="F172" s="82" t="s">
        <v>6757</v>
      </c>
      <c r="G172" s="83">
        <v>42496</v>
      </c>
    </row>
    <row r="173" spans="1:7">
      <c r="A173" s="78" t="s">
        <v>6743</v>
      </c>
      <c r="B173" s="78">
        <v>217</v>
      </c>
      <c r="C173" s="79" t="s">
        <v>7032</v>
      </c>
      <c r="D173" s="81" t="s">
        <v>7034</v>
      </c>
      <c r="E173" s="80" t="s">
        <v>7033</v>
      </c>
      <c r="F173" s="82" t="s">
        <v>5138</v>
      </c>
      <c r="G173" s="83">
        <v>35306</v>
      </c>
    </row>
    <row r="174" spans="1:7">
      <c r="A174" s="78" t="s">
        <v>6743</v>
      </c>
      <c r="B174" s="78">
        <v>226</v>
      </c>
      <c r="C174" s="79" t="s">
        <v>6768</v>
      </c>
      <c r="D174" s="85" t="s">
        <v>5955</v>
      </c>
      <c r="E174" s="84" t="s">
        <v>5954</v>
      </c>
      <c r="F174" s="86" t="s">
        <v>5704</v>
      </c>
      <c r="G174" s="83">
        <v>32159</v>
      </c>
    </row>
    <row r="175" spans="1:7">
      <c r="A175" s="78" t="s">
        <v>6743</v>
      </c>
      <c r="B175" s="78">
        <v>235</v>
      </c>
      <c r="C175" s="79" t="s">
        <v>6914</v>
      </c>
      <c r="D175" s="88" t="s">
        <v>7036</v>
      </c>
      <c r="E175" s="87" t="s">
        <v>7035</v>
      </c>
      <c r="F175" s="89" t="s">
        <v>5135</v>
      </c>
      <c r="G175" s="83">
        <v>31918</v>
      </c>
    </row>
    <row r="176" spans="1:7">
      <c r="A176" s="78" t="s">
        <v>6743</v>
      </c>
      <c r="B176" s="78">
        <v>244</v>
      </c>
      <c r="C176" s="79">
        <v>0</v>
      </c>
      <c r="D176" s="85" t="s">
        <v>7038</v>
      </c>
      <c r="E176" s="84" t="s">
        <v>7037</v>
      </c>
      <c r="F176" s="86" t="s">
        <v>6773</v>
      </c>
      <c r="G176" s="83">
        <v>25096</v>
      </c>
    </row>
    <row r="177" spans="1:7">
      <c r="A177" s="78" t="s">
        <v>6743</v>
      </c>
      <c r="B177" s="78">
        <v>253</v>
      </c>
      <c r="C177" s="79" t="s">
        <v>6758</v>
      </c>
      <c r="D177" s="88" t="s">
        <v>7040</v>
      </c>
      <c r="E177" s="87" t="s">
        <v>7039</v>
      </c>
      <c r="F177" s="89" t="s">
        <v>119</v>
      </c>
      <c r="G177" s="83">
        <v>24299</v>
      </c>
    </row>
    <row r="178" spans="1:7">
      <c r="A178" s="78" t="s">
        <v>6743</v>
      </c>
      <c r="B178" s="78">
        <v>262</v>
      </c>
      <c r="C178" s="79" t="s">
        <v>6758</v>
      </c>
      <c r="D178" s="88" t="s">
        <v>7041</v>
      </c>
      <c r="E178" s="87" t="s">
        <v>9293</v>
      </c>
      <c r="F178" s="89" t="s">
        <v>5138</v>
      </c>
      <c r="G178" s="83">
        <v>16141</v>
      </c>
    </row>
    <row r="179" spans="1:7">
      <c r="A179" s="78" t="s">
        <v>6743</v>
      </c>
      <c r="B179" s="78">
        <v>271</v>
      </c>
      <c r="C179" s="79" t="s">
        <v>6779</v>
      </c>
      <c r="D179" s="81" t="s">
        <v>6279</v>
      </c>
      <c r="E179" s="80" t="s">
        <v>7042</v>
      </c>
      <c r="F179" s="82" t="s">
        <v>6228</v>
      </c>
      <c r="G179" s="83">
        <v>11109</v>
      </c>
    </row>
    <row r="180" spans="1:7">
      <c r="A180" s="78" t="s">
        <v>6743</v>
      </c>
      <c r="B180" s="78">
        <v>280</v>
      </c>
      <c r="C180" s="79" t="s">
        <v>6755</v>
      </c>
      <c r="D180" s="85" t="s">
        <v>7044</v>
      </c>
      <c r="E180" s="84" t="s">
        <v>7043</v>
      </c>
      <c r="F180" s="86" t="s">
        <v>5452</v>
      </c>
      <c r="G180" s="83">
        <v>10230</v>
      </c>
    </row>
    <row r="181" spans="1:7">
      <c r="A181" s="78" t="s">
        <v>6743</v>
      </c>
      <c r="B181" s="78">
        <v>289</v>
      </c>
      <c r="C181" s="79" t="s">
        <v>6782</v>
      </c>
      <c r="D181" s="85" t="s">
        <v>6520</v>
      </c>
      <c r="E181" s="84" t="s">
        <v>6519</v>
      </c>
      <c r="F181" s="86" t="s">
        <v>5125</v>
      </c>
      <c r="G181" s="83">
        <v>7794</v>
      </c>
    </row>
    <row r="182" spans="1:7">
      <c r="A182" s="78" t="s">
        <v>6743</v>
      </c>
      <c r="B182" s="78">
        <v>298</v>
      </c>
      <c r="C182" s="79" t="s">
        <v>6914</v>
      </c>
      <c r="D182" s="88" t="s">
        <v>7046</v>
      </c>
      <c r="E182" s="87" t="s">
        <v>7045</v>
      </c>
      <c r="F182" s="89" t="s">
        <v>119</v>
      </c>
      <c r="G182" s="83">
        <v>5067</v>
      </c>
    </row>
    <row r="183" spans="1:7">
      <c r="A183" s="78" t="s">
        <v>6743</v>
      </c>
      <c r="B183" s="78">
        <v>307</v>
      </c>
      <c r="C183" s="79" t="s">
        <v>7047</v>
      </c>
      <c r="D183" s="85" t="s">
        <v>7048</v>
      </c>
      <c r="E183" s="84" t="s">
        <v>5380</v>
      </c>
      <c r="F183" s="86" t="s">
        <v>5427</v>
      </c>
      <c r="G183" s="83">
        <v>1849</v>
      </c>
    </row>
    <row r="184" spans="1:7">
      <c r="A184" s="78" t="s">
        <v>6743</v>
      </c>
      <c r="B184" s="78">
        <v>316</v>
      </c>
      <c r="C184" s="102" t="s">
        <v>6786</v>
      </c>
      <c r="D184" s="85" t="s">
        <v>7050</v>
      </c>
      <c r="E184" s="85" t="s">
        <v>7049</v>
      </c>
      <c r="F184" s="86" t="s">
        <v>7051</v>
      </c>
      <c r="G184" s="83">
        <v>0</v>
      </c>
    </row>
    <row r="185" spans="1:7">
      <c r="A185" s="78" t="s">
        <v>6743</v>
      </c>
      <c r="B185" s="78">
        <v>325</v>
      </c>
      <c r="C185" s="79">
        <v>0</v>
      </c>
      <c r="D185" s="85" t="s">
        <v>7053</v>
      </c>
      <c r="E185" s="85" t="s">
        <v>7052</v>
      </c>
      <c r="F185" s="86" t="s">
        <v>6789</v>
      </c>
      <c r="G185" s="83" t="s">
        <v>6796</v>
      </c>
    </row>
    <row r="186" spans="1:7">
      <c r="A186" s="78" t="s">
        <v>6743</v>
      </c>
      <c r="B186" s="78">
        <v>334</v>
      </c>
      <c r="C186" s="79">
        <v>0</v>
      </c>
      <c r="D186" s="85" t="s">
        <v>7055</v>
      </c>
      <c r="E186" s="85" t="s">
        <v>7054</v>
      </c>
      <c r="F186" s="86" t="s">
        <v>7056</v>
      </c>
      <c r="G186" s="83" t="s">
        <v>6796</v>
      </c>
    </row>
    <row r="187" spans="1:7">
      <c r="A187" s="78" t="s">
        <v>6743</v>
      </c>
      <c r="B187" s="78">
        <v>343</v>
      </c>
      <c r="C187" s="79">
        <v>0</v>
      </c>
      <c r="D187" s="85" t="s">
        <v>7058</v>
      </c>
      <c r="E187" s="85" t="s">
        <v>7057</v>
      </c>
      <c r="F187" s="86" t="s">
        <v>7059</v>
      </c>
      <c r="G187" s="83" t="s">
        <v>6796</v>
      </c>
    </row>
    <row r="188" spans="1:7">
      <c r="A188" s="78" t="s">
        <v>6743</v>
      </c>
      <c r="B188" s="78">
        <v>352</v>
      </c>
      <c r="C188" s="79">
        <v>0</v>
      </c>
      <c r="D188" s="85" t="s">
        <v>7061</v>
      </c>
      <c r="E188" s="85" t="s">
        <v>7060</v>
      </c>
      <c r="F188" s="86" t="s">
        <v>7062</v>
      </c>
      <c r="G188" s="83" t="s">
        <v>6796</v>
      </c>
    </row>
    <row r="189" spans="1:7">
      <c r="A189" s="78" t="s">
        <v>6743</v>
      </c>
      <c r="B189" s="78">
        <v>361</v>
      </c>
      <c r="C189" s="79">
        <v>0</v>
      </c>
      <c r="D189" s="85" t="s">
        <v>7064</v>
      </c>
      <c r="E189" s="85" t="s">
        <v>7063</v>
      </c>
      <c r="F189" s="86" t="s">
        <v>7011</v>
      </c>
      <c r="G189" s="83" t="s">
        <v>6796</v>
      </c>
    </row>
    <row r="190" spans="1:7">
      <c r="A190" s="78" t="s">
        <v>6743</v>
      </c>
      <c r="B190" s="78">
        <v>370</v>
      </c>
      <c r="C190" s="79">
        <v>0</v>
      </c>
      <c r="D190" s="85" t="s">
        <v>7066</v>
      </c>
      <c r="E190" s="85" t="s">
        <v>7065</v>
      </c>
      <c r="F190" s="86" t="s">
        <v>5135</v>
      </c>
      <c r="G190" s="83" t="s">
        <v>6796</v>
      </c>
    </row>
    <row r="191" spans="1:7">
      <c r="A191" s="78" t="s">
        <v>6743</v>
      </c>
      <c r="B191" s="78">
        <v>379</v>
      </c>
      <c r="C191" s="79">
        <v>0</v>
      </c>
      <c r="D191" s="85" t="s">
        <v>7068</v>
      </c>
      <c r="E191" s="85" t="s">
        <v>7067</v>
      </c>
      <c r="F191" s="86" t="s">
        <v>7069</v>
      </c>
      <c r="G191" s="83" t="s">
        <v>6796</v>
      </c>
    </row>
    <row r="192" spans="1:7">
      <c r="A192" s="78" t="s">
        <v>6743</v>
      </c>
      <c r="B192" s="78">
        <v>388</v>
      </c>
      <c r="C192" s="79">
        <v>0</v>
      </c>
      <c r="D192" s="85" t="s">
        <v>7071</v>
      </c>
      <c r="E192" s="85" t="s">
        <v>7070</v>
      </c>
      <c r="F192" s="86" t="s">
        <v>7072</v>
      </c>
      <c r="G192" s="83" t="s">
        <v>6796</v>
      </c>
    </row>
    <row r="193" spans="1:7">
      <c r="A193" s="78" t="s">
        <v>6743</v>
      </c>
      <c r="B193" s="78">
        <v>397</v>
      </c>
      <c r="C193" s="79">
        <v>0</v>
      </c>
      <c r="D193" s="85" t="s">
        <v>7074</v>
      </c>
      <c r="E193" s="85" t="s">
        <v>7073</v>
      </c>
      <c r="F193" s="86" t="s">
        <v>7075</v>
      </c>
      <c r="G193" s="83" t="s">
        <v>6796</v>
      </c>
    </row>
    <row r="194" spans="1:7">
      <c r="A194" s="78" t="s">
        <v>6743</v>
      </c>
      <c r="B194" s="78">
        <v>406</v>
      </c>
      <c r="C194" s="102" t="s">
        <v>6786</v>
      </c>
      <c r="D194" s="85" t="s">
        <v>7077</v>
      </c>
      <c r="E194" s="85" t="s">
        <v>7076</v>
      </c>
      <c r="F194" s="86" t="s">
        <v>5609</v>
      </c>
      <c r="G194" s="83">
        <v>0</v>
      </c>
    </row>
    <row r="195" spans="1:7">
      <c r="A195" s="78" t="s">
        <v>6743</v>
      </c>
      <c r="B195" s="78">
        <v>415</v>
      </c>
      <c r="C195" s="102" t="s">
        <v>6786</v>
      </c>
      <c r="D195" s="85" t="s">
        <v>7079</v>
      </c>
      <c r="E195" s="85" t="s">
        <v>7078</v>
      </c>
      <c r="F195" s="86" t="s">
        <v>7080</v>
      </c>
      <c r="G195" s="83">
        <v>0</v>
      </c>
    </row>
    <row r="196" spans="1:7">
      <c r="A196" s="78" t="s">
        <v>6743</v>
      </c>
      <c r="B196" s="78">
        <v>424</v>
      </c>
      <c r="C196" s="79">
        <v>0</v>
      </c>
      <c r="D196" s="85" t="s">
        <v>7082</v>
      </c>
      <c r="E196" s="85" t="s">
        <v>7081</v>
      </c>
      <c r="F196" s="86" t="s">
        <v>7083</v>
      </c>
      <c r="G196" s="83" t="s">
        <v>6796</v>
      </c>
    </row>
    <row r="197" spans="1:7">
      <c r="A197" s="78" t="s">
        <v>6743</v>
      </c>
      <c r="B197" s="78">
        <v>433</v>
      </c>
      <c r="C197" s="79">
        <v>0</v>
      </c>
      <c r="D197" s="85" t="s">
        <v>7085</v>
      </c>
      <c r="E197" s="85" t="s">
        <v>7084</v>
      </c>
      <c r="F197" s="86" t="s">
        <v>7086</v>
      </c>
      <c r="G197" s="83" t="s">
        <v>6796</v>
      </c>
    </row>
    <row r="198" spans="1:7">
      <c r="A198" s="78" t="s">
        <v>6743</v>
      </c>
      <c r="B198" s="78">
        <v>442</v>
      </c>
      <c r="C198" s="79">
        <v>0</v>
      </c>
      <c r="D198" s="85" t="s">
        <v>7088</v>
      </c>
      <c r="E198" s="85" t="s">
        <v>7087</v>
      </c>
      <c r="F198" s="86" t="s">
        <v>7089</v>
      </c>
      <c r="G198" s="83" t="s">
        <v>6796</v>
      </c>
    </row>
    <row r="199" spans="1:7">
      <c r="A199" s="78" t="s">
        <v>6743</v>
      </c>
      <c r="B199" s="78">
        <v>451</v>
      </c>
      <c r="C199" s="102" t="s">
        <v>6786</v>
      </c>
      <c r="D199" s="85" t="s">
        <v>7091</v>
      </c>
      <c r="E199" s="85" t="s">
        <v>7090</v>
      </c>
      <c r="F199" s="86" t="s">
        <v>7092</v>
      </c>
      <c r="G199" s="83">
        <v>0</v>
      </c>
    </row>
    <row r="200" spans="1:7">
      <c r="A200" s="78" t="s">
        <v>6743</v>
      </c>
      <c r="B200" s="78">
        <v>460</v>
      </c>
      <c r="C200" s="102" t="s">
        <v>6786</v>
      </c>
      <c r="D200" s="85" t="s">
        <v>7094</v>
      </c>
      <c r="E200" s="85" t="s">
        <v>7093</v>
      </c>
      <c r="F200" s="86" t="s">
        <v>7095</v>
      </c>
      <c r="G200" s="83">
        <v>0</v>
      </c>
    </row>
    <row r="201" spans="1:7">
      <c r="A201" s="78" t="s">
        <v>6743</v>
      </c>
      <c r="B201" s="78">
        <v>469</v>
      </c>
      <c r="C201" s="102" t="s">
        <v>6786</v>
      </c>
      <c r="D201" s="85" t="s">
        <v>7097</v>
      </c>
      <c r="E201" s="85" t="s">
        <v>7096</v>
      </c>
      <c r="F201" s="86" t="s">
        <v>7098</v>
      </c>
      <c r="G201" s="83" t="s">
        <v>6796</v>
      </c>
    </row>
    <row r="202" spans="1:7">
      <c r="A202" s="78" t="s">
        <v>6743</v>
      </c>
      <c r="B202" s="78">
        <v>478</v>
      </c>
      <c r="C202" s="102" t="s">
        <v>6786</v>
      </c>
      <c r="D202" s="85" t="s">
        <v>7100</v>
      </c>
      <c r="E202" s="85" t="s">
        <v>7099</v>
      </c>
      <c r="F202" s="86" t="s">
        <v>7101</v>
      </c>
      <c r="G202" s="83">
        <v>0</v>
      </c>
    </row>
    <row r="203" spans="1:7">
      <c r="A203" s="78" t="s">
        <v>6743</v>
      </c>
      <c r="B203" s="78">
        <v>487</v>
      </c>
      <c r="C203" s="102" t="s">
        <v>6786</v>
      </c>
      <c r="D203" s="85" t="s">
        <v>7103</v>
      </c>
      <c r="E203" s="85" t="s">
        <v>7102</v>
      </c>
      <c r="F203" s="86" t="s">
        <v>6845</v>
      </c>
      <c r="G203" s="83">
        <v>0</v>
      </c>
    </row>
    <row r="204" spans="1:7">
      <c r="A204" s="78" t="s">
        <v>6743</v>
      </c>
      <c r="B204" s="78">
        <v>496</v>
      </c>
      <c r="C204" s="79">
        <v>0</v>
      </c>
      <c r="D204" s="85" t="s">
        <v>7105</v>
      </c>
      <c r="E204" s="85" t="s">
        <v>7104</v>
      </c>
      <c r="F204" s="86" t="s">
        <v>7106</v>
      </c>
      <c r="G204" s="83" t="s">
        <v>6796</v>
      </c>
    </row>
    <row r="205" spans="1:7">
      <c r="A205" s="78" t="s">
        <v>6743</v>
      </c>
      <c r="B205" s="78">
        <v>505</v>
      </c>
      <c r="C205" s="79">
        <v>0</v>
      </c>
      <c r="D205" s="85" t="s">
        <v>7108</v>
      </c>
      <c r="E205" s="85" t="s">
        <v>7107</v>
      </c>
      <c r="F205" s="86" t="s">
        <v>119</v>
      </c>
      <c r="G205" s="83">
        <v>0</v>
      </c>
    </row>
    <row r="206" spans="1:7">
      <c r="A206" s="78" t="s">
        <v>6743</v>
      </c>
      <c r="B206" s="78">
        <v>514</v>
      </c>
      <c r="C206" s="102" t="s">
        <v>6786</v>
      </c>
      <c r="D206" s="85" t="s">
        <v>7110</v>
      </c>
      <c r="E206" s="85" t="s">
        <v>7109</v>
      </c>
      <c r="F206" s="86" t="s">
        <v>119</v>
      </c>
      <c r="G206" s="83">
        <v>0</v>
      </c>
    </row>
    <row r="207" spans="1:7">
      <c r="A207" s="78" t="s">
        <v>6743</v>
      </c>
      <c r="B207" s="78">
        <v>523</v>
      </c>
      <c r="C207" s="79">
        <v>0</v>
      </c>
      <c r="D207" s="85" t="s">
        <v>7112</v>
      </c>
      <c r="E207" s="85" t="s">
        <v>7111</v>
      </c>
      <c r="F207" s="86" t="s">
        <v>5135</v>
      </c>
      <c r="G207" s="83" t="s">
        <v>6796</v>
      </c>
    </row>
    <row r="208" spans="1:7">
      <c r="A208" s="78" t="s">
        <v>6743</v>
      </c>
      <c r="B208" s="78">
        <v>532</v>
      </c>
      <c r="C208" s="102" t="s">
        <v>6786</v>
      </c>
      <c r="D208" s="85" t="s">
        <v>7114</v>
      </c>
      <c r="E208" s="85" t="s">
        <v>7113</v>
      </c>
      <c r="F208" s="86" t="s">
        <v>5138</v>
      </c>
      <c r="G208" s="83">
        <v>0</v>
      </c>
    </row>
    <row r="209" spans="1:7">
      <c r="A209" s="78" t="s">
        <v>6743</v>
      </c>
      <c r="B209" s="78">
        <v>541</v>
      </c>
      <c r="C209" s="79">
        <v>0</v>
      </c>
      <c r="D209" s="85" t="s">
        <v>7116</v>
      </c>
      <c r="E209" s="85" t="s">
        <v>7115</v>
      </c>
      <c r="F209" s="86" t="s">
        <v>5704</v>
      </c>
      <c r="G209" s="83">
        <v>0</v>
      </c>
    </row>
    <row r="210" spans="1:7">
      <c r="A210" s="78" t="s">
        <v>6743</v>
      </c>
      <c r="B210" s="78">
        <v>550</v>
      </c>
      <c r="C210" s="79">
        <v>0</v>
      </c>
      <c r="D210" s="85" t="s">
        <v>7118</v>
      </c>
      <c r="E210" s="85" t="s">
        <v>7117</v>
      </c>
      <c r="F210" s="86" t="s">
        <v>7119</v>
      </c>
      <c r="G210" s="83">
        <v>0</v>
      </c>
    </row>
    <row r="211" spans="1:7">
      <c r="A211" s="78" t="s">
        <v>6743</v>
      </c>
      <c r="B211" s="78">
        <v>559</v>
      </c>
      <c r="C211" s="79">
        <v>0</v>
      </c>
      <c r="D211" s="85" t="s">
        <v>7121</v>
      </c>
      <c r="E211" s="85" t="s">
        <v>7120</v>
      </c>
      <c r="F211" s="86" t="s">
        <v>5427</v>
      </c>
      <c r="G211" s="83">
        <v>0</v>
      </c>
    </row>
    <row r="212" spans="1:7">
      <c r="A212" s="78" t="s">
        <v>6743</v>
      </c>
      <c r="B212" s="78">
        <v>568</v>
      </c>
      <c r="C212" s="79">
        <v>0</v>
      </c>
      <c r="D212" s="85" t="s">
        <v>7123</v>
      </c>
      <c r="E212" s="85" t="s">
        <v>7122</v>
      </c>
      <c r="F212" s="86" t="s">
        <v>7124</v>
      </c>
      <c r="G212" s="83">
        <v>0</v>
      </c>
    </row>
    <row r="213" spans="1:7">
      <c r="A213" s="78" t="s">
        <v>6743</v>
      </c>
      <c r="B213" s="78">
        <v>577</v>
      </c>
      <c r="C213" s="79">
        <v>0</v>
      </c>
      <c r="D213" s="85" t="s">
        <v>7126</v>
      </c>
      <c r="E213" s="85" t="s">
        <v>7125</v>
      </c>
      <c r="F213" s="86" t="s">
        <v>5125</v>
      </c>
      <c r="G213" s="83">
        <v>0</v>
      </c>
    </row>
    <row r="214" spans="1:7">
      <c r="A214" s="78" t="s">
        <v>6743</v>
      </c>
      <c r="B214" s="78">
        <v>586</v>
      </c>
      <c r="C214" s="102" t="s">
        <v>6786</v>
      </c>
      <c r="D214" s="85" t="s">
        <v>7128</v>
      </c>
      <c r="E214" s="85" t="s">
        <v>7127</v>
      </c>
      <c r="F214" s="86" t="s">
        <v>5135</v>
      </c>
      <c r="G214" s="83">
        <v>0</v>
      </c>
    </row>
    <row r="215" spans="1:7">
      <c r="A215" s="78" t="s">
        <v>6743</v>
      </c>
      <c r="B215" s="78">
        <v>595</v>
      </c>
      <c r="C215" s="102" t="s">
        <v>6786</v>
      </c>
      <c r="D215" s="85" t="s">
        <v>7130</v>
      </c>
      <c r="E215" s="85" t="s">
        <v>7129</v>
      </c>
      <c r="F215" s="86" t="s">
        <v>5135</v>
      </c>
      <c r="G215" s="83">
        <v>0</v>
      </c>
    </row>
    <row r="216" spans="1:7">
      <c r="A216" s="78" t="s">
        <v>6743</v>
      </c>
      <c r="B216" s="78">
        <v>604</v>
      </c>
      <c r="C216" s="79">
        <v>0</v>
      </c>
      <c r="D216" s="85" t="s">
        <v>7132</v>
      </c>
      <c r="E216" s="85" t="s">
        <v>7131</v>
      </c>
      <c r="F216" s="86" t="s">
        <v>5125</v>
      </c>
      <c r="G216" s="83" t="s">
        <v>6796</v>
      </c>
    </row>
    <row r="217" spans="1:7">
      <c r="A217" s="78" t="s">
        <v>6743</v>
      </c>
      <c r="B217" s="78">
        <v>613</v>
      </c>
      <c r="C217" s="79">
        <v>0</v>
      </c>
      <c r="D217" s="85" t="s">
        <v>7134</v>
      </c>
      <c r="E217" s="85" t="s">
        <v>7133</v>
      </c>
      <c r="F217" s="86" t="s">
        <v>5125</v>
      </c>
      <c r="G217" s="83" t="s">
        <v>6796</v>
      </c>
    </row>
    <row r="218" spans="1:7">
      <c r="A218" s="78" t="s">
        <v>6743</v>
      </c>
      <c r="B218" s="78">
        <v>622</v>
      </c>
      <c r="C218" s="79">
        <v>0</v>
      </c>
      <c r="D218" s="85" t="s">
        <v>7136</v>
      </c>
      <c r="E218" s="85" t="s">
        <v>7135</v>
      </c>
      <c r="F218" s="86" t="s">
        <v>5138</v>
      </c>
      <c r="G218" s="83">
        <v>0</v>
      </c>
    </row>
    <row r="219" spans="1:7">
      <c r="A219" s="78" t="s">
        <v>6743</v>
      </c>
      <c r="B219" s="78">
        <v>631</v>
      </c>
      <c r="C219" s="79">
        <v>0</v>
      </c>
      <c r="D219" s="85" t="s">
        <v>7138</v>
      </c>
      <c r="E219" s="85" t="s">
        <v>7137</v>
      </c>
      <c r="F219" s="86" t="s">
        <v>119</v>
      </c>
      <c r="G219" s="83" t="s">
        <v>6796</v>
      </c>
    </row>
    <row r="220" spans="1:7">
      <c r="A220" s="78" t="s">
        <v>6743</v>
      </c>
      <c r="B220" s="78">
        <v>640</v>
      </c>
      <c r="C220" s="79">
        <v>0</v>
      </c>
      <c r="D220" s="85" t="s">
        <v>7140</v>
      </c>
      <c r="E220" s="85" t="s">
        <v>7139</v>
      </c>
      <c r="F220" s="86" t="s">
        <v>6881</v>
      </c>
      <c r="G220" s="83">
        <v>0</v>
      </c>
    </row>
    <row r="221" spans="1:7">
      <c r="A221" s="78" t="s">
        <v>6743</v>
      </c>
      <c r="B221" s="78">
        <v>649</v>
      </c>
      <c r="C221" s="79">
        <v>0</v>
      </c>
      <c r="D221" s="85" t="s">
        <v>7142</v>
      </c>
      <c r="E221" s="84" t="s">
        <v>7141</v>
      </c>
      <c r="F221" s="86" t="s">
        <v>7143</v>
      </c>
      <c r="G221" s="83">
        <v>0</v>
      </c>
    </row>
    <row r="222" spans="1:7">
      <c r="A222" s="78" t="s">
        <v>6743</v>
      </c>
      <c r="B222" s="78">
        <v>658</v>
      </c>
      <c r="C222" s="79">
        <v>0</v>
      </c>
      <c r="D222" s="85" t="s">
        <v>7145</v>
      </c>
      <c r="E222" s="84" t="s">
        <v>7144</v>
      </c>
      <c r="F222" s="86" t="s">
        <v>5717</v>
      </c>
      <c r="G222" s="83" t="s">
        <v>6796</v>
      </c>
    </row>
    <row r="223" spans="1:7">
      <c r="A223" s="78" t="s">
        <v>6743</v>
      </c>
      <c r="B223" s="78">
        <v>667</v>
      </c>
      <c r="C223" s="79">
        <v>0</v>
      </c>
      <c r="D223" s="85" t="s">
        <v>7146</v>
      </c>
      <c r="E223" s="84" t="s">
        <v>4958</v>
      </c>
      <c r="F223" s="86" t="s">
        <v>4960</v>
      </c>
      <c r="G223" s="83">
        <v>0</v>
      </c>
    </row>
    <row r="224" spans="1:7">
      <c r="A224" s="78" t="s">
        <v>6743</v>
      </c>
      <c r="B224" s="78">
        <v>676</v>
      </c>
      <c r="C224" s="79" t="s">
        <v>6768</v>
      </c>
      <c r="D224" s="85" t="s">
        <v>5957</v>
      </c>
      <c r="E224" s="84" t="s">
        <v>5956</v>
      </c>
      <c r="F224" s="86" t="s">
        <v>5704</v>
      </c>
      <c r="G224" s="83">
        <v>0</v>
      </c>
    </row>
    <row r="225" spans="1:7">
      <c r="A225" s="78" t="s">
        <v>6743</v>
      </c>
      <c r="B225" s="78">
        <v>685</v>
      </c>
      <c r="C225" s="79" t="s">
        <v>6768</v>
      </c>
      <c r="D225" s="85" t="s">
        <v>7148</v>
      </c>
      <c r="E225" s="84" t="s">
        <v>7147</v>
      </c>
      <c r="F225" s="86" t="s">
        <v>5453</v>
      </c>
      <c r="G225" s="83">
        <v>0</v>
      </c>
    </row>
    <row r="226" spans="1:7">
      <c r="A226" s="78" t="s">
        <v>6743</v>
      </c>
      <c r="B226" s="78">
        <v>694</v>
      </c>
      <c r="C226" s="79" t="s">
        <v>6776</v>
      </c>
      <c r="D226" s="85" t="s">
        <v>7150</v>
      </c>
      <c r="E226" s="84" t="s">
        <v>7149</v>
      </c>
      <c r="F226" s="86" t="s">
        <v>5424</v>
      </c>
      <c r="G226" s="83">
        <v>0</v>
      </c>
    </row>
    <row r="227" spans="1:7">
      <c r="A227" s="78" t="s">
        <v>7151</v>
      </c>
      <c r="B227" s="78">
        <v>1149</v>
      </c>
      <c r="C227" s="79">
        <v>0</v>
      </c>
      <c r="D227" s="85" t="s">
        <v>2578</v>
      </c>
      <c r="E227" s="85" t="s">
        <v>7152</v>
      </c>
      <c r="F227" s="86" t="s">
        <v>7153</v>
      </c>
      <c r="G227" s="83">
        <v>1751684</v>
      </c>
    </row>
    <row r="228" spans="1:7">
      <c r="A228" s="78" t="s">
        <v>7151</v>
      </c>
      <c r="B228" s="78">
        <v>1150</v>
      </c>
      <c r="C228" s="79">
        <v>0</v>
      </c>
      <c r="D228" s="85" t="s">
        <v>2682</v>
      </c>
      <c r="E228" s="85" t="s">
        <v>7154</v>
      </c>
      <c r="F228" s="86" t="s">
        <v>7155</v>
      </c>
      <c r="G228" s="83">
        <v>1748526</v>
      </c>
    </row>
    <row r="229" spans="1:7">
      <c r="A229" s="78" t="s">
        <v>7151</v>
      </c>
      <c r="B229" s="78">
        <v>1151</v>
      </c>
      <c r="C229" s="79">
        <v>0</v>
      </c>
      <c r="D229" s="85" t="s">
        <v>7157</v>
      </c>
      <c r="E229" s="85" t="s">
        <v>7156</v>
      </c>
      <c r="F229" s="86" t="s">
        <v>7158</v>
      </c>
      <c r="G229" s="83">
        <v>0</v>
      </c>
    </row>
    <row r="230" spans="1:7">
      <c r="A230" s="78" t="s">
        <v>7151</v>
      </c>
      <c r="B230" s="78">
        <v>1152</v>
      </c>
      <c r="C230" s="79">
        <v>0</v>
      </c>
      <c r="D230" s="85" t="s">
        <v>7160</v>
      </c>
      <c r="E230" s="85" t="s">
        <v>7159</v>
      </c>
      <c r="F230" s="86" t="s">
        <v>7161</v>
      </c>
      <c r="G230" s="83">
        <v>0</v>
      </c>
    </row>
    <row r="231" spans="1:7">
      <c r="A231" s="78" t="s">
        <v>7162</v>
      </c>
      <c r="B231" s="78">
        <v>1153</v>
      </c>
      <c r="C231" s="79"/>
      <c r="D231" s="85" t="s">
        <v>2586</v>
      </c>
      <c r="E231" s="85" t="s">
        <v>7163</v>
      </c>
      <c r="F231" s="86" t="s">
        <v>6413</v>
      </c>
      <c r="G231" s="83">
        <v>7938531.916666667</v>
      </c>
    </row>
    <row r="232" spans="1:7">
      <c r="A232" s="78" t="s">
        <v>7162</v>
      </c>
      <c r="B232" s="78">
        <v>1154</v>
      </c>
      <c r="C232" s="79"/>
      <c r="D232" s="85" t="s">
        <v>2690</v>
      </c>
      <c r="E232" s="85" t="s">
        <v>7164</v>
      </c>
      <c r="F232" s="86" t="s">
        <v>6414</v>
      </c>
      <c r="G232" s="83">
        <v>7742744.916666667</v>
      </c>
    </row>
    <row r="233" spans="1:7">
      <c r="A233" s="90" t="s">
        <v>6743</v>
      </c>
      <c r="B233" s="90">
        <v>22</v>
      </c>
      <c r="C233" s="91">
        <v>0</v>
      </c>
      <c r="D233" s="103" t="s">
        <v>5984</v>
      </c>
      <c r="E233" s="110" t="s">
        <v>5983</v>
      </c>
      <c r="F233" s="104" t="s">
        <v>5980</v>
      </c>
      <c r="G233" s="95">
        <v>3128012</v>
      </c>
    </row>
    <row r="234" spans="1:7">
      <c r="A234" s="96" t="s">
        <v>6743</v>
      </c>
      <c r="B234" s="96">
        <v>31</v>
      </c>
      <c r="C234" s="97" t="s">
        <v>6746</v>
      </c>
      <c r="D234" s="99" t="s">
        <v>6045</v>
      </c>
      <c r="E234" s="98" t="s">
        <v>6044</v>
      </c>
      <c r="F234" s="100" t="s">
        <v>5226</v>
      </c>
      <c r="G234" s="101">
        <v>777694</v>
      </c>
    </row>
    <row r="235" spans="1:7">
      <c r="A235" s="78" t="s">
        <v>6743</v>
      </c>
      <c r="B235" s="78">
        <v>40</v>
      </c>
      <c r="C235" s="79" t="s">
        <v>6745</v>
      </c>
      <c r="D235" s="81" t="s">
        <v>5242</v>
      </c>
      <c r="E235" s="80" t="s">
        <v>5241</v>
      </c>
      <c r="F235" s="82" t="s">
        <v>6428</v>
      </c>
      <c r="G235" s="83">
        <v>595485</v>
      </c>
    </row>
    <row r="236" spans="1:7" ht="15" thickBot="1">
      <c r="A236" s="121" t="s">
        <v>6743</v>
      </c>
      <c r="B236" s="121">
        <v>49</v>
      </c>
      <c r="C236" s="131">
        <v>0</v>
      </c>
      <c r="D236" s="123" t="s">
        <v>7165</v>
      </c>
      <c r="E236" s="132" t="s">
        <v>5695</v>
      </c>
      <c r="F236" s="124" t="s">
        <v>5694</v>
      </c>
      <c r="G236" s="125">
        <v>482705</v>
      </c>
    </row>
    <row r="237" spans="1:7">
      <c r="A237" s="73" t="s">
        <v>6743</v>
      </c>
      <c r="B237" s="73">
        <v>58</v>
      </c>
      <c r="C237" s="74" t="s">
        <v>6745</v>
      </c>
      <c r="D237" s="134" t="s">
        <v>5228</v>
      </c>
      <c r="E237" s="133" t="s">
        <v>5227</v>
      </c>
      <c r="F237" s="135" t="s">
        <v>5135</v>
      </c>
      <c r="G237" s="117">
        <v>430432</v>
      </c>
    </row>
    <row r="238" spans="1:7">
      <c r="A238" s="78" t="s">
        <v>6743</v>
      </c>
      <c r="B238" s="78">
        <v>67</v>
      </c>
      <c r="C238" s="79" t="s">
        <v>6755</v>
      </c>
      <c r="D238" s="85" t="s">
        <v>5110</v>
      </c>
      <c r="E238" s="84" t="s">
        <v>1887</v>
      </c>
      <c r="F238" s="86" t="s">
        <v>5103</v>
      </c>
      <c r="G238" s="83">
        <v>365731</v>
      </c>
    </row>
    <row r="239" spans="1:7">
      <c r="A239" s="78" t="s">
        <v>6743</v>
      </c>
      <c r="B239" s="78">
        <v>76</v>
      </c>
      <c r="C239" s="79" t="s">
        <v>6746</v>
      </c>
      <c r="D239" s="85" t="s">
        <v>6081</v>
      </c>
      <c r="E239" s="84" t="s">
        <v>6080</v>
      </c>
      <c r="F239" s="86" t="s">
        <v>6082</v>
      </c>
      <c r="G239" s="83">
        <v>294764</v>
      </c>
    </row>
    <row r="240" spans="1:7">
      <c r="A240" s="78" t="s">
        <v>6743</v>
      </c>
      <c r="B240" s="78">
        <v>85</v>
      </c>
      <c r="C240" s="79" t="s">
        <v>6745</v>
      </c>
      <c r="D240" s="81" t="s">
        <v>5402</v>
      </c>
      <c r="E240" s="80" t="s">
        <v>5401</v>
      </c>
      <c r="F240" s="82" t="s">
        <v>5403</v>
      </c>
      <c r="G240" s="83">
        <v>256543</v>
      </c>
    </row>
    <row r="241" spans="1:7">
      <c r="A241" s="78" t="s">
        <v>6743</v>
      </c>
      <c r="B241" s="78">
        <v>94</v>
      </c>
      <c r="C241" s="79">
        <v>0</v>
      </c>
      <c r="D241" s="85" t="s">
        <v>5656</v>
      </c>
      <c r="E241" s="84" t="s">
        <v>5655</v>
      </c>
      <c r="F241" s="86" t="s">
        <v>5657</v>
      </c>
      <c r="G241" s="83">
        <v>196881</v>
      </c>
    </row>
    <row r="242" spans="1:7">
      <c r="A242" s="78" t="s">
        <v>6743</v>
      </c>
      <c r="B242" s="78">
        <v>103</v>
      </c>
      <c r="C242" s="79">
        <v>0</v>
      </c>
      <c r="D242" s="85" t="s">
        <v>5528</v>
      </c>
      <c r="E242" s="84" t="s">
        <v>5527</v>
      </c>
      <c r="F242" s="86" t="s">
        <v>5526</v>
      </c>
      <c r="G242" s="83">
        <v>182972</v>
      </c>
    </row>
    <row r="243" spans="1:7">
      <c r="A243" s="78" t="s">
        <v>6743</v>
      </c>
      <c r="B243" s="78">
        <v>112</v>
      </c>
      <c r="C243" s="79" t="s">
        <v>6768</v>
      </c>
      <c r="D243" s="85" t="s">
        <v>6398</v>
      </c>
      <c r="E243" s="84" t="s">
        <v>6397</v>
      </c>
      <c r="F243" s="86" t="s">
        <v>6399</v>
      </c>
      <c r="G243" s="83">
        <v>160754</v>
      </c>
    </row>
    <row r="244" spans="1:7">
      <c r="A244" s="78" t="s">
        <v>6743</v>
      </c>
      <c r="B244" s="78">
        <v>121</v>
      </c>
      <c r="C244" s="79">
        <v>0</v>
      </c>
      <c r="D244" s="85" t="s">
        <v>5124</v>
      </c>
      <c r="E244" s="84" t="s">
        <v>5123</v>
      </c>
      <c r="F244" s="86" t="s">
        <v>5125</v>
      </c>
      <c r="G244" s="83">
        <v>155461</v>
      </c>
    </row>
    <row r="245" spans="1:7">
      <c r="A245" s="78" t="s">
        <v>6743</v>
      </c>
      <c r="B245" s="78">
        <v>130</v>
      </c>
      <c r="C245" s="79">
        <v>0</v>
      </c>
      <c r="D245" s="85" t="s">
        <v>5844</v>
      </c>
      <c r="E245" s="84" t="s">
        <v>5843</v>
      </c>
      <c r="F245" s="86" t="s">
        <v>7166</v>
      </c>
      <c r="G245" s="83">
        <v>143075</v>
      </c>
    </row>
    <row r="246" spans="1:7">
      <c r="A246" s="78" t="s">
        <v>6743</v>
      </c>
      <c r="B246" s="78">
        <v>139</v>
      </c>
      <c r="C246" s="79" t="s">
        <v>6746</v>
      </c>
      <c r="D246" s="85" t="s">
        <v>6047</v>
      </c>
      <c r="E246" s="84" t="s">
        <v>6046</v>
      </c>
      <c r="F246" s="86" t="s">
        <v>5135</v>
      </c>
      <c r="G246" s="83">
        <v>136640</v>
      </c>
    </row>
    <row r="247" spans="1:7">
      <c r="A247" s="78" t="s">
        <v>6743</v>
      </c>
      <c r="B247" s="78">
        <v>148</v>
      </c>
      <c r="C247" s="79" t="s">
        <v>6745</v>
      </c>
      <c r="D247" s="81" t="s">
        <v>7167</v>
      </c>
      <c r="E247" s="80" t="s">
        <v>5268</v>
      </c>
      <c r="F247" s="82" t="s">
        <v>5125</v>
      </c>
      <c r="G247" s="83">
        <v>122378</v>
      </c>
    </row>
    <row r="248" spans="1:7">
      <c r="A248" s="78" t="s">
        <v>6743</v>
      </c>
      <c r="B248" s="78">
        <v>157</v>
      </c>
      <c r="C248" s="79" t="s">
        <v>6758</v>
      </c>
      <c r="D248" s="88" t="s">
        <v>7169</v>
      </c>
      <c r="E248" s="87" t="s">
        <v>7168</v>
      </c>
      <c r="F248" s="89" t="s">
        <v>5651</v>
      </c>
      <c r="G248" s="83">
        <v>105971</v>
      </c>
    </row>
    <row r="249" spans="1:7">
      <c r="A249" s="78" t="s">
        <v>6743</v>
      </c>
      <c r="B249" s="78">
        <v>166</v>
      </c>
      <c r="C249" s="79">
        <v>0</v>
      </c>
      <c r="D249" s="85" t="s">
        <v>7171</v>
      </c>
      <c r="E249" s="85" t="s">
        <v>7170</v>
      </c>
      <c r="F249" s="86" t="s">
        <v>5135</v>
      </c>
      <c r="G249" s="83">
        <v>93244</v>
      </c>
    </row>
    <row r="250" spans="1:7">
      <c r="A250" s="78" t="s">
        <v>6743</v>
      </c>
      <c r="B250" s="78">
        <v>175</v>
      </c>
      <c r="C250" s="79">
        <v>0</v>
      </c>
      <c r="D250" s="85" t="s">
        <v>5767</v>
      </c>
      <c r="E250" s="85" t="s">
        <v>5766</v>
      </c>
      <c r="F250" s="86" t="s">
        <v>5704</v>
      </c>
      <c r="G250" s="83">
        <v>80849</v>
      </c>
    </row>
    <row r="251" spans="1:7">
      <c r="A251" s="78" t="s">
        <v>6743</v>
      </c>
      <c r="B251" s="78">
        <v>184</v>
      </c>
      <c r="C251" s="79" t="s">
        <v>6895</v>
      </c>
      <c r="D251" s="85" t="s">
        <v>5458</v>
      </c>
      <c r="E251" s="84" t="s">
        <v>5457</v>
      </c>
      <c r="F251" s="86" t="s">
        <v>7172</v>
      </c>
      <c r="G251" s="83">
        <v>70536</v>
      </c>
    </row>
    <row r="252" spans="1:7">
      <c r="A252" s="78" t="s">
        <v>6743</v>
      </c>
      <c r="B252" s="78">
        <v>193</v>
      </c>
      <c r="C252" s="79" t="s">
        <v>6755</v>
      </c>
      <c r="D252" s="85" t="s">
        <v>7173</v>
      </c>
      <c r="E252" s="84" t="s">
        <v>6328</v>
      </c>
      <c r="F252" s="86" t="s">
        <v>6269</v>
      </c>
      <c r="G252" s="83">
        <v>59805</v>
      </c>
    </row>
    <row r="253" spans="1:7">
      <c r="A253" s="78" t="s">
        <v>6743</v>
      </c>
      <c r="B253" s="78">
        <v>202</v>
      </c>
      <c r="C253" s="79" t="s">
        <v>6755</v>
      </c>
      <c r="D253" s="85" t="s">
        <v>6184</v>
      </c>
      <c r="E253" s="84" t="s">
        <v>6183</v>
      </c>
      <c r="F253" s="86" t="s">
        <v>5138</v>
      </c>
      <c r="G253" s="83">
        <v>51796</v>
      </c>
    </row>
    <row r="254" spans="1:7">
      <c r="A254" s="78" t="s">
        <v>6743</v>
      </c>
      <c r="B254" s="78">
        <v>211</v>
      </c>
      <c r="C254" s="79">
        <v>0</v>
      </c>
      <c r="D254" s="85" t="s">
        <v>5841</v>
      </c>
      <c r="E254" s="84" t="s">
        <v>5840</v>
      </c>
      <c r="F254" s="86" t="s">
        <v>7166</v>
      </c>
      <c r="G254" s="83">
        <v>37805</v>
      </c>
    </row>
    <row r="255" spans="1:7">
      <c r="A255" s="78" t="s">
        <v>6743</v>
      </c>
      <c r="B255" s="78">
        <v>220</v>
      </c>
      <c r="C255" s="79" t="s">
        <v>6745</v>
      </c>
      <c r="D255" s="81" t="s">
        <v>7175</v>
      </c>
      <c r="E255" s="80" t="s">
        <v>7174</v>
      </c>
      <c r="F255" s="82" t="s">
        <v>6082</v>
      </c>
      <c r="G255" s="83">
        <v>34767</v>
      </c>
    </row>
    <row r="256" spans="1:7">
      <c r="A256" s="78" t="s">
        <v>6743</v>
      </c>
      <c r="B256" s="78">
        <v>229</v>
      </c>
      <c r="C256" s="79" t="s">
        <v>6768</v>
      </c>
      <c r="D256" s="85" t="s">
        <v>6492</v>
      </c>
      <c r="E256" s="84" t="s">
        <v>6491</v>
      </c>
      <c r="F256" s="86" t="s">
        <v>6269</v>
      </c>
      <c r="G256" s="83">
        <v>32159</v>
      </c>
    </row>
    <row r="257" spans="1:7">
      <c r="A257" s="78" t="s">
        <v>6743</v>
      </c>
      <c r="B257" s="78">
        <v>238</v>
      </c>
      <c r="C257" s="79" t="s">
        <v>6758</v>
      </c>
      <c r="D257" s="88" t="s">
        <v>7177</v>
      </c>
      <c r="E257" s="87" t="s">
        <v>7176</v>
      </c>
      <c r="F257" s="89" t="s">
        <v>96</v>
      </c>
      <c r="G257" s="83">
        <v>29631</v>
      </c>
    </row>
    <row r="258" spans="1:7">
      <c r="A258" s="78" t="s">
        <v>6743</v>
      </c>
      <c r="B258" s="78">
        <v>247</v>
      </c>
      <c r="C258" s="79">
        <v>0</v>
      </c>
      <c r="D258" s="85" t="s">
        <v>7179</v>
      </c>
      <c r="E258" s="84" t="s">
        <v>7178</v>
      </c>
      <c r="F258" s="86" t="s">
        <v>7180</v>
      </c>
      <c r="G258" s="83">
        <v>25089</v>
      </c>
    </row>
    <row r="259" spans="1:7">
      <c r="A259" s="78" t="s">
        <v>6743</v>
      </c>
      <c r="B259" s="78">
        <v>256</v>
      </c>
      <c r="C259" s="79" t="s">
        <v>7181</v>
      </c>
      <c r="D259" s="85" t="s">
        <v>3042</v>
      </c>
      <c r="E259" s="84" t="s">
        <v>3043</v>
      </c>
      <c r="F259" s="86" t="s">
        <v>5403</v>
      </c>
      <c r="G259" s="83">
        <v>21265</v>
      </c>
    </row>
    <row r="260" spans="1:7">
      <c r="A260" s="78" t="s">
        <v>6743</v>
      </c>
      <c r="B260" s="78">
        <v>265</v>
      </c>
      <c r="C260" s="79" t="s">
        <v>7032</v>
      </c>
      <c r="D260" s="81" t="s">
        <v>7183</v>
      </c>
      <c r="E260" s="80" t="s">
        <v>7182</v>
      </c>
      <c r="F260" s="82" t="s">
        <v>5135</v>
      </c>
      <c r="G260" s="83">
        <v>13550</v>
      </c>
    </row>
    <row r="261" spans="1:7">
      <c r="A261" s="78" t="s">
        <v>6743</v>
      </c>
      <c r="B261" s="78">
        <v>274</v>
      </c>
      <c r="C261" s="79" t="s">
        <v>6782</v>
      </c>
      <c r="D261" s="85" t="s">
        <v>6526</v>
      </c>
      <c r="E261" s="84" t="s">
        <v>6525</v>
      </c>
      <c r="F261" s="86" t="s">
        <v>119</v>
      </c>
      <c r="G261" s="83">
        <v>10900</v>
      </c>
    </row>
    <row r="262" spans="1:7">
      <c r="A262" s="78" t="s">
        <v>6743</v>
      </c>
      <c r="B262" s="78">
        <v>283</v>
      </c>
      <c r="C262" s="79" t="s">
        <v>6914</v>
      </c>
      <c r="D262" s="88" t="s">
        <v>7185</v>
      </c>
      <c r="E262" s="87" t="s">
        <v>7184</v>
      </c>
      <c r="F262" s="89" t="s">
        <v>119</v>
      </c>
      <c r="G262" s="83">
        <v>8441</v>
      </c>
    </row>
    <row r="263" spans="1:7">
      <c r="A263" s="78" t="s">
        <v>6743</v>
      </c>
      <c r="B263" s="78">
        <v>292</v>
      </c>
      <c r="C263" s="79" t="s">
        <v>6755</v>
      </c>
      <c r="D263" s="85" t="s">
        <v>7186</v>
      </c>
      <c r="E263" s="84" t="s">
        <v>6301</v>
      </c>
      <c r="F263" s="86" t="s">
        <v>6303</v>
      </c>
      <c r="G263" s="83">
        <v>6454</v>
      </c>
    </row>
    <row r="264" spans="1:7">
      <c r="A264" s="78" t="s">
        <v>6743</v>
      </c>
      <c r="B264" s="78">
        <v>301</v>
      </c>
      <c r="C264" s="79" t="s">
        <v>6914</v>
      </c>
      <c r="D264" s="88" t="s">
        <v>7188</v>
      </c>
      <c r="E264" s="87" t="s">
        <v>7187</v>
      </c>
      <c r="F264" s="89" t="s">
        <v>5135</v>
      </c>
      <c r="G264" s="83">
        <v>2423</v>
      </c>
    </row>
    <row r="265" spans="1:7">
      <c r="A265" s="78" t="s">
        <v>6743</v>
      </c>
      <c r="B265" s="78">
        <v>310</v>
      </c>
      <c r="C265" s="79" t="s">
        <v>6782</v>
      </c>
      <c r="D265" s="85" t="s">
        <v>6524</v>
      </c>
      <c r="E265" s="84" t="s">
        <v>6523</v>
      </c>
      <c r="F265" s="86" t="s">
        <v>119</v>
      </c>
      <c r="G265" s="83">
        <v>1732</v>
      </c>
    </row>
    <row r="266" spans="1:7">
      <c r="A266" s="78" t="s">
        <v>6743</v>
      </c>
      <c r="B266" s="78">
        <v>319</v>
      </c>
      <c r="C266" s="79">
        <v>0</v>
      </c>
      <c r="D266" s="85" t="s">
        <v>7190</v>
      </c>
      <c r="E266" s="85" t="s">
        <v>7189</v>
      </c>
      <c r="F266" s="86" t="s">
        <v>7191</v>
      </c>
      <c r="G266" s="83" t="s">
        <v>6796</v>
      </c>
    </row>
    <row r="267" spans="1:7">
      <c r="A267" s="78" t="s">
        <v>6743</v>
      </c>
      <c r="B267" s="78">
        <v>328</v>
      </c>
      <c r="C267" s="102" t="s">
        <v>6786</v>
      </c>
      <c r="D267" s="85" t="s">
        <v>7193</v>
      </c>
      <c r="E267" s="85" t="s">
        <v>7192</v>
      </c>
      <c r="F267" s="86" t="s">
        <v>7051</v>
      </c>
      <c r="G267" s="83">
        <v>0</v>
      </c>
    </row>
    <row r="268" spans="1:7">
      <c r="A268" s="78" t="s">
        <v>6743</v>
      </c>
      <c r="B268" s="78">
        <v>337</v>
      </c>
      <c r="C268" s="79">
        <v>0</v>
      </c>
      <c r="D268" s="85" t="s">
        <v>7195</v>
      </c>
      <c r="E268" s="85" t="s">
        <v>7194</v>
      </c>
      <c r="F268" s="86" t="s">
        <v>7056</v>
      </c>
      <c r="G268" s="83" t="s">
        <v>6796</v>
      </c>
    </row>
    <row r="269" spans="1:7">
      <c r="A269" s="78" t="s">
        <v>6743</v>
      </c>
      <c r="B269" s="78">
        <v>346</v>
      </c>
      <c r="C269" s="79">
        <v>0</v>
      </c>
      <c r="D269" s="85" t="s">
        <v>7197</v>
      </c>
      <c r="E269" s="85" t="s">
        <v>7196</v>
      </c>
      <c r="F269" s="86" t="s">
        <v>7198</v>
      </c>
      <c r="G269" s="83" t="s">
        <v>6796</v>
      </c>
    </row>
    <row r="270" spans="1:7">
      <c r="A270" s="78" t="s">
        <v>6743</v>
      </c>
      <c r="B270" s="78">
        <v>355</v>
      </c>
      <c r="C270" s="79">
        <v>0</v>
      </c>
      <c r="D270" s="85" t="s">
        <v>7200</v>
      </c>
      <c r="E270" s="85" t="s">
        <v>7199</v>
      </c>
      <c r="F270" s="86" t="s">
        <v>7201</v>
      </c>
      <c r="G270" s="83" t="s">
        <v>6796</v>
      </c>
    </row>
    <row r="271" spans="1:7">
      <c r="A271" s="78" t="s">
        <v>6743</v>
      </c>
      <c r="B271" s="78">
        <v>364</v>
      </c>
      <c r="C271" s="79">
        <v>0</v>
      </c>
      <c r="D271" s="85" t="s">
        <v>7203</v>
      </c>
      <c r="E271" s="85" t="s">
        <v>7202</v>
      </c>
      <c r="F271" s="86" t="s">
        <v>7204</v>
      </c>
      <c r="G271" s="83" t="s">
        <v>6796</v>
      </c>
    </row>
    <row r="272" spans="1:7">
      <c r="A272" s="78" t="s">
        <v>6743</v>
      </c>
      <c r="B272" s="78">
        <v>373</v>
      </c>
      <c r="C272" s="79">
        <v>0</v>
      </c>
      <c r="D272" s="85" t="s">
        <v>7206</v>
      </c>
      <c r="E272" s="85" t="s">
        <v>7205</v>
      </c>
      <c r="F272" s="86" t="s">
        <v>7207</v>
      </c>
      <c r="G272" s="83" t="s">
        <v>6796</v>
      </c>
    </row>
    <row r="273" spans="1:7">
      <c r="A273" s="78" t="s">
        <v>6743</v>
      </c>
      <c r="B273" s="78">
        <v>382</v>
      </c>
      <c r="C273" s="79">
        <v>0</v>
      </c>
      <c r="D273" s="85" t="s">
        <v>7209</v>
      </c>
      <c r="E273" s="85" t="s">
        <v>7208</v>
      </c>
      <c r="F273" s="86" t="s">
        <v>7210</v>
      </c>
      <c r="G273" s="83" t="s">
        <v>6796</v>
      </c>
    </row>
    <row r="274" spans="1:7">
      <c r="A274" s="96" t="s">
        <v>6743</v>
      </c>
      <c r="B274" s="96">
        <v>391</v>
      </c>
      <c r="C274" s="97">
        <v>0</v>
      </c>
      <c r="D274" s="99" t="s">
        <v>7212</v>
      </c>
      <c r="E274" s="99" t="s">
        <v>7211</v>
      </c>
      <c r="F274" s="100" t="s">
        <v>7213</v>
      </c>
      <c r="G274" s="101">
        <v>0</v>
      </c>
    </row>
    <row r="275" spans="1:7">
      <c r="A275" s="73" t="s">
        <v>6743</v>
      </c>
      <c r="B275" s="73">
        <v>400</v>
      </c>
      <c r="C275" s="74">
        <v>0</v>
      </c>
      <c r="D275" s="75" t="s">
        <v>7215</v>
      </c>
      <c r="E275" s="75" t="s">
        <v>7214</v>
      </c>
      <c r="F275" s="76" t="s">
        <v>7216</v>
      </c>
      <c r="G275" s="83" t="s">
        <v>6796</v>
      </c>
    </row>
    <row r="276" spans="1:7">
      <c r="A276" s="78" t="s">
        <v>6743</v>
      </c>
      <c r="B276" s="78">
        <v>409</v>
      </c>
      <c r="C276" s="79">
        <v>0</v>
      </c>
      <c r="D276" s="85" t="s">
        <v>7218</v>
      </c>
      <c r="E276" s="85" t="s">
        <v>7217</v>
      </c>
      <c r="F276" s="86" t="s">
        <v>5612</v>
      </c>
      <c r="G276" s="83">
        <v>0</v>
      </c>
    </row>
    <row r="277" spans="1:7">
      <c r="A277" s="78" t="s">
        <v>6743</v>
      </c>
      <c r="B277" s="73">
        <v>418</v>
      </c>
      <c r="C277" s="74">
        <v>0</v>
      </c>
      <c r="D277" s="85" t="s">
        <v>7220</v>
      </c>
      <c r="E277" s="85" t="s">
        <v>7219</v>
      </c>
      <c r="F277" s="86" t="s">
        <v>6821</v>
      </c>
      <c r="G277" s="83" t="s">
        <v>6796</v>
      </c>
    </row>
    <row r="278" spans="1:7">
      <c r="A278" s="78" t="s">
        <v>6743</v>
      </c>
      <c r="B278" s="78">
        <v>427</v>
      </c>
      <c r="C278" s="102" t="s">
        <v>6786</v>
      </c>
      <c r="D278" s="85" t="s">
        <v>7222</v>
      </c>
      <c r="E278" s="85" t="s">
        <v>7221</v>
      </c>
      <c r="F278" s="86" t="s">
        <v>7223</v>
      </c>
      <c r="G278" s="83" t="s">
        <v>6796</v>
      </c>
    </row>
    <row r="279" spans="1:7">
      <c r="A279" s="78" t="s">
        <v>6743</v>
      </c>
      <c r="B279" s="73">
        <v>436</v>
      </c>
      <c r="C279" s="136" t="s">
        <v>6786</v>
      </c>
      <c r="D279" s="85" t="s">
        <v>7225</v>
      </c>
      <c r="E279" s="85" t="s">
        <v>7224</v>
      </c>
      <c r="F279" s="86" t="s">
        <v>7226</v>
      </c>
      <c r="G279" s="83" t="s">
        <v>6796</v>
      </c>
    </row>
    <row r="280" spans="1:7">
      <c r="A280" s="78" t="s">
        <v>6743</v>
      </c>
      <c r="B280" s="78">
        <v>445</v>
      </c>
      <c r="C280" s="79">
        <v>0</v>
      </c>
      <c r="D280" s="85" t="s">
        <v>7228</v>
      </c>
      <c r="E280" s="85" t="s">
        <v>7227</v>
      </c>
      <c r="F280" s="86" t="s">
        <v>5366</v>
      </c>
      <c r="G280" s="83">
        <v>0</v>
      </c>
    </row>
    <row r="281" spans="1:7">
      <c r="A281" s="78" t="s">
        <v>6743</v>
      </c>
      <c r="B281" s="73">
        <v>454</v>
      </c>
      <c r="C281" s="136" t="s">
        <v>6786</v>
      </c>
      <c r="D281" s="85" t="s">
        <v>7230</v>
      </c>
      <c r="E281" s="85" t="s">
        <v>7229</v>
      </c>
      <c r="F281" s="86" t="s">
        <v>7231</v>
      </c>
      <c r="G281" s="83">
        <v>0</v>
      </c>
    </row>
    <row r="282" spans="1:7">
      <c r="A282" s="78" t="s">
        <v>6743</v>
      </c>
      <c r="B282" s="78">
        <v>463</v>
      </c>
      <c r="C282" s="102" t="s">
        <v>6786</v>
      </c>
      <c r="D282" s="85" t="s">
        <v>7233</v>
      </c>
      <c r="E282" s="85" t="s">
        <v>7232</v>
      </c>
      <c r="F282" s="86" t="s">
        <v>7234</v>
      </c>
      <c r="G282" s="83">
        <v>0</v>
      </c>
    </row>
    <row r="283" spans="1:7">
      <c r="A283" s="78" t="s">
        <v>6743</v>
      </c>
      <c r="B283" s="73">
        <v>472</v>
      </c>
      <c r="C283" s="136" t="s">
        <v>6786</v>
      </c>
      <c r="D283" s="85" t="s">
        <v>7236</v>
      </c>
      <c r="E283" s="85" t="s">
        <v>7235</v>
      </c>
      <c r="F283" s="86" t="s">
        <v>7237</v>
      </c>
      <c r="G283" s="83" t="s">
        <v>6796</v>
      </c>
    </row>
    <row r="284" spans="1:7">
      <c r="A284" s="78" t="s">
        <v>6743</v>
      </c>
      <c r="B284" s="78">
        <v>481</v>
      </c>
      <c r="C284" s="102" t="s">
        <v>6786</v>
      </c>
      <c r="D284" s="85" t="s">
        <v>7239</v>
      </c>
      <c r="E284" s="85" t="s">
        <v>7238</v>
      </c>
      <c r="F284" s="86" t="s">
        <v>7240</v>
      </c>
      <c r="G284" s="83">
        <v>0</v>
      </c>
    </row>
    <row r="285" spans="1:7">
      <c r="A285" s="78" t="s">
        <v>6743</v>
      </c>
      <c r="B285" s="78">
        <v>490</v>
      </c>
      <c r="C285" s="102" t="s">
        <v>6786</v>
      </c>
      <c r="D285" s="85" t="s">
        <v>7242</v>
      </c>
      <c r="E285" s="85" t="s">
        <v>7241</v>
      </c>
      <c r="F285" s="86" t="s">
        <v>6980</v>
      </c>
      <c r="G285" s="83">
        <v>0</v>
      </c>
    </row>
    <row r="286" spans="1:7">
      <c r="A286" s="78" t="s">
        <v>6743</v>
      </c>
      <c r="B286" s="78">
        <v>499</v>
      </c>
      <c r="C286" s="79">
        <v>0</v>
      </c>
      <c r="D286" s="85" t="s">
        <v>7244</v>
      </c>
      <c r="E286" s="85" t="s">
        <v>7243</v>
      </c>
      <c r="F286" s="86" t="s">
        <v>7245</v>
      </c>
      <c r="G286" s="83">
        <v>0</v>
      </c>
    </row>
    <row r="287" spans="1:7">
      <c r="A287" s="78" t="s">
        <v>6743</v>
      </c>
      <c r="B287" s="78">
        <v>508</v>
      </c>
      <c r="C287" s="102" t="s">
        <v>6786</v>
      </c>
      <c r="D287" s="85" t="s">
        <v>7247</v>
      </c>
      <c r="E287" s="85" t="s">
        <v>7246</v>
      </c>
      <c r="F287" s="86" t="s">
        <v>5125</v>
      </c>
      <c r="G287" s="83">
        <v>0</v>
      </c>
    </row>
    <row r="288" spans="1:7">
      <c r="A288" s="78" t="s">
        <v>6743</v>
      </c>
      <c r="B288" s="78">
        <v>517</v>
      </c>
      <c r="C288" s="79">
        <v>0</v>
      </c>
      <c r="D288" s="85" t="s">
        <v>7249</v>
      </c>
      <c r="E288" s="85" t="s">
        <v>7248</v>
      </c>
      <c r="F288" s="86" t="s">
        <v>119</v>
      </c>
      <c r="G288" s="83">
        <v>0</v>
      </c>
    </row>
    <row r="289" spans="1:7">
      <c r="A289" s="78" t="s">
        <v>6743</v>
      </c>
      <c r="B289" s="78">
        <v>526</v>
      </c>
      <c r="C289" s="79">
        <v>0</v>
      </c>
      <c r="D289" s="85" t="s">
        <v>7251</v>
      </c>
      <c r="E289" s="85" t="s">
        <v>7250</v>
      </c>
      <c r="F289" s="86" t="s">
        <v>5135</v>
      </c>
      <c r="G289" s="83">
        <v>0</v>
      </c>
    </row>
    <row r="290" spans="1:7">
      <c r="A290" s="78" t="s">
        <v>6743</v>
      </c>
      <c r="B290" s="78">
        <v>535</v>
      </c>
      <c r="C290" s="79">
        <v>0</v>
      </c>
      <c r="D290" s="85" t="s">
        <v>7253</v>
      </c>
      <c r="E290" s="85" t="s">
        <v>7252</v>
      </c>
      <c r="F290" s="86" t="s">
        <v>5103</v>
      </c>
      <c r="G290" s="83">
        <v>0</v>
      </c>
    </row>
    <row r="291" spans="1:7">
      <c r="A291" s="78" t="s">
        <v>6743</v>
      </c>
      <c r="B291" s="78">
        <v>544</v>
      </c>
      <c r="C291" s="79">
        <v>0</v>
      </c>
      <c r="D291" s="85" t="s">
        <v>5720</v>
      </c>
      <c r="E291" s="85" t="s">
        <v>5719</v>
      </c>
      <c r="F291" s="86" t="s">
        <v>5704</v>
      </c>
      <c r="G291" s="83" t="s">
        <v>6796</v>
      </c>
    </row>
    <row r="292" spans="1:7">
      <c r="A292" s="78" t="s">
        <v>6743</v>
      </c>
      <c r="B292" s="78">
        <v>553</v>
      </c>
      <c r="C292" s="79">
        <v>0</v>
      </c>
      <c r="D292" s="85" t="s">
        <v>7255</v>
      </c>
      <c r="E292" s="85" t="s">
        <v>7254</v>
      </c>
      <c r="F292" s="86" t="s">
        <v>7256</v>
      </c>
      <c r="G292" s="83" t="s">
        <v>6796</v>
      </c>
    </row>
    <row r="293" spans="1:7">
      <c r="A293" s="78" t="s">
        <v>6743</v>
      </c>
      <c r="B293" s="78">
        <v>562</v>
      </c>
      <c r="C293" s="79">
        <v>0</v>
      </c>
      <c r="D293" s="85" t="s">
        <v>7258</v>
      </c>
      <c r="E293" s="85" t="s">
        <v>7257</v>
      </c>
      <c r="F293" s="86" t="s">
        <v>5424</v>
      </c>
      <c r="G293" s="83" t="s">
        <v>6796</v>
      </c>
    </row>
    <row r="294" spans="1:7">
      <c r="A294" s="78" t="s">
        <v>6743</v>
      </c>
      <c r="B294" s="78">
        <v>571</v>
      </c>
      <c r="C294" s="79">
        <v>0</v>
      </c>
      <c r="D294" s="85" t="s">
        <v>7260</v>
      </c>
      <c r="E294" s="85" t="s">
        <v>7259</v>
      </c>
      <c r="F294" s="86" t="s">
        <v>5135</v>
      </c>
      <c r="G294" s="83" t="s">
        <v>6796</v>
      </c>
    </row>
    <row r="295" spans="1:7">
      <c r="A295" s="78" t="s">
        <v>6743</v>
      </c>
      <c r="B295" s="78">
        <v>580</v>
      </c>
      <c r="C295" s="79">
        <v>0</v>
      </c>
      <c r="D295" s="85" t="s">
        <v>7262</v>
      </c>
      <c r="E295" s="85" t="s">
        <v>7261</v>
      </c>
      <c r="F295" s="86" t="s">
        <v>119</v>
      </c>
      <c r="G295" s="83">
        <v>0</v>
      </c>
    </row>
    <row r="296" spans="1:7">
      <c r="A296" s="78" t="s">
        <v>6743</v>
      </c>
      <c r="B296" s="78">
        <v>589</v>
      </c>
      <c r="C296" s="79">
        <v>0</v>
      </c>
      <c r="D296" s="85" t="s">
        <v>7264</v>
      </c>
      <c r="E296" s="85" t="s">
        <v>7263</v>
      </c>
      <c r="F296" s="86" t="s">
        <v>119</v>
      </c>
      <c r="G296" s="83">
        <v>0</v>
      </c>
    </row>
    <row r="297" spans="1:7">
      <c r="A297" s="78" t="s">
        <v>6743</v>
      </c>
      <c r="B297" s="78">
        <v>598</v>
      </c>
      <c r="C297" s="79">
        <v>0</v>
      </c>
      <c r="D297" s="85" t="s">
        <v>7266</v>
      </c>
      <c r="E297" s="85" t="s">
        <v>7265</v>
      </c>
      <c r="F297" s="86" t="s">
        <v>119</v>
      </c>
      <c r="G297" s="83">
        <v>0</v>
      </c>
    </row>
    <row r="298" spans="1:7">
      <c r="A298" s="78" t="s">
        <v>6743</v>
      </c>
      <c r="B298" s="78">
        <v>607</v>
      </c>
      <c r="C298" s="79">
        <v>0</v>
      </c>
      <c r="D298" s="85" t="s">
        <v>7268</v>
      </c>
      <c r="E298" s="85" t="s">
        <v>7267</v>
      </c>
      <c r="F298" s="86" t="s">
        <v>5135</v>
      </c>
      <c r="G298" s="83" t="s">
        <v>6796</v>
      </c>
    </row>
    <row r="299" spans="1:7">
      <c r="A299" s="78" t="s">
        <v>6743</v>
      </c>
      <c r="B299" s="78">
        <v>616</v>
      </c>
      <c r="C299" s="79">
        <v>0</v>
      </c>
      <c r="D299" s="85" t="s">
        <v>7270</v>
      </c>
      <c r="E299" s="85" t="s">
        <v>7269</v>
      </c>
      <c r="F299" s="86" t="s">
        <v>5135</v>
      </c>
      <c r="G299" s="83" t="s">
        <v>6796</v>
      </c>
    </row>
    <row r="300" spans="1:7">
      <c r="A300" s="78" t="s">
        <v>6743</v>
      </c>
      <c r="B300" s="78">
        <v>625</v>
      </c>
      <c r="C300" s="79">
        <v>0</v>
      </c>
      <c r="D300" s="85" t="s">
        <v>7272</v>
      </c>
      <c r="E300" s="85" t="s">
        <v>7271</v>
      </c>
      <c r="F300" s="86" t="s">
        <v>119</v>
      </c>
      <c r="G300" s="83">
        <v>0</v>
      </c>
    </row>
    <row r="301" spans="1:7">
      <c r="A301" s="78" t="s">
        <v>6743</v>
      </c>
      <c r="B301" s="78">
        <v>634</v>
      </c>
      <c r="C301" s="79">
        <v>0</v>
      </c>
      <c r="D301" s="85" t="s">
        <v>7274</v>
      </c>
      <c r="E301" s="85" t="s">
        <v>7273</v>
      </c>
      <c r="F301" s="86" t="s">
        <v>119</v>
      </c>
      <c r="G301" s="83" t="s">
        <v>6796</v>
      </c>
    </row>
    <row r="302" spans="1:7">
      <c r="A302" s="78" t="s">
        <v>6743</v>
      </c>
      <c r="B302" s="78">
        <v>643</v>
      </c>
      <c r="C302" s="79">
        <v>0</v>
      </c>
      <c r="D302" s="85" t="s">
        <v>1233</v>
      </c>
      <c r="E302" s="84" t="s">
        <v>7275</v>
      </c>
      <c r="F302" s="86" t="s">
        <v>4899</v>
      </c>
      <c r="G302" s="83">
        <v>0</v>
      </c>
    </row>
    <row r="303" spans="1:7">
      <c r="A303" s="78" t="s">
        <v>6743</v>
      </c>
      <c r="B303" s="78">
        <v>652</v>
      </c>
      <c r="C303" s="79">
        <v>0</v>
      </c>
      <c r="D303" s="85" t="s">
        <v>7277</v>
      </c>
      <c r="E303" s="84" t="s">
        <v>7276</v>
      </c>
      <c r="F303" s="86" t="s">
        <v>7278</v>
      </c>
      <c r="G303" s="83">
        <v>0</v>
      </c>
    </row>
    <row r="304" spans="1:7">
      <c r="A304" s="78" t="s">
        <v>6743</v>
      </c>
      <c r="B304" s="78">
        <v>661</v>
      </c>
      <c r="C304" s="79">
        <v>0</v>
      </c>
      <c r="D304" s="85" t="s">
        <v>7280</v>
      </c>
      <c r="E304" s="84" t="s">
        <v>7279</v>
      </c>
      <c r="F304" s="86" t="s">
        <v>4943</v>
      </c>
      <c r="G304" s="83">
        <v>0</v>
      </c>
    </row>
    <row r="305" spans="1:7">
      <c r="A305" s="78" t="s">
        <v>6743</v>
      </c>
      <c r="B305" s="78">
        <v>670</v>
      </c>
      <c r="C305" s="79" t="s">
        <v>6755</v>
      </c>
      <c r="D305" s="85" t="s">
        <v>7282</v>
      </c>
      <c r="E305" s="84" t="s">
        <v>7281</v>
      </c>
      <c r="F305" s="86" t="s">
        <v>5687</v>
      </c>
      <c r="G305" s="83">
        <v>0</v>
      </c>
    </row>
    <row r="306" spans="1:7">
      <c r="A306" s="78" t="s">
        <v>6743</v>
      </c>
      <c r="B306" s="78">
        <v>679</v>
      </c>
      <c r="C306" s="79" t="s">
        <v>6768</v>
      </c>
      <c r="D306" s="85" t="s">
        <v>6498</v>
      </c>
      <c r="E306" s="84" t="s">
        <v>6497</v>
      </c>
      <c r="F306" s="86" t="s">
        <v>6303</v>
      </c>
      <c r="G306" s="83">
        <v>0</v>
      </c>
    </row>
    <row r="307" spans="1:7">
      <c r="A307" s="78" t="s">
        <v>6743</v>
      </c>
      <c r="B307" s="78">
        <v>688</v>
      </c>
      <c r="C307" s="79" t="s">
        <v>6768</v>
      </c>
      <c r="D307" s="85" t="s">
        <v>7284</v>
      </c>
      <c r="E307" s="84" t="s">
        <v>7283</v>
      </c>
      <c r="F307" s="86" t="s">
        <v>7018</v>
      </c>
      <c r="G307" s="83">
        <v>0</v>
      </c>
    </row>
    <row r="308" spans="1:7">
      <c r="A308" s="90" t="s">
        <v>6743</v>
      </c>
      <c r="B308" s="90">
        <v>27</v>
      </c>
      <c r="C308" s="91" t="s">
        <v>6782</v>
      </c>
      <c r="D308" s="103" t="s">
        <v>7286</v>
      </c>
      <c r="E308" s="110" t="s">
        <v>7285</v>
      </c>
      <c r="F308" s="104" t="s">
        <v>6897</v>
      </c>
      <c r="G308" s="95">
        <v>969391</v>
      </c>
    </row>
    <row r="309" spans="1:7">
      <c r="A309" s="96" t="s">
        <v>6743</v>
      </c>
      <c r="B309" s="96">
        <v>36</v>
      </c>
      <c r="C309" s="97">
        <v>0</v>
      </c>
      <c r="D309" s="99" t="s">
        <v>5119</v>
      </c>
      <c r="E309" s="98" t="s">
        <v>5118</v>
      </c>
      <c r="F309" s="100" t="s">
        <v>5120</v>
      </c>
      <c r="G309" s="101">
        <v>722246</v>
      </c>
    </row>
    <row r="310" spans="1:7">
      <c r="A310" s="78" t="s">
        <v>6743</v>
      </c>
      <c r="B310" s="78">
        <v>45</v>
      </c>
      <c r="C310" s="79">
        <v>0</v>
      </c>
      <c r="D310" s="85" t="s">
        <v>5726</v>
      </c>
      <c r="E310" s="84" t="s">
        <v>5725</v>
      </c>
      <c r="F310" s="86" t="s">
        <v>5724</v>
      </c>
      <c r="G310" s="83">
        <v>483856</v>
      </c>
    </row>
    <row r="311" spans="1:7">
      <c r="A311" s="78" t="s">
        <v>6743</v>
      </c>
      <c r="B311" s="78">
        <v>54</v>
      </c>
      <c r="C311" s="79">
        <v>0</v>
      </c>
      <c r="D311" s="85" t="s">
        <v>5487</v>
      </c>
      <c r="E311" s="84" t="s">
        <v>5486</v>
      </c>
      <c r="F311" s="86" t="s">
        <v>5427</v>
      </c>
      <c r="G311" s="83">
        <v>451090</v>
      </c>
    </row>
    <row r="312" spans="1:7">
      <c r="A312" s="78" t="s">
        <v>6743</v>
      </c>
      <c r="B312" s="78">
        <v>63</v>
      </c>
      <c r="C312" s="79">
        <v>0</v>
      </c>
      <c r="D312" s="85" t="s">
        <v>5472</v>
      </c>
      <c r="E312" s="85" t="s">
        <v>5471</v>
      </c>
      <c r="F312" s="86" t="s">
        <v>5424</v>
      </c>
      <c r="G312" s="83">
        <v>389631</v>
      </c>
    </row>
    <row r="313" spans="1:7">
      <c r="A313" s="78" t="s">
        <v>6743</v>
      </c>
      <c r="B313" s="78">
        <v>72</v>
      </c>
      <c r="C313" s="79">
        <v>0</v>
      </c>
      <c r="D313" s="85" t="s">
        <v>5134</v>
      </c>
      <c r="E313" s="84" t="s">
        <v>5133</v>
      </c>
      <c r="F313" s="86" t="s">
        <v>5135</v>
      </c>
      <c r="G313" s="83">
        <v>317914</v>
      </c>
    </row>
    <row r="314" spans="1:7">
      <c r="A314" s="78" t="s">
        <v>6743</v>
      </c>
      <c r="B314" s="78">
        <v>81</v>
      </c>
      <c r="C314" s="79" t="s">
        <v>6746</v>
      </c>
      <c r="D314" s="85" t="s">
        <v>6043</v>
      </c>
      <c r="E314" s="84" t="s">
        <v>6042</v>
      </c>
      <c r="F314" s="86" t="s">
        <v>119</v>
      </c>
      <c r="G314" s="83">
        <v>292502</v>
      </c>
    </row>
    <row r="315" spans="1:7">
      <c r="A315" s="78" t="s">
        <v>6743</v>
      </c>
      <c r="B315" s="78">
        <v>90</v>
      </c>
      <c r="C315" s="79">
        <v>0</v>
      </c>
      <c r="D315" s="85" t="s">
        <v>5608</v>
      </c>
      <c r="E315" s="84" t="s">
        <v>5607</v>
      </c>
      <c r="F315" s="86" t="s">
        <v>5609</v>
      </c>
      <c r="G315" s="83">
        <v>240287</v>
      </c>
    </row>
    <row r="316" spans="1:7">
      <c r="A316" s="78" t="s">
        <v>6743</v>
      </c>
      <c r="B316" s="78">
        <v>99</v>
      </c>
      <c r="C316" s="79">
        <v>0</v>
      </c>
      <c r="D316" s="85" t="s">
        <v>5653</v>
      </c>
      <c r="E316" s="84" t="s">
        <v>5652</v>
      </c>
      <c r="F316" s="86" t="s">
        <v>5654</v>
      </c>
      <c r="G316" s="83">
        <v>195302</v>
      </c>
    </row>
    <row r="317" spans="1:7">
      <c r="A317" s="78" t="s">
        <v>6743</v>
      </c>
      <c r="B317" s="78">
        <v>108</v>
      </c>
      <c r="C317" s="79">
        <v>0</v>
      </c>
      <c r="D317" s="85" t="s">
        <v>5824</v>
      </c>
      <c r="E317" s="84" t="s">
        <v>5823</v>
      </c>
      <c r="F317" s="86" t="s">
        <v>7287</v>
      </c>
      <c r="G317" s="83">
        <v>180679</v>
      </c>
    </row>
    <row r="318" spans="1:7">
      <c r="A318" s="78" t="s">
        <v>6743</v>
      </c>
      <c r="B318" s="78">
        <v>117</v>
      </c>
      <c r="C318" s="79">
        <v>0</v>
      </c>
      <c r="D318" s="85" t="s">
        <v>5753</v>
      </c>
      <c r="E318" s="84" t="s">
        <v>5752</v>
      </c>
      <c r="F318" s="86" t="s">
        <v>5687</v>
      </c>
      <c r="G318" s="83">
        <v>158348</v>
      </c>
    </row>
    <row r="319" spans="1:7">
      <c r="A319" s="78" t="s">
        <v>6743</v>
      </c>
      <c r="B319" s="78">
        <v>126</v>
      </c>
      <c r="C319" s="79">
        <v>0</v>
      </c>
      <c r="D319" s="85" t="s">
        <v>5749</v>
      </c>
      <c r="E319" s="84" t="s">
        <v>5748</v>
      </c>
      <c r="F319" s="86" t="s">
        <v>5687</v>
      </c>
      <c r="G319" s="83">
        <v>148928</v>
      </c>
    </row>
    <row r="320" spans="1:7">
      <c r="A320" s="78" t="s">
        <v>6743</v>
      </c>
      <c r="B320" s="78">
        <v>135</v>
      </c>
      <c r="C320" s="79">
        <v>0</v>
      </c>
      <c r="D320" s="85" t="s">
        <v>5803</v>
      </c>
      <c r="E320" s="84" t="s">
        <v>5802</v>
      </c>
      <c r="F320" s="86" t="s">
        <v>7026</v>
      </c>
      <c r="G320" s="83">
        <v>141019</v>
      </c>
    </row>
    <row r="321" spans="1:7">
      <c r="A321" s="78" t="s">
        <v>6743</v>
      </c>
      <c r="B321" s="78">
        <v>144</v>
      </c>
      <c r="C321" s="79" t="s">
        <v>6755</v>
      </c>
      <c r="D321" s="85" t="s">
        <v>6172</v>
      </c>
      <c r="E321" s="84" t="s">
        <v>6171</v>
      </c>
      <c r="F321" s="86" t="s">
        <v>5125</v>
      </c>
      <c r="G321" s="83">
        <v>128107</v>
      </c>
    </row>
    <row r="322" spans="1:7">
      <c r="A322" s="78" t="s">
        <v>6743</v>
      </c>
      <c r="B322" s="78">
        <v>153</v>
      </c>
      <c r="C322" s="79" t="s">
        <v>6758</v>
      </c>
      <c r="D322" s="88" t="s">
        <v>7289</v>
      </c>
      <c r="E322" s="87" t="s">
        <v>7288</v>
      </c>
      <c r="F322" s="89" t="s">
        <v>7022</v>
      </c>
      <c r="G322" s="83">
        <v>105971</v>
      </c>
    </row>
    <row r="323" spans="1:7">
      <c r="A323" s="78" t="s">
        <v>6743</v>
      </c>
      <c r="B323" s="78">
        <v>162</v>
      </c>
      <c r="C323" s="79" t="s">
        <v>6898</v>
      </c>
      <c r="D323" s="88" t="s">
        <v>6580</v>
      </c>
      <c r="E323" s="87" t="s">
        <v>6579</v>
      </c>
      <c r="F323" s="89" t="s">
        <v>5226</v>
      </c>
      <c r="G323" s="83">
        <v>93482</v>
      </c>
    </row>
    <row r="324" spans="1:7">
      <c r="A324" s="78" t="s">
        <v>6743</v>
      </c>
      <c r="B324" s="78">
        <v>171</v>
      </c>
      <c r="C324" s="79" t="s">
        <v>6745</v>
      </c>
      <c r="D324" s="81" t="s">
        <v>6160</v>
      </c>
      <c r="E324" s="80" t="s">
        <v>6159</v>
      </c>
      <c r="F324" s="82" t="s">
        <v>5135</v>
      </c>
      <c r="G324" s="83">
        <v>86176</v>
      </c>
    </row>
    <row r="325" spans="1:7">
      <c r="A325" s="78" t="s">
        <v>6743</v>
      </c>
      <c r="B325" s="78">
        <v>180</v>
      </c>
      <c r="C325" s="79" t="s">
        <v>6745</v>
      </c>
      <c r="D325" s="81" t="s">
        <v>5257</v>
      </c>
      <c r="E325" s="80" t="s">
        <v>5256</v>
      </c>
      <c r="F325" s="82" t="s">
        <v>6082</v>
      </c>
      <c r="G325" s="83">
        <v>74772</v>
      </c>
    </row>
    <row r="326" spans="1:7">
      <c r="A326" s="78" t="s">
        <v>6743</v>
      </c>
      <c r="B326" s="78">
        <v>189</v>
      </c>
      <c r="C326" s="79" t="s">
        <v>6755</v>
      </c>
      <c r="D326" s="85" t="s">
        <v>5968</v>
      </c>
      <c r="E326" s="84" t="s">
        <v>5967</v>
      </c>
      <c r="F326" s="86" t="s">
        <v>5704</v>
      </c>
      <c r="G326" s="83">
        <v>67718</v>
      </c>
    </row>
    <row r="327" spans="1:7">
      <c r="A327" s="78" t="s">
        <v>6743</v>
      </c>
      <c r="B327" s="78">
        <v>198</v>
      </c>
      <c r="C327" s="79" t="s">
        <v>6745</v>
      </c>
      <c r="D327" s="81" t="s">
        <v>7290</v>
      </c>
      <c r="E327" s="80" t="s">
        <v>6482</v>
      </c>
      <c r="F327" s="82" t="s">
        <v>6272</v>
      </c>
      <c r="G327" s="83">
        <v>53018</v>
      </c>
    </row>
    <row r="328" spans="1:7">
      <c r="A328" s="78" t="s">
        <v>6743</v>
      </c>
      <c r="B328" s="78">
        <v>207</v>
      </c>
      <c r="C328" s="79" t="s">
        <v>6745</v>
      </c>
      <c r="D328" s="81" t="s">
        <v>7291</v>
      </c>
      <c r="E328" s="80" t="s">
        <v>5280</v>
      </c>
      <c r="F328" s="82" t="s">
        <v>5219</v>
      </c>
      <c r="G328" s="83">
        <v>42541</v>
      </c>
    </row>
    <row r="329" spans="1:7">
      <c r="A329" s="78" t="s">
        <v>6743</v>
      </c>
      <c r="B329" s="78">
        <v>216</v>
      </c>
      <c r="C329" s="79" t="s">
        <v>7032</v>
      </c>
      <c r="D329" s="81" t="s">
        <v>7293</v>
      </c>
      <c r="E329" s="80" t="s">
        <v>7292</v>
      </c>
      <c r="F329" s="82" t="s">
        <v>5125</v>
      </c>
      <c r="G329" s="83">
        <v>35341</v>
      </c>
    </row>
    <row r="330" spans="1:7">
      <c r="A330" s="78" t="s">
        <v>6743</v>
      </c>
      <c r="B330" s="78">
        <v>225</v>
      </c>
      <c r="C330" s="79" t="s">
        <v>6768</v>
      </c>
      <c r="D330" s="85" t="s">
        <v>5951</v>
      </c>
      <c r="E330" s="84" t="s">
        <v>5950</v>
      </c>
      <c r="F330" s="86" t="s">
        <v>5687</v>
      </c>
      <c r="G330" s="83">
        <v>32159</v>
      </c>
    </row>
    <row r="331" spans="1:7">
      <c r="A331" s="78" t="s">
        <v>6743</v>
      </c>
      <c r="B331" s="78">
        <v>234</v>
      </c>
      <c r="C331" s="79" t="s">
        <v>6768</v>
      </c>
      <c r="D331" s="85" t="s">
        <v>6395</v>
      </c>
      <c r="E331" s="84" t="s">
        <v>6394</v>
      </c>
      <c r="F331" s="86" t="s">
        <v>6396</v>
      </c>
      <c r="G331" s="83">
        <v>32159</v>
      </c>
    </row>
    <row r="332" spans="1:7">
      <c r="A332" s="78" t="s">
        <v>6743</v>
      </c>
      <c r="B332" s="78">
        <v>243</v>
      </c>
      <c r="C332" s="79">
        <v>0</v>
      </c>
      <c r="D332" s="85" t="s">
        <v>7295</v>
      </c>
      <c r="E332" s="85" t="s">
        <v>7294</v>
      </c>
      <c r="F332" s="86" t="s">
        <v>5135</v>
      </c>
      <c r="G332" s="83">
        <v>25223</v>
      </c>
    </row>
    <row r="333" spans="1:7">
      <c r="A333" s="78" t="s">
        <v>6743</v>
      </c>
      <c r="B333" s="78">
        <v>252</v>
      </c>
      <c r="C333" s="79">
        <v>0</v>
      </c>
      <c r="D333" s="85" t="s">
        <v>7297</v>
      </c>
      <c r="E333" s="85" t="s">
        <v>7296</v>
      </c>
      <c r="F333" s="86" t="s">
        <v>5138</v>
      </c>
      <c r="G333" s="83">
        <v>24415</v>
      </c>
    </row>
    <row r="334" spans="1:7">
      <c r="A334" s="78" t="s">
        <v>6743</v>
      </c>
      <c r="B334" s="78">
        <v>261</v>
      </c>
      <c r="C334" s="79" t="s">
        <v>6758</v>
      </c>
      <c r="D334" s="88" t="s">
        <v>7298</v>
      </c>
      <c r="E334" s="87" t="s">
        <v>9292</v>
      </c>
      <c r="F334" s="89" t="s">
        <v>5125</v>
      </c>
      <c r="G334" s="83">
        <v>16141</v>
      </c>
    </row>
    <row r="335" spans="1:7">
      <c r="A335" s="78" t="s">
        <v>6743</v>
      </c>
      <c r="B335" s="78">
        <v>270</v>
      </c>
      <c r="C335" s="79" t="s">
        <v>6779</v>
      </c>
      <c r="D335" s="85" t="s">
        <v>2093</v>
      </c>
      <c r="E335" s="84" t="s">
        <v>7299</v>
      </c>
      <c r="F335" s="86" t="s">
        <v>6237</v>
      </c>
      <c r="G335" s="83">
        <v>11109</v>
      </c>
    </row>
    <row r="336" spans="1:7">
      <c r="A336" s="78" t="s">
        <v>6743</v>
      </c>
      <c r="B336" s="78">
        <v>279</v>
      </c>
      <c r="C336" s="79" t="s">
        <v>6755</v>
      </c>
      <c r="D336" s="85" t="s">
        <v>6382</v>
      </c>
      <c r="E336" s="84" t="s">
        <v>6381</v>
      </c>
      <c r="F336" s="86" t="s">
        <v>5125</v>
      </c>
      <c r="G336" s="83">
        <v>10230</v>
      </c>
    </row>
    <row r="337" spans="1:7">
      <c r="A337" s="78" t="s">
        <v>6743</v>
      </c>
      <c r="B337" s="78">
        <v>288</v>
      </c>
      <c r="C337" s="79" t="s">
        <v>6782</v>
      </c>
      <c r="D337" s="85" t="s">
        <v>6072</v>
      </c>
      <c r="E337" s="84" t="s">
        <v>6071</v>
      </c>
      <c r="F337" s="86" t="s">
        <v>6067</v>
      </c>
      <c r="G337" s="83">
        <v>7794</v>
      </c>
    </row>
    <row r="338" spans="1:7">
      <c r="A338" s="78" t="s">
        <v>6743</v>
      </c>
      <c r="B338" s="78">
        <v>297</v>
      </c>
      <c r="C338" s="79">
        <v>0</v>
      </c>
      <c r="D338" s="85" t="s">
        <v>5809</v>
      </c>
      <c r="E338" s="84" t="s">
        <v>5808</v>
      </c>
      <c r="F338" s="86" t="s">
        <v>7026</v>
      </c>
      <c r="G338" s="83">
        <v>5653</v>
      </c>
    </row>
    <row r="339" spans="1:7">
      <c r="A339" s="78" t="s">
        <v>6743</v>
      </c>
      <c r="B339" s="78">
        <v>306</v>
      </c>
      <c r="C339" s="79" t="s">
        <v>7047</v>
      </c>
      <c r="D339" s="85" t="s">
        <v>7300</v>
      </c>
      <c r="E339" s="84" t="s">
        <v>5377</v>
      </c>
      <c r="F339" s="86" t="s">
        <v>5424</v>
      </c>
      <c r="G339" s="83">
        <v>1849</v>
      </c>
    </row>
    <row r="340" spans="1:7">
      <c r="A340" s="78" t="s">
        <v>6743</v>
      </c>
      <c r="B340" s="78">
        <v>315</v>
      </c>
      <c r="C340" s="102" t="s">
        <v>6786</v>
      </c>
      <c r="D340" s="85" t="s">
        <v>7302</v>
      </c>
      <c r="E340" s="85" t="s">
        <v>7301</v>
      </c>
      <c r="F340" s="86" t="s">
        <v>7303</v>
      </c>
      <c r="G340" s="83">
        <v>0</v>
      </c>
    </row>
    <row r="341" spans="1:7">
      <c r="A341" s="78" t="s">
        <v>6743</v>
      </c>
      <c r="B341" s="78">
        <v>324</v>
      </c>
      <c r="C341" s="79">
        <v>0</v>
      </c>
      <c r="D341" s="85" t="s">
        <v>7305</v>
      </c>
      <c r="E341" s="85" t="s">
        <v>7304</v>
      </c>
      <c r="F341" s="86" t="s">
        <v>7051</v>
      </c>
      <c r="G341" s="83" t="s">
        <v>6796</v>
      </c>
    </row>
    <row r="342" spans="1:7">
      <c r="A342" s="78" t="s">
        <v>6743</v>
      </c>
      <c r="B342" s="78">
        <v>333</v>
      </c>
      <c r="C342" s="79">
        <v>0</v>
      </c>
      <c r="D342" s="85" t="s">
        <v>7307</v>
      </c>
      <c r="E342" s="85" t="s">
        <v>7306</v>
      </c>
      <c r="F342" s="86" t="s">
        <v>6795</v>
      </c>
      <c r="G342" s="83" t="s">
        <v>6796</v>
      </c>
    </row>
    <row r="343" spans="1:7">
      <c r="A343" s="78" t="s">
        <v>6743</v>
      </c>
      <c r="B343" s="78">
        <v>342</v>
      </c>
      <c r="C343" s="79">
        <v>0</v>
      </c>
      <c r="D343" s="85" t="s">
        <v>7309</v>
      </c>
      <c r="E343" s="85" t="s">
        <v>7308</v>
      </c>
      <c r="F343" s="86" t="s">
        <v>7310</v>
      </c>
      <c r="G343" s="83" t="s">
        <v>6796</v>
      </c>
    </row>
    <row r="344" spans="1:7">
      <c r="A344" s="78" t="s">
        <v>6743</v>
      </c>
      <c r="B344" s="78">
        <v>351</v>
      </c>
      <c r="C344" s="79">
        <v>0</v>
      </c>
      <c r="D344" s="85" t="s">
        <v>7312</v>
      </c>
      <c r="E344" s="85" t="s">
        <v>7311</v>
      </c>
      <c r="F344" s="86" t="s">
        <v>7313</v>
      </c>
      <c r="G344" s="83" t="s">
        <v>6796</v>
      </c>
    </row>
    <row r="345" spans="1:7">
      <c r="A345" s="78" t="s">
        <v>6743</v>
      </c>
      <c r="B345" s="78">
        <v>360</v>
      </c>
      <c r="C345" s="79">
        <v>0</v>
      </c>
      <c r="D345" s="85" t="s">
        <v>7315</v>
      </c>
      <c r="E345" s="85" t="s">
        <v>7314</v>
      </c>
      <c r="F345" s="86" t="s">
        <v>7011</v>
      </c>
      <c r="G345" s="83">
        <v>0</v>
      </c>
    </row>
    <row r="346" spans="1:7">
      <c r="A346" s="78" t="s">
        <v>6743</v>
      </c>
      <c r="B346" s="78">
        <v>369</v>
      </c>
      <c r="C346" s="79">
        <v>0</v>
      </c>
      <c r="D346" s="85" t="s">
        <v>7317</v>
      </c>
      <c r="E346" s="85" t="s">
        <v>7316</v>
      </c>
      <c r="F346" s="86" t="s">
        <v>5125</v>
      </c>
      <c r="G346" s="83" t="s">
        <v>6796</v>
      </c>
    </row>
    <row r="347" spans="1:7">
      <c r="A347" s="78" t="s">
        <v>6743</v>
      </c>
      <c r="B347" s="78">
        <v>378</v>
      </c>
      <c r="C347" s="102" t="s">
        <v>6786</v>
      </c>
      <c r="D347" s="85" t="s">
        <v>7319</v>
      </c>
      <c r="E347" s="85" t="s">
        <v>7318</v>
      </c>
      <c r="F347" s="86" t="s">
        <v>7320</v>
      </c>
      <c r="G347" s="83">
        <v>0</v>
      </c>
    </row>
    <row r="348" spans="1:7">
      <c r="A348" s="78" t="s">
        <v>6743</v>
      </c>
      <c r="B348" s="78">
        <v>387</v>
      </c>
      <c r="C348" s="79">
        <v>0</v>
      </c>
      <c r="D348" s="85" t="s">
        <v>7322</v>
      </c>
      <c r="E348" s="85" t="s">
        <v>7321</v>
      </c>
      <c r="F348" s="86" t="s">
        <v>7323</v>
      </c>
      <c r="G348" s="83">
        <v>0</v>
      </c>
    </row>
    <row r="349" spans="1:7">
      <c r="A349" s="78" t="s">
        <v>6743</v>
      </c>
      <c r="B349" s="78">
        <v>396</v>
      </c>
      <c r="C349" s="79">
        <v>0</v>
      </c>
      <c r="D349" s="85" t="s">
        <v>7325</v>
      </c>
      <c r="E349" s="85" t="s">
        <v>7324</v>
      </c>
      <c r="F349" s="86" t="s">
        <v>7326</v>
      </c>
      <c r="G349" s="83" t="s">
        <v>6796</v>
      </c>
    </row>
    <row r="350" spans="1:7">
      <c r="A350" s="78" t="s">
        <v>6743</v>
      </c>
      <c r="B350" s="78">
        <v>405</v>
      </c>
      <c r="C350" s="79">
        <v>0</v>
      </c>
      <c r="D350" s="85" t="s">
        <v>7328</v>
      </c>
      <c r="E350" s="85" t="s">
        <v>7327</v>
      </c>
      <c r="F350" s="86" t="s">
        <v>7329</v>
      </c>
      <c r="G350" s="83" t="s">
        <v>6796</v>
      </c>
    </row>
    <row r="351" spans="1:7">
      <c r="A351" s="78" t="s">
        <v>6743</v>
      </c>
      <c r="B351" s="78">
        <v>414</v>
      </c>
      <c r="C351" s="79">
        <v>0</v>
      </c>
      <c r="D351" s="85" t="s">
        <v>7331</v>
      </c>
      <c r="E351" s="85" t="s">
        <v>7330</v>
      </c>
      <c r="F351" s="86" t="s">
        <v>7332</v>
      </c>
      <c r="G351" s="83" t="s">
        <v>6796</v>
      </c>
    </row>
    <row r="352" spans="1:7">
      <c r="A352" s="78" t="s">
        <v>6743</v>
      </c>
      <c r="B352" s="78">
        <v>423</v>
      </c>
      <c r="C352" s="79">
        <v>0</v>
      </c>
      <c r="D352" s="85" t="s">
        <v>7334</v>
      </c>
      <c r="E352" s="85" t="s">
        <v>7333</v>
      </c>
      <c r="F352" s="86" t="s">
        <v>7335</v>
      </c>
      <c r="G352" s="83" t="s">
        <v>6796</v>
      </c>
    </row>
    <row r="353" spans="1:7">
      <c r="A353" s="78" t="s">
        <v>6743</v>
      </c>
      <c r="B353" s="78">
        <v>432</v>
      </c>
      <c r="C353" s="79">
        <v>0</v>
      </c>
      <c r="D353" s="85" t="s">
        <v>7337</v>
      </c>
      <c r="E353" s="85" t="s">
        <v>7336</v>
      </c>
      <c r="F353" s="86" t="s">
        <v>7338</v>
      </c>
      <c r="G353" s="83">
        <v>0</v>
      </c>
    </row>
    <row r="354" spans="1:7">
      <c r="A354" s="78" t="s">
        <v>6743</v>
      </c>
      <c r="B354" s="78">
        <v>441</v>
      </c>
      <c r="C354" s="79">
        <v>0</v>
      </c>
      <c r="D354" s="85" t="s">
        <v>7340</v>
      </c>
      <c r="E354" s="85" t="s">
        <v>7339</v>
      </c>
      <c r="F354" s="86" t="s">
        <v>6830</v>
      </c>
      <c r="G354" s="83">
        <v>0</v>
      </c>
    </row>
    <row r="355" spans="1:7">
      <c r="A355" s="78" t="s">
        <v>6743</v>
      </c>
      <c r="B355" s="78">
        <v>450</v>
      </c>
      <c r="C355" s="102" t="s">
        <v>6786</v>
      </c>
      <c r="D355" s="85" t="s">
        <v>7342</v>
      </c>
      <c r="E355" s="85" t="s">
        <v>7341</v>
      </c>
      <c r="F355" s="86" t="s">
        <v>7343</v>
      </c>
      <c r="G355" s="83">
        <v>0</v>
      </c>
    </row>
    <row r="356" spans="1:7">
      <c r="A356" s="78" t="s">
        <v>6743</v>
      </c>
      <c r="B356" s="78">
        <v>459</v>
      </c>
      <c r="C356" s="102" t="s">
        <v>6786</v>
      </c>
      <c r="D356" s="85" t="s">
        <v>7345</v>
      </c>
      <c r="E356" s="85" t="s">
        <v>7344</v>
      </c>
      <c r="F356" s="86" t="s">
        <v>7346</v>
      </c>
      <c r="G356" s="83" t="s">
        <v>6796</v>
      </c>
    </row>
    <row r="357" spans="1:7">
      <c r="A357" s="78" t="s">
        <v>6743</v>
      </c>
      <c r="B357" s="78">
        <v>468</v>
      </c>
      <c r="C357" s="102" t="s">
        <v>6786</v>
      </c>
      <c r="D357" s="85" t="s">
        <v>7348</v>
      </c>
      <c r="E357" s="85" t="s">
        <v>7347</v>
      </c>
      <c r="F357" s="86" t="s">
        <v>7349</v>
      </c>
      <c r="G357" s="83">
        <v>0</v>
      </c>
    </row>
    <row r="358" spans="1:7">
      <c r="A358" s="78" t="s">
        <v>6743</v>
      </c>
      <c r="B358" s="78">
        <v>477</v>
      </c>
      <c r="C358" s="102" t="s">
        <v>6786</v>
      </c>
      <c r="D358" s="85" t="s">
        <v>7351</v>
      </c>
      <c r="E358" s="85" t="s">
        <v>7350</v>
      </c>
      <c r="F358" s="86" t="s">
        <v>7352</v>
      </c>
      <c r="G358" s="83">
        <v>0</v>
      </c>
    </row>
    <row r="359" spans="1:7">
      <c r="A359" s="78" t="s">
        <v>6743</v>
      </c>
      <c r="B359" s="78">
        <v>486</v>
      </c>
      <c r="C359" s="79">
        <v>0</v>
      </c>
      <c r="D359" s="85" t="s">
        <v>7354</v>
      </c>
      <c r="E359" s="85" t="s">
        <v>7353</v>
      </c>
      <c r="F359" s="86" t="s">
        <v>7355</v>
      </c>
      <c r="G359" s="83">
        <v>0</v>
      </c>
    </row>
    <row r="360" spans="1:7">
      <c r="A360" s="78" t="s">
        <v>6743</v>
      </c>
      <c r="B360" s="78">
        <v>495</v>
      </c>
      <c r="C360" s="79">
        <v>0</v>
      </c>
      <c r="D360" s="85" t="s">
        <v>7357</v>
      </c>
      <c r="E360" s="85" t="s">
        <v>7356</v>
      </c>
      <c r="F360" s="86" t="s">
        <v>7358</v>
      </c>
      <c r="G360" s="83" t="s">
        <v>6796</v>
      </c>
    </row>
    <row r="361" spans="1:7">
      <c r="A361" s="78" t="s">
        <v>6743</v>
      </c>
      <c r="B361" s="78">
        <v>504</v>
      </c>
      <c r="C361" s="79">
        <v>0</v>
      </c>
      <c r="D361" s="85" t="s">
        <v>7360</v>
      </c>
      <c r="E361" s="85" t="s">
        <v>7359</v>
      </c>
      <c r="F361" s="86" t="s">
        <v>7361</v>
      </c>
      <c r="G361" s="83">
        <v>0</v>
      </c>
    </row>
    <row r="362" spans="1:7">
      <c r="A362" s="78" t="s">
        <v>6743</v>
      </c>
      <c r="B362" s="78">
        <v>513</v>
      </c>
      <c r="C362" s="102" t="s">
        <v>6786</v>
      </c>
      <c r="D362" s="85" t="s">
        <v>7363</v>
      </c>
      <c r="E362" s="85" t="s">
        <v>7362</v>
      </c>
      <c r="F362" s="86" t="s">
        <v>119</v>
      </c>
      <c r="G362" s="83">
        <v>0</v>
      </c>
    </row>
    <row r="363" spans="1:7">
      <c r="A363" s="78" t="s">
        <v>6743</v>
      </c>
      <c r="B363" s="78">
        <v>522</v>
      </c>
      <c r="C363" s="79">
        <v>0</v>
      </c>
      <c r="D363" s="85" t="s">
        <v>7365</v>
      </c>
      <c r="E363" s="85" t="s">
        <v>7364</v>
      </c>
      <c r="F363" s="86" t="s">
        <v>5125</v>
      </c>
      <c r="G363" s="83" t="s">
        <v>6796</v>
      </c>
    </row>
    <row r="364" spans="1:7">
      <c r="A364" s="78" t="s">
        <v>6743</v>
      </c>
      <c r="B364" s="78">
        <v>531</v>
      </c>
      <c r="C364" s="79">
        <v>0</v>
      </c>
      <c r="D364" s="85" t="s">
        <v>7367</v>
      </c>
      <c r="E364" s="85" t="s">
        <v>7366</v>
      </c>
      <c r="F364" s="86" t="s">
        <v>5138</v>
      </c>
      <c r="G364" s="83" t="s">
        <v>6796</v>
      </c>
    </row>
    <row r="365" spans="1:7">
      <c r="A365" s="78" t="s">
        <v>6743</v>
      </c>
      <c r="B365" s="78">
        <v>540</v>
      </c>
      <c r="C365" s="79">
        <v>0</v>
      </c>
      <c r="D365" s="85" t="s">
        <v>7369</v>
      </c>
      <c r="E365" s="85" t="s">
        <v>7368</v>
      </c>
      <c r="F365" s="86" t="s">
        <v>5704</v>
      </c>
      <c r="G365" s="83">
        <v>0</v>
      </c>
    </row>
    <row r="366" spans="1:7">
      <c r="A366" s="78" t="s">
        <v>6743</v>
      </c>
      <c r="B366" s="78">
        <v>549</v>
      </c>
      <c r="C366" s="79">
        <v>0</v>
      </c>
      <c r="D366" s="85" t="s">
        <v>7371</v>
      </c>
      <c r="E366" s="85" t="s">
        <v>7370</v>
      </c>
      <c r="F366" s="86" t="s">
        <v>7256</v>
      </c>
      <c r="G366" s="83">
        <v>0</v>
      </c>
    </row>
    <row r="367" spans="1:7">
      <c r="A367" s="78" t="s">
        <v>6743</v>
      </c>
      <c r="B367" s="78">
        <v>558</v>
      </c>
      <c r="C367" s="79">
        <v>0</v>
      </c>
      <c r="D367" s="85" t="s">
        <v>7373</v>
      </c>
      <c r="E367" s="85" t="s">
        <v>7372</v>
      </c>
      <c r="F367" s="86" t="s">
        <v>5427</v>
      </c>
      <c r="G367" s="83">
        <v>0</v>
      </c>
    </row>
    <row r="368" spans="1:7">
      <c r="A368" s="78" t="s">
        <v>6743</v>
      </c>
      <c r="B368" s="78">
        <v>567</v>
      </c>
      <c r="C368" s="79">
        <v>0</v>
      </c>
      <c r="D368" s="85" t="s">
        <v>7375</v>
      </c>
      <c r="E368" s="85" t="s">
        <v>7374</v>
      </c>
      <c r="F368" s="86" t="s">
        <v>7376</v>
      </c>
      <c r="G368" s="83">
        <v>0</v>
      </c>
    </row>
    <row r="369" spans="1:7">
      <c r="A369" s="78" t="s">
        <v>6743</v>
      </c>
      <c r="B369" s="78">
        <v>576</v>
      </c>
      <c r="C369" s="79">
        <v>0</v>
      </c>
      <c r="D369" s="85" t="s">
        <v>7378</v>
      </c>
      <c r="E369" s="85" t="s">
        <v>7377</v>
      </c>
      <c r="F369" s="86" t="s">
        <v>5135</v>
      </c>
      <c r="G369" s="83">
        <v>0</v>
      </c>
    </row>
    <row r="370" spans="1:7">
      <c r="A370" s="78" t="s">
        <v>6743</v>
      </c>
      <c r="B370" s="78">
        <v>585</v>
      </c>
      <c r="C370" s="102" t="s">
        <v>6786</v>
      </c>
      <c r="D370" s="85" t="s">
        <v>7380</v>
      </c>
      <c r="E370" s="85" t="s">
        <v>7379</v>
      </c>
      <c r="F370" s="86" t="s">
        <v>119</v>
      </c>
      <c r="G370" s="83">
        <v>0</v>
      </c>
    </row>
    <row r="371" spans="1:7">
      <c r="A371" s="78" t="s">
        <v>6743</v>
      </c>
      <c r="B371" s="78">
        <v>594</v>
      </c>
      <c r="C371" s="102" t="s">
        <v>6786</v>
      </c>
      <c r="D371" s="85" t="s">
        <v>7382</v>
      </c>
      <c r="E371" s="85" t="s">
        <v>7381</v>
      </c>
      <c r="F371" s="86" t="s">
        <v>119</v>
      </c>
      <c r="G371" s="83">
        <v>0</v>
      </c>
    </row>
    <row r="372" spans="1:7">
      <c r="A372" s="78" t="s">
        <v>6743</v>
      </c>
      <c r="B372" s="78">
        <v>603</v>
      </c>
      <c r="C372" s="79">
        <v>0</v>
      </c>
      <c r="D372" s="85" t="s">
        <v>7384</v>
      </c>
      <c r="E372" s="85" t="s">
        <v>7383</v>
      </c>
      <c r="F372" s="86" t="s">
        <v>5125</v>
      </c>
      <c r="G372" s="83">
        <v>0</v>
      </c>
    </row>
    <row r="373" spans="1:7">
      <c r="A373" s="78" t="s">
        <v>6743</v>
      </c>
      <c r="B373" s="78">
        <v>612</v>
      </c>
      <c r="C373" s="79">
        <v>0</v>
      </c>
      <c r="D373" s="85" t="s">
        <v>7386</v>
      </c>
      <c r="E373" s="85" t="s">
        <v>7385</v>
      </c>
      <c r="F373" s="86" t="s">
        <v>5135</v>
      </c>
      <c r="G373" s="83">
        <v>0</v>
      </c>
    </row>
    <row r="374" spans="1:7">
      <c r="A374" s="78" t="s">
        <v>6743</v>
      </c>
      <c r="B374" s="78">
        <v>621</v>
      </c>
      <c r="C374" s="79">
        <v>0</v>
      </c>
      <c r="D374" s="85" t="s">
        <v>7388</v>
      </c>
      <c r="E374" s="85" t="s">
        <v>7387</v>
      </c>
      <c r="F374" s="86" t="s">
        <v>5125</v>
      </c>
      <c r="G374" s="83">
        <v>0</v>
      </c>
    </row>
    <row r="375" spans="1:7">
      <c r="A375" s="78" t="s">
        <v>6743</v>
      </c>
      <c r="B375" s="78">
        <v>630</v>
      </c>
      <c r="C375" s="79">
        <v>0</v>
      </c>
      <c r="D375" s="85" t="s">
        <v>7390</v>
      </c>
      <c r="E375" s="85" t="s">
        <v>7389</v>
      </c>
      <c r="F375" s="86" t="s">
        <v>5125</v>
      </c>
      <c r="G375" s="83" t="s">
        <v>6796</v>
      </c>
    </row>
    <row r="376" spans="1:7">
      <c r="A376" s="78" t="s">
        <v>6743</v>
      </c>
      <c r="B376" s="78">
        <v>639</v>
      </c>
      <c r="C376" s="79">
        <v>0</v>
      </c>
      <c r="D376" s="85" t="s">
        <v>7392</v>
      </c>
      <c r="E376" s="85" t="s">
        <v>7391</v>
      </c>
      <c r="F376" s="86" t="s">
        <v>7393</v>
      </c>
      <c r="G376" s="83">
        <v>0</v>
      </c>
    </row>
    <row r="377" spans="1:7">
      <c r="A377" s="78" t="s">
        <v>6743</v>
      </c>
      <c r="B377" s="78">
        <v>648</v>
      </c>
      <c r="C377" s="79">
        <v>0</v>
      </c>
      <c r="D377" s="85" t="s">
        <v>7395</v>
      </c>
      <c r="E377" s="84" t="s">
        <v>7394</v>
      </c>
      <c r="F377" s="86" t="s">
        <v>7062</v>
      </c>
      <c r="G377" s="83">
        <v>0</v>
      </c>
    </row>
    <row r="378" spans="1:7">
      <c r="A378" s="78" t="s">
        <v>6743</v>
      </c>
      <c r="B378" s="78">
        <v>657</v>
      </c>
      <c r="C378" s="79">
        <v>0</v>
      </c>
      <c r="D378" s="85" t="s">
        <v>7397</v>
      </c>
      <c r="E378" s="84" t="s">
        <v>7396</v>
      </c>
      <c r="F378" s="86" t="s">
        <v>7398</v>
      </c>
      <c r="G378" s="83">
        <v>0</v>
      </c>
    </row>
    <row r="379" spans="1:7">
      <c r="A379" s="78" t="s">
        <v>6743</v>
      </c>
      <c r="B379" s="78">
        <v>666</v>
      </c>
      <c r="C379" s="79">
        <v>0</v>
      </c>
      <c r="D379" s="85" t="s">
        <v>7400</v>
      </c>
      <c r="E379" s="84" t="s">
        <v>7399</v>
      </c>
      <c r="F379" s="86" t="s">
        <v>7401</v>
      </c>
      <c r="G379" s="83" t="s">
        <v>6796</v>
      </c>
    </row>
    <row r="380" spans="1:7">
      <c r="A380" s="78" t="s">
        <v>6743</v>
      </c>
      <c r="B380" s="78">
        <v>675</v>
      </c>
      <c r="C380" s="79" t="s">
        <v>6755</v>
      </c>
      <c r="D380" s="85" t="s">
        <v>6181</v>
      </c>
      <c r="E380" s="84" t="s">
        <v>6180</v>
      </c>
      <c r="F380" s="86" t="s">
        <v>119</v>
      </c>
      <c r="G380" s="83">
        <v>0</v>
      </c>
    </row>
    <row r="381" spans="1:7">
      <c r="A381" s="78" t="s">
        <v>6743</v>
      </c>
      <c r="B381" s="78">
        <v>684</v>
      </c>
      <c r="C381" s="79" t="s">
        <v>6768</v>
      </c>
      <c r="D381" s="85" t="s">
        <v>7403</v>
      </c>
      <c r="E381" s="84" t="s">
        <v>7402</v>
      </c>
      <c r="F381" s="86" t="s">
        <v>5452</v>
      </c>
      <c r="G381" s="83">
        <v>0</v>
      </c>
    </row>
    <row r="382" spans="1:7">
      <c r="A382" s="78" t="s">
        <v>6743</v>
      </c>
      <c r="B382" s="78">
        <v>693</v>
      </c>
      <c r="C382" s="79" t="s">
        <v>6746</v>
      </c>
      <c r="D382" s="85" t="s">
        <v>5940</v>
      </c>
      <c r="E382" s="84" t="s">
        <v>7404</v>
      </c>
      <c r="F382" s="86" t="s">
        <v>5687</v>
      </c>
      <c r="G382" s="83">
        <v>0</v>
      </c>
    </row>
    <row r="383" spans="1:7">
      <c r="A383" s="78" t="s">
        <v>6743</v>
      </c>
      <c r="B383" s="78">
        <v>24</v>
      </c>
      <c r="C383" s="79" t="s">
        <v>6746</v>
      </c>
      <c r="D383" s="85" t="s">
        <v>6060</v>
      </c>
      <c r="E383" s="84" t="s">
        <v>6059</v>
      </c>
      <c r="F383" s="86" t="s">
        <v>6058</v>
      </c>
      <c r="G383" s="83">
        <v>1338475</v>
      </c>
    </row>
    <row r="384" spans="1:7">
      <c r="A384" s="78" t="s">
        <v>6743</v>
      </c>
      <c r="B384" s="78">
        <v>33</v>
      </c>
      <c r="C384" s="79">
        <v>0</v>
      </c>
      <c r="D384" s="85" t="s">
        <v>5116</v>
      </c>
      <c r="E384" s="84" t="s">
        <v>5115</v>
      </c>
      <c r="F384" s="86" t="s">
        <v>5117</v>
      </c>
      <c r="G384" s="83">
        <v>750988</v>
      </c>
    </row>
    <row r="385" spans="1:7">
      <c r="A385" s="78" t="s">
        <v>6743</v>
      </c>
      <c r="B385" s="78">
        <v>42</v>
      </c>
      <c r="C385" s="79">
        <v>0</v>
      </c>
      <c r="D385" s="85" t="s">
        <v>5370</v>
      </c>
      <c r="E385" s="84" t="s">
        <v>5369</v>
      </c>
      <c r="F385" s="86" t="s">
        <v>5363</v>
      </c>
      <c r="G385" s="83">
        <v>575610</v>
      </c>
    </row>
    <row r="386" spans="1:7">
      <c r="A386" s="78" t="s">
        <v>6743</v>
      </c>
      <c r="B386" s="78">
        <v>51</v>
      </c>
      <c r="C386" s="79" t="s">
        <v>6745</v>
      </c>
      <c r="D386" s="81" t="s">
        <v>5245</v>
      </c>
      <c r="E386" s="80" t="s">
        <v>5244</v>
      </c>
      <c r="F386" s="82" t="s">
        <v>6757</v>
      </c>
      <c r="G386" s="83">
        <v>458814</v>
      </c>
    </row>
    <row r="387" spans="1:7">
      <c r="A387" s="78" t="s">
        <v>6743</v>
      </c>
      <c r="B387" s="78">
        <v>60</v>
      </c>
      <c r="C387" s="79">
        <v>0</v>
      </c>
      <c r="D387" s="85" t="s">
        <v>5693</v>
      </c>
      <c r="E387" s="84" t="s">
        <v>5692</v>
      </c>
      <c r="F387" s="86" t="s">
        <v>5694</v>
      </c>
      <c r="G387" s="83">
        <v>406358</v>
      </c>
    </row>
    <row r="388" spans="1:7">
      <c r="A388" s="78" t="s">
        <v>6743</v>
      </c>
      <c r="B388" s="78">
        <v>69</v>
      </c>
      <c r="C388" s="79" t="s">
        <v>6783</v>
      </c>
      <c r="D388" s="85" t="s">
        <v>7405</v>
      </c>
      <c r="E388" s="84" t="s">
        <v>5371</v>
      </c>
      <c r="F388" s="86" t="s">
        <v>5427</v>
      </c>
      <c r="G388" s="83">
        <v>344304</v>
      </c>
    </row>
    <row r="389" spans="1:7">
      <c r="A389" s="78" t="s">
        <v>6743</v>
      </c>
      <c r="B389" s="78">
        <v>78</v>
      </c>
      <c r="C389" s="79" t="s">
        <v>6746</v>
      </c>
      <c r="D389" s="85" t="s">
        <v>6039</v>
      </c>
      <c r="E389" s="84" t="s">
        <v>6038</v>
      </c>
      <c r="F389" s="86" t="s">
        <v>5125</v>
      </c>
      <c r="G389" s="83">
        <v>294764</v>
      </c>
    </row>
    <row r="390" spans="1:7">
      <c r="A390" s="78" t="s">
        <v>6743</v>
      </c>
      <c r="B390" s="78">
        <v>87</v>
      </c>
      <c r="C390" s="79">
        <v>0</v>
      </c>
      <c r="D390" s="85" t="s">
        <v>5635</v>
      </c>
      <c r="E390" s="84" t="s">
        <v>5634</v>
      </c>
      <c r="F390" s="86" t="s">
        <v>5636</v>
      </c>
      <c r="G390" s="83">
        <v>242581</v>
      </c>
    </row>
    <row r="391" spans="1:7">
      <c r="A391" s="78" t="s">
        <v>6743</v>
      </c>
      <c r="B391" s="78">
        <v>96</v>
      </c>
      <c r="C391" s="79">
        <v>0</v>
      </c>
      <c r="D391" s="85" t="s">
        <v>5555</v>
      </c>
      <c r="E391" s="84" t="s">
        <v>5554</v>
      </c>
      <c r="F391" s="86" t="s">
        <v>7406</v>
      </c>
      <c r="G391" s="83">
        <v>195673</v>
      </c>
    </row>
    <row r="392" spans="1:7">
      <c r="A392" s="78" t="s">
        <v>6743</v>
      </c>
      <c r="B392" s="78">
        <v>105</v>
      </c>
      <c r="C392" s="79">
        <v>0</v>
      </c>
      <c r="D392" s="85" t="s">
        <v>5530</v>
      </c>
      <c r="E392" s="84" t="s">
        <v>5529</v>
      </c>
      <c r="F392" s="86" t="s">
        <v>5531</v>
      </c>
      <c r="G392" s="83">
        <v>182691</v>
      </c>
    </row>
    <row r="393" spans="1:7">
      <c r="A393" s="78" t="s">
        <v>6743</v>
      </c>
      <c r="B393" s="78">
        <v>114</v>
      </c>
      <c r="C393" s="79" t="s">
        <v>6755</v>
      </c>
      <c r="D393" s="85" t="s">
        <v>7407</v>
      </c>
      <c r="E393" s="84" t="s">
        <v>6273</v>
      </c>
      <c r="F393" s="86" t="s">
        <v>6269</v>
      </c>
      <c r="G393" s="83">
        <v>160205</v>
      </c>
    </row>
    <row r="394" spans="1:7">
      <c r="A394" s="78" t="s">
        <v>6743</v>
      </c>
      <c r="B394" s="78">
        <v>123</v>
      </c>
      <c r="C394" s="79">
        <v>0</v>
      </c>
      <c r="D394" s="85" t="s">
        <v>5936</v>
      </c>
      <c r="E394" s="84" t="s">
        <v>5935</v>
      </c>
      <c r="F394" s="86" t="s">
        <v>5704</v>
      </c>
      <c r="G394" s="83">
        <v>151626</v>
      </c>
    </row>
    <row r="395" spans="1:7">
      <c r="A395" s="78" t="s">
        <v>6743</v>
      </c>
      <c r="B395" s="78">
        <v>132</v>
      </c>
      <c r="C395" s="79" t="s">
        <v>6755</v>
      </c>
      <c r="D395" s="85" t="s">
        <v>5966</v>
      </c>
      <c r="E395" s="84" t="s">
        <v>5965</v>
      </c>
      <c r="F395" s="86" t="s">
        <v>5687</v>
      </c>
      <c r="G395" s="83">
        <v>142874</v>
      </c>
    </row>
    <row r="396" spans="1:7">
      <c r="A396" s="78" t="s">
        <v>6743</v>
      </c>
      <c r="B396" s="78">
        <v>141</v>
      </c>
      <c r="C396" s="79" t="s">
        <v>6898</v>
      </c>
      <c r="D396" s="88" t="s">
        <v>6576</v>
      </c>
      <c r="E396" s="87" t="s">
        <v>6575</v>
      </c>
      <c r="F396" s="89" t="s">
        <v>5135</v>
      </c>
      <c r="G396" s="83">
        <v>136536</v>
      </c>
    </row>
    <row r="397" spans="1:7">
      <c r="A397" s="78" t="s">
        <v>6743</v>
      </c>
      <c r="B397" s="78">
        <v>150</v>
      </c>
      <c r="C397" s="79" t="s">
        <v>6746</v>
      </c>
      <c r="D397" s="85" t="s">
        <v>5942</v>
      </c>
      <c r="E397" s="84" t="s">
        <v>7408</v>
      </c>
      <c r="F397" s="86" t="s">
        <v>5704</v>
      </c>
      <c r="G397" s="83">
        <v>111241</v>
      </c>
    </row>
    <row r="398" spans="1:7">
      <c r="A398" s="78" t="s">
        <v>6743</v>
      </c>
      <c r="B398" s="78">
        <v>159</v>
      </c>
      <c r="C398" s="79" t="s">
        <v>6898</v>
      </c>
      <c r="D398" s="88" t="s">
        <v>6558</v>
      </c>
      <c r="E398" s="87" t="s">
        <v>6557</v>
      </c>
      <c r="F398" s="89" t="s">
        <v>5724</v>
      </c>
      <c r="G398" s="83">
        <v>103980</v>
      </c>
    </row>
    <row r="399" spans="1:7">
      <c r="A399" s="78" t="s">
        <v>6743</v>
      </c>
      <c r="B399" s="78">
        <v>168</v>
      </c>
      <c r="C399" s="79" t="s">
        <v>6745</v>
      </c>
      <c r="D399" s="81" t="s">
        <v>6478</v>
      </c>
      <c r="E399" s="80" t="s">
        <v>6477</v>
      </c>
      <c r="F399" s="82" t="s">
        <v>6269</v>
      </c>
      <c r="G399" s="83">
        <v>86176</v>
      </c>
    </row>
    <row r="400" spans="1:7">
      <c r="A400" s="78" t="s">
        <v>6743</v>
      </c>
      <c r="B400" s="78">
        <v>177</v>
      </c>
      <c r="C400" s="79">
        <v>0</v>
      </c>
      <c r="D400" s="85" t="s">
        <v>5740</v>
      </c>
      <c r="E400" s="85" t="s">
        <v>5739</v>
      </c>
      <c r="F400" s="86" t="s">
        <v>5687</v>
      </c>
      <c r="G400" s="83">
        <v>80773</v>
      </c>
    </row>
    <row r="401" spans="1:7">
      <c r="A401" s="78" t="s">
        <v>6743</v>
      </c>
      <c r="B401" s="78">
        <v>186</v>
      </c>
      <c r="C401" s="79">
        <v>0</v>
      </c>
      <c r="D401" s="85" t="s">
        <v>5755</v>
      </c>
      <c r="E401" s="84" t="s">
        <v>5754</v>
      </c>
      <c r="F401" s="86" t="s">
        <v>5687</v>
      </c>
      <c r="G401" s="83">
        <v>69195</v>
      </c>
    </row>
    <row r="402" spans="1:7">
      <c r="A402" s="78" t="s">
        <v>6743</v>
      </c>
      <c r="B402" s="78">
        <v>195</v>
      </c>
      <c r="C402" s="79" t="s">
        <v>6758</v>
      </c>
      <c r="D402" s="88" t="s">
        <v>7410</v>
      </c>
      <c r="E402" s="87" t="s">
        <v>7409</v>
      </c>
      <c r="F402" s="89" t="s">
        <v>6753</v>
      </c>
      <c r="G402" s="83">
        <v>58495</v>
      </c>
    </row>
    <row r="403" spans="1:7">
      <c r="A403" s="78" t="s">
        <v>6743</v>
      </c>
      <c r="B403" s="78">
        <v>204</v>
      </c>
      <c r="C403" s="79" t="s">
        <v>6745</v>
      </c>
      <c r="D403" s="81" t="s">
        <v>7411</v>
      </c>
      <c r="E403" s="80" t="s">
        <v>5272</v>
      </c>
      <c r="F403" s="82" t="s">
        <v>119</v>
      </c>
      <c r="G403" s="83">
        <v>43923</v>
      </c>
    </row>
    <row r="404" spans="1:7">
      <c r="A404" s="78" t="s">
        <v>6743</v>
      </c>
      <c r="B404" s="78">
        <v>213</v>
      </c>
      <c r="C404" s="79"/>
      <c r="D404" s="85" t="s">
        <v>5746</v>
      </c>
      <c r="E404" s="85" t="s">
        <v>5745</v>
      </c>
      <c r="F404" s="86" t="s">
        <v>5687</v>
      </c>
      <c r="G404" s="83">
        <v>36872</v>
      </c>
    </row>
    <row r="405" spans="1:7">
      <c r="A405" s="78" t="s">
        <v>6743</v>
      </c>
      <c r="B405" s="78">
        <v>222</v>
      </c>
      <c r="C405" s="79" t="s">
        <v>6758</v>
      </c>
      <c r="D405" s="88" t="s">
        <v>7412</v>
      </c>
      <c r="E405" s="87" t="s">
        <v>9290</v>
      </c>
      <c r="F405" s="89" t="s">
        <v>119</v>
      </c>
      <c r="G405" s="83">
        <v>34192</v>
      </c>
    </row>
    <row r="406" spans="1:7">
      <c r="A406" s="90" t="s">
        <v>6743</v>
      </c>
      <c r="B406" s="90">
        <v>231</v>
      </c>
      <c r="C406" s="91" t="s">
        <v>6768</v>
      </c>
      <c r="D406" s="103" t="s">
        <v>7413</v>
      </c>
      <c r="E406" s="110" t="s">
        <v>6366</v>
      </c>
      <c r="F406" s="104" t="s">
        <v>5125</v>
      </c>
      <c r="G406" s="95">
        <v>32159</v>
      </c>
    </row>
    <row r="407" spans="1:7">
      <c r="A407" s="96" t="s">
        <v>6743</v>
      </c>
      <c r="B407" s="96">
        <v>240</v>
      </c>
      <c r="C407" s="97" t="s">
        <v>6745</v>
      </c>
      <c r="D407" s="112" t="s">
        <v>7414</v>
      </c>
      <c r="E407" s="111" t="s">
        <v>5284</v>
      </c>
      <c r="F407" s="113" t="s">
        <v>5135</v>
      </c>
      <c r="G407" s="101">
        <v>28413</v>
      </c>
    </row>
    <row r="408" spans="1:7">
      <c r="A408" s="90" t="s">
        <v>6743</v>
      </c>
      <c r="B408" s="90">
        <v>249</v>
      </c>
      <c r="C408" s="91">
        <v>0</v>
      </c>
      <c r="D408" s="103" t="s">
        <v>7416</v>
      </c>
      <c r="E408" s="103" t="s">
        <v>7415</v>
      </c>
      <c r="F408" s="104" t="s">
        <v>5427</v>
      </c>
      <c r="G408" s="95">
        <v>24461</v>
      </c>
    </row>
    <row r="409" spans="1:7">
      <c r="A409" s="96" t="s">
        <v>6743</v>
      </c>
      <c r="B409" s="96">
        <v>258</v>
      </c>
      <c r="C409" s="97" t="s">
        <v>6782</v>
      </c>
      <c r="D409" s="99" t="s">
        <v>7417</v>
      </c>
      <c r="E409" s="98" t="s">
        <v>1900</v>
      </c>
      <c r="F409" s="100" t="s">
        <v>5103</v>
      </c>
      <c r="G409" s="101">
        <v>20426</v>
      </c>
    </row>
    <row r="410" spans="1:7">
      <c r="A410" s="78" t="s">
        <v>6743</v>
      </c>
      <c r="B410" s="78">
        <v>267</v>
      </c>
      <c r="C410" s="79" t="s">
        <v>6758</v>
      </c>
      <c r="D410" s="88" t="s">
        <v>7419</v>
      </c>
      <c r="E410" s="87" t="s">
        <v>7418</v>
      </c>
      <c r="F410" s="89" t="s">
        <v>5125</v>
      </c>
      <c r="G410" s="83">
        <v>13486</v>
      </c>
    </row>
    <row r="411" spans="1:7">
      <c r="A411" s="78" t="s">
        <v>6743</v>
      </c>
      <c r="B411" s="78">
        <v>276</v>
      </c>
      <c r="C411" s="79" t="s">
        <v>6779</v>
      </c>
      <c r="D411" s="85" t="s">
        <v>7421</v>
      </c>
      <c r="E411" s="84" t="s">
        <v>7420</v>
      </c>
      <c r="F411" s="86" t="s">
        <v>6067</v>
      </c>
      <c r="G411" s="83">
        <v>10692</v>
      </c>
    </row>
    <row r="412" spans="1:7">
      <c r="A412" s="78" t="s">
        <v>6743</v>
      </c>
      <c r="B412" s="78">
        <v>285</v>
      </c>
      <c r="C412" s="79" t="s">
        <v>6745</v>
      </c>
      <c r="D412" s="81" t="s">
        <v>7423</v>
      </c>
      <c r="E412" s="80" t="s">
        <v>7422</v>
      </c>
      <c r="F412" s="82" t="s">
        <v>6082</v>
      </c>
      <c r="G412" s="83">
        <v>8096</v>
      </c>
    </row>
    <row r="413" spans="1:7">
      <c r="A413" s="78" t="s">
        <v>6743</v>
      </c>
      <c r="B413" s="78">
        <v>294</v>
      </c>
      <c r="C413" s="79" t="s">
        <v>6755</v>
      </c>
      <c r="D413" s="85" t="s">
        <v>7425</v>
      </c>
      <c r="E413" s="84" t="s">
        <v>7424</v>
      </c>
      <c r="F413" s="86" t="s">
        <v>5453</v>
      </c>
      <c r="G413" s="83">
        <v>6454</v>
      </c>
    </row>
    <row r="414" spans="1:7">
      <c r="A414" s="78" t="s">
        <v>6743</v>
      </c>
      <c r="B414" s="78">
        <v>303</v>
      </c>
      <c r="C414" s="79" t="s">
        <v>6782</v>
      </c>
      <c r="D414" s="85" t="s">
        <v>6093</v>
      </c>
      <c r="E414" s="84" t="s">
        <v>6092</v>
      </c>
      <c r="F414" s="86" t="s">
        <v>6101</v>
      </c>
      <c r="G414" s="83">
        <v>2419</v>
      </c>
    </row>
    <row r="415" spans="1:7">
      <c r="A415" s="78" t="s">
        <v>6743</v>
      </c>
      <c r="B415" s="78">
        <v>312</v>
      </c>
      <c r="C415" s="79">
        <v>0</v>
      </c>
      <c r="D415" s="85" t="s">
        <v>5152</v>
      </c>
      <c r="E415" s="84" t="s">
        <v>5151</v>
      </c>
      <c r="F415" s="86" t="s">
        <v>119</v>
      </c>
      <c r="G415" s="83">
        <v>60</v>
      </c>
    </row>
    <row r="416" spans="1:7">
      <c r="A416" s="78" t="s">
        <v>6743</v>
      </c>
      <c r="B416" s="78">
        <v>321</v>
      </c>
      <c r="C416" s="79">
        <v>0</v>
      </c>
      <c r="D416" s="85" t="s">
        <v>7427</v>
      </c>
      <c r="E416" s="85" t="s">
        <v>7426</v>
      </c>
      <c r="F416" s="86" t="s">
        <v>7428</v>
      </c>
      <c r="G416" s="83" t="s">
        <v>6796</v>
      </c>
    </row>
    <row r="417" spans="1:7">
      <c r="A417" s="78" t="s">
        <v>6743</v>
      </c>
      <c r="B417" s="78">
        <v>330</v>
      </c>
      <c r="C417" s="79">
        <v>0</v>
      </c>
      <c r="D417" s="85" t="s">
        <v>7430</v>
      </c>
      <c r="E417" s="85" t="s">
        <v>7429</v>
      </c>
      <c r="F417" s="86" t="s">
        <v>7431</v>
      </c>
      <c r="G417" s="83">
        <v>0</v>
      </c>
    </row>
    <row r="418" spans="1:7">
      <c r="A418" s="78" t="s">
        <v>6743</v>
      </c>
      <c r="B418" s="78">
        <v>339</v>
      </c>
      <c r="C418" s="79">
        <v>0</v>
      </c>
      <c r="D418" s="85" t="s">
        <v>7433</v>
      </c>
      <c r="E418" s="85" t="s">
        <v>7432</v>
      </c>
      <c r="F418" s="86" t="s">
        <v>7434</v>
      </c>
      <c r="G418" s="83" t="s">
        <v>6796</v>
      </c>
    </row>
    <row r="419" spans="1:7">
      <c r="A419" s="90" t="s">
        <v>6743</v>
      </c>
      <c r="B419" s="90">
        <v>348</v>
      </c>
      <c r="C419" s="91">
        <v>0</v>
      </c>
      <c r="D419" s="103" t="s">
        <v>7436</v>
      </c>
      <c r="E419" s="103" t="s">
        <v>7435</v>
      </c>
      <c r="F419" s="104" t="s">
        <v>7313</v>
      </c>
      <c r="G419" s="83" t="s">
        <v>6796</v>
      </c>
    </row>
    <row r="420" spans="1:7">
      <c r="A420" s="78" t="s">
        <v>6743</v>
      </c>
      <c r="B420" s="78">
        <v>357</v>
      </c>
      <c r="C420" s="79">
        <v>0</v>
      </c>
      <c r="D420" s="85" t="s">
        <v>7438</v>
      </c>
      <c r="E420" s="85" t="s">
        <v>7437</v>
      </c>
      <c r="F420" s="86" t="s">
        <v>7439</v>
      </c>
      <c r="G420" s="83" t="s">
        <v>6796</v>
      </c>
    </row>
    <row r="421" spans="1:7">
      <c r="A421" s="78" t="s">
        <v>6743</v>
      </c>
      <c r="B421" s="78">
        <v>366</v>
      </c>
      <c r="C421" s="79">
        <v>0</v>
      </c>
      <c r="D421" s="85" t="s">
        <v>7441</v>
      </c>
      <c r="E421" s="85" t="s">
        <v>7440</v>
      </c>
      <c r="F421" s="86" t="s">
        <v>119</v>
      </c>
      <c r="G421" s="83">
        <v>0</v>
      </c>
    </row>
    <row r="422" spans="1:7">
      <c r="A422" s="78" t="s">
        <v>6743</v>
      </c>
      <c r="B422" s="78">
        <v>375</v>
      </c>
      <c r="C422" s="102" t="s">
        <v>6786</v>
      </c>
      <c r="D422" s="85" t="s">
        <v>7443</v>
      </c>
      <c r="E422" s="85" t="s">
        <v>7442</v>
      </c>
      <c r="F422" s="86" t="s">
        <v>7444</v>
      </c>
      <c r="G422" s="83">
        <v>0</v>
      </c>
    </row>
    <row r="423" spans="1:7">
      <c r="A423" s="90" t="s">
        <v>6743</v>
      </c>
      <c r="B423" s="90">
        <v>384</v>
      </c>
      <c r="C423" s="91">
        <v>0</v>
      </c>
      <c r="D423" s="103" t="s">
        <v>7446</v>
      </c>
      <c r="E423" s="103" t="s">
        <v>7445</v>
      </c>
      <c r="F423" s="104" t="s">
        <v>7447</v>
      </c>
      <c r="G423" s="83" t="s">
        <v>6796</v>
      </c>
    </row>
    <row r="424" spans="1:7">
      <c r="A424" s="73" t="s">
        <v>6743</v>
      </c>
      <c r="B424" s="73">
        <v>393</v>
      </c>
      <c r="C424" s="74">
        <v>0</v>
      </c>
      <c r="D424" s="75" t="s">
        <v>7449</v>
      </c>
      <c r="E424" s="75" t="s">
        <v>7448</v>
      </c>
      <c r="F424" s="76" t="s">
        <v>7450</v>
      </c>
      <c r="G424" s="117">
        <v>0</v>
      </c>
    </row>
    <row r="425" spans="1:7">
      <c r="A425" s="78" t="s">
        <v>6743</v>
      </c>
      <c r="B425" s="78">
        <v>402</v>
      </c>
      <c r="C425" s="102" t="s">
        <v>6786</v>
      </c>
      <c r="D425" s="85" t="s">
        <v>7452</v>
      </c>
      <c r="E425" s="85" t="s">
        <v>7451</v>
      </c>
      <c r="F425" s="86" t="s">
        <v>7216</v>
      </c>
      <c r="G425" s="83">
        <v>0</v>
      </c>
    </row>
    <row r="426" spans="1:7">
      <c r="A426" s="78" t="s">
        <v>6743</v>
      </c>
      <c r="B426" s="78">
        <v>411</v>
      </c>
      <c r="C426" s="79">
        <v>0</v>
      </c>
      <c r="D426" s="85" t="s">
        <v>7454</v>
      </c>
      <c r="E426" s="85" t="s">
        <v>7453</v>
      </c>
      <c r="F426" s="86" t="s">
        <v>7455</v>
      </c>
      <c r="G426" s="83" t="s">
        <v>6796</v>
      </c>
    </row>
    <row r="427" spans="1:7">
      <c r="A427" s="90" t="s">
        <v>6743</v>
      </c>
      <c r="B427" s="90">
        <v>420</v>
      </c>
      <c r="C427" s="91">
        <v>0</v>
      </c>
      <c r="D427" s="103" t="s">
        <v>7457</v>
      </c>
      <c r="E427" s="103" t="s">
        <v>7456</v>
      </c>
      <c r="F427" s="104" t="s">
        <v>7458</v>
      </c>
      <c r="G427" s="83" t="s">
        <v>6796</v>
      </c>
    </row>
    <row r="428" spans="1:7">
      <c r="A428" s="73" t="s">
        <v>6743</v>
      </c>
      <c r="B428" s="73">
        <v>429</v>
      </c>
      <c r="C428" s="74">
        <v>0</v>
      </c>
      <c r="D428" s="75" t="s">
        <v>7460</v>
      </c>
      <c r="E428" s="75" t="s">
        <v>7459</v>
      </c>
      <c r="F428" s="76" t="s">
        <v>7461</v>
      </c>
      <c r="G428" s="83" t="s">
        <v>6796</v>
      </c>
    </row>
    <row r="429" spans="1:7">
      <c r="A429" s="78" t="s">
        <v>6743</v>
      </c>
      <c r="B429" s="78">
        <v>438</v>
      </c>
      <c r="C429" s="79">
        <v>0</v>
      </c>
      <c r="D429" s="85" t="s">
        <v>7463</v>
      </c>
      <c r="E429" s="85" t="s">
        <v>7462</v>
      </c>
      <c r="F429" s="86" t="s">
        <v>7464</v>
      </c>
      <c r="G429" s="83">
        <v>0</v>
      </c>
    </row>
    <row r="430" spans="1:7">
      <c r="A430" s="78" t="s">
        <v>6743</v>
      </c>
      <c r="B430" s="78">
        <v>447</v>
      </c>
      <c r="C430" s="79">
        <v>0</v>
      </c>
      <c r="D430" s="85" t="s">
        <v>7466</v>
      </c>
      <c r="E430" s="85" t="s">
        <v>7465</v>
      </c>
      <c r="F430" s="86" t="s">
        <v>5366</v>
      </c>
      <c r="G430" s="83" t="s">
        <v>6796</v>
      </c>
    </row>
    <row r="431" spans="1:7">
      <c r="A431" s="90" t="s">
        <v>6743</v>
      </c>
      <c r="B431" s="90">
        <v>456</v>
      </c>
      <c r="C431" s="130" t="s">
        <v>6786</v>
      </c>
      <c r="D431" s="103" t="s">
        <v>7468</v>
      </c>
      <c r="E431" s="103" t="s">
        <v>7467</v>
      </c>
      <c r="F431" s="104" t="s">
        <v>7469</v>
      </c>
      <c r="G431" s="95">
        <v>0</v>
      </c>
    </row>
    <row r="432" spans="1:7">
      <c r="A432" s="73" t="s">
        <v>6743</v>
      </c>
      <c r="B432" s="73">
        <v>465</v>
      </c>
      <c r="C432" s="136" t="s">
        <v>6786</v>
      </c>
      <c r="D432" s="75" t="s">
        <v>7471</v>
      </c>
      <c r="E432" s="75" t="s">
        <v>7470</v>
      </c>
      <c r="F432" s="76" t="s">
        <v>7472</v>
      </c>
      <c r="G432" s="117">
        <v>0</v>
      </c>
    </row>
    <row r="433" spans="1:7">
      <c r="A433" s="90" t="s">
        <v>6743</v>
      </c>
      <c r="B433" s="90">
        <v>474</v>
      </c>
      <c r="C433" s="130" t="s">
        <v>6786</v>
      </c>
      <c r="D433" s="103" t="s">
        <v>7474</v>
      </c>
      <c r="E433" s="103" t="s">
        <v>7473</v>
      </c>
      <c r="F433" s="104" t="s">
        <v>7475</v>
      </c>
      <c r="G433" s="83" t="s">
        <v>6796</v>
      </c>
    </row>
    <row r="434" spans="1:7">
      <c r="A434" s="73" t="s">
        <v>6743</v>
      </c>
      <c r="B434" s="73">
        <v>483</v>
      </c>
      <c r="C434" s="74">
        <v>0</v>
      </c>
      <c r="D434" s="75" t="s">
        <v>7477</v>
      </c>
      <c r="E434" s="75" t="s">
        <v>7476</v>
      </c>
      <c r="F434" s="76" t="s">
        <v>7478</v>
      </c>
      <c r="G434" s="117">
        <v>0</v>
      </c>
    </row>
    <row r="435" spans="1:7">
      <c r="A435" s="78" t="s">
        <v>6743</v>
      </c>
      <c r="B435" s="78">
        <v>492</v>
      </c>
      <c r="C435" s="79">
        <v>0</v>
      </c>
      <c r="D435" s="85" t="s">
        <v>7480</v>
      </c>
      <c r="E435" s="85" t="s">
        <v>7479</v>
      </c>
      <c r="F435" s="86" t="s">
        <v>7481</v>
      </c>
      <c r="G435" s="83" t="s">
        <v>6796</v>
      </c>
    </row>
    <row r="436" spans="1:7">
      <c r="A436" s="78" t="s">
        <v>6743</v>
      </c>
      <c r="B436" s="78">
        <v>501</v>
      </c>
      <c r="C436" s="79">
        <v>0</v>
      </c>
      <c r="D436" s="85" t="s">
        <v>7483</v>
      </c>
      <c r="E436" s="85" t="s">
        <v>7482</v>
      </c>
      <c r="F436" s="86" t="s">
        <v>6983</v>
      </c>
      <c r="G436" s="83">
        <v>0</v>
      </c>
    </row>
    <row r="437" spans="1:7">
      <c r="A437" s="90" t="s">
        <v>6743</v>
      </c>
      <c r="B437" s="90">
        <v>510</v>
      </c>
      <c r="C437" s="91">
        <v>0</v>
      </c>
      <c r="D437" s="103" t="s">
        <v>7485</v>
      </c>
      <c r="E437" s="103" t="s">
        <v>7484</v>
      </c>
      <c r="F437" s="104" t="s">
        <v>5125</v>
      </c>
      <c r="G437" s="95">
        <v>0</v>
      </c>
    </row>
    <row r="438" spans="1:7">
      <c r="A438" s="73" t="s">
        <v>6743</v>
      </c>
      <c r="B438" s="73">
        <v>519</v>
      </c>
      <c r="C438" s="74">
        <v>0</v>
      </c>
      <c r="D438" s="75" t="s">
        <v>7487</v>
      </c>
      <c r="E438" s="75" t="s">
        <v>7486</v>
      </c>
      <c r="F438" s="76" t="s">
        <v>5125</v>
      </c>
      <c r="G438" s="117">
        <v>0</v>
      </c>
    </row>
    <row r="439" spans="1:7">
      <c r="A439" s="90" t="s">
        <v>6743</v>
      </c>
      <c r="B439" s="90">
        <v>528</v>
      </c>
      <c r="C439" s="91">
        <v>0</v>
      </c>
      <c r="D439" s="103" t="s">
        <v>7489</v>
      </c>
      <c r="E439" s="103" t="s">
        <v>7488</v>
      </c>
      <c r="F439" s="104" t="s">
        <v>5138</v>
      </c>
      <c r="G439" s="83" t="s">
        <v>6796</v>
      </c>
    </row>
    <row r="440" spans="1:7">
      <c r="A440" s="73" t="s">
        <v>6743</v>
      </c>
      <c r="B440" s="73">
        <v>537</v>
      </c>
      <c r="C440" s="74">
        <v>0</v>
      </c>
      <c r="D440" s="75" t="s">
        <v>7491</v>
      </c>
      <c r="E440" s="75" t="s">
        <v>7490</v>
      </c>
      <c r="F440" s="76" t="s">
        <v>5704</v>
      </c>
      <c r="G440" s="117">
        <v>0</v>
      </c>
    </row>
    <row r="441" spans="1:7">
      <c r="A441" s="90" t="s">
        <v>6743</v>
      </c>
      <c r="B441" s="90">
        <v>546</v>
      </c>
      <c r="C441" s="130" t="s">
        <v>6786</v>
      </c>
      <c r="D441" s="103" t="s">
        <v>7493</v>
      </c>
      <c r="E441" s="103" t="s">
        <v>7492</v>
      </c>
      <c r="F441" s="104" t="s">
        <v>5704</v>
      </c>
      <c r="G441" s="95">
        <v>0</v>
      </c>
    </row>
    <row r="442" spans="1:7">
      <c r="A442" s="96" t="s">
        <v>6743</v>
      </c>
      <c r="B442" s="96">
        <v>555</v>
      </c>
      <c r="C442" s="97">
        <v>0</v>
      </c>
      <c r="D442" s="99" t="s">
        <v>5470</v>
      </c>
      <c r="E442" s="99" t="s">
        <v>5469</v>
      </c>
      <c r="F442" s="100" t="s">
        <v>5424</v>
      </c>
      <c r="G442" s="83" t="s">
        <v>6796</v>
      </c>
    </row>
    <row r="443" spans="1:7">
      <c r="A443" s="78" t="s">
        <v>6743</v>
      </c>
      <c r="B443" s="78">
        <v>564</v>
      </c>
      <c r="C443" s="102" t="s">
        <v>7494</v>
      </c>
      <c r="D443" s="85" t="s">
        <v>7496</v>
      </c>
      <c r="E443" s="84" t="s">
        <v>7495</v>
      </c>
      <c r="F443" s="86" t="s">
        <v>7172</v>
      </c>
      <c r="G443" s="83">
        <v>0</v>
      </c>
    </row>
    <row r="444" spans="1:7">
      <c r="A444" s="78" t="s">
        <v>6743</v>
      </c>
      <c r="B444" s="78">
        <v>573</v>
      </c>
      <c r="C444" s="79">
        <v>0</v>
      </c>
      <c r="D444" s="85" t="s">
        <v>7498</v>
      </c>
      <c r="E444" s="85" t="s">
        <v>7497</v>
      </c>
      <c r="F444" s="86" t="s">
        <v>5125</v>
      </c>
      <c r="G444" s="83" t="s">
        <v>6796</v>
      </c>
    </row>
    <row r="445" spans="1:7">
      <c r="A445" s="78" t="s">
        <v>6743</v>
      </c>
      <c r="B445" s="78">
        <v>582</v>
      </c>
      <c r="C445" s="79">
        <v>0</v>
      </c>
      <c r="D445" s="85" t="s">
        <v>7500</v>
      </c>
      <c r="E445" s="85" t="s">
        <v>7499</v>
      </c>
      <c r="F445" s="86" t="s">
        <v>5125</v>
      </c>
      <c r="G445" s="137">
        <v>0</v>
      </c>
    </row>
    <row r="446" spans="1:7">
      <c r="A446" s="90" t="s">
        <v>6743</v>
      </c>
      <c r="B446" s="90">
        <v>591</v>
      </c>
      <c r="C446" s="91">
        <v>0</v>
      </c>
      <c r="D446" s="103" t="s">
        <v>7502</v>
      </c>
      <c r="E446" s="103" t="s">
        <v>7501</v>
      </c>
      <c r="F446" s="104" t="s">
        <v>5135</v>
      </c>
      <c r="G446" s="95">
        <v>0</v>
      </c>
    </row>
    <row r="447" spans="1:7">
      <c r="A447" s="96" t="s">
        <v>6743</v>
      </c>
      <c r="B447" s="96">
        <v>600</v>
      </c>
      <c r="C447" s="97">
        <v>0</v>
      </c>
      <c r="D447" s="99" t="s">
        <v>7504</v>
      </c>
      <c r="E447" s="99" t="s">
        <v>7503</v>
      </c>
      <c r="F447" s="100" t="s">
        <v>5125</v>
      </c>
      <c r="G447" s="83" t="s">
        <v>6796</v>
      </c>
    </row>
    <row r="448" spans="1:7">
      <c r="A448" s="78" t="s">
        <v>6743</v>
      </c>
      <c r="B448" s="78">
        <v>609</v>
      </c>
      <c r="C448" s="79">
        <v>0</v>
      </c>
      <c r="D448" s="85" t="s">
        <v>7506</v>
      </c>
      <c r="E448" s="85" t="s">
        <v>7505</v>
      </c>
      <c r="F448" s="86" t="s">
        <v>119</v>
      </c>
      <c r="G448" s="83">
        <v>0</v>
      </c>
    </row>
    <row r="449" spans="1:7">
      <c r="A449" s="78" t="s">
        <v>6743</v>
      </c>
      <c r="B449" s="78">
        <v>618</v>
      </c>
      <c r="C449" s="79">
        <v>0</v>
      </c>
      <c r="D449" s="85" t="s">
        <v>7508</v>
      </c>
      <c r="E449" s="85" t="s">
        <v>7507</v>
      </c>
      <c r="F449" s="86" t="s">
        <v>5138</v>
      </c>
      <c r="G449" s="83">
        <v>0</v>
      </c>
    </row>
    <row r="450" spans="1:7">
      <c r="A450" s="78" t="s">
        <v>6743</v>
      </c>
      <c r="B450" s="78">
        <v>627</v>
      </c>
      <c r="C450" s="79">
        <v>0</v>
      </c>
      <c r="D450" s="85" t="s">
        <v>7510</v>
      </c>
      <c r="E450" s="85" t="s">
        <v>7509</v>
      </c>
      <c r="F450" s="86" t="s">
        <v>119</v>
      </c>
      <c r="G450" s="83">
        <v>0</v>
      </c>
    </row>
    <row r="451" spans="1:7">
      <c r="A451" s="78" t="s">
        <v>6743</v>
      </c>
      <c r="B451" s="78">
        <v>636</v>
      </c>
      <c r="C451" s="79">
        <v>0</v>
      </c>
      <c r="D451" s="85" t="s">
        <v>5164</v>
      </c>
      <c r="E451" s="84" t="s">
        <v>5163</v>
      </c>
      <c r="F451" s="86" t="s">
        <v>5138</v>
      </c>
      <c r="G451" s="83">
        <v>0</v>
      </c>
    </row>
    <row r="452" spans="1:7">
      <c r="A452" s="78" t="s">
        <v>6743</v>
      </c>
      <c r="B452" s="78">
        <v>645</v>
      </c>
      <c r="C452" s="79">
        <v>0</v>
      </c>
      <c r="D452" s="85" t="s">
        <v>1112</v>
      </c>
      <c r="E452" s="84" t="s">
        <v>7511</v>
      </c>
      <c r="F452" s="86" t="s">
        <v>4899</v>
      </c>
      <c r="G452" s="83">
        <v>0</v>
      </c>
    </row>
    <row r="453" spans="1:7">
      <c r="A453" s="78" t="s">
        <v>6743</v>
      </c>
      <c r="B453" s="78">
        <v>654</v>
      </c>
      <c r="C453" s="79">
        <v>0</v>
      </c>
      <c r="D453" s="85" t="s">
        <v>7513</v>
      </c>
      <c r="E453" s="84" t="s">
        <v>7512</v>
      </c>
      <c r="F453" s="86" t="s">
        <v>7514</v>
      </c>
      <c r="G453" s="83" t="s">
        <v>6796</v>
      </c>
    </row>
    <row r="454" spans="1:7">
      <c r="A454" s="78" t="s">
        <v>6743</v>
      </c>
      <c r="B454" s="78">
        <v>663</v>
      </c>
      <c r="C454" s="79">
        <v>0</v>
      </c>
      <c r="D454" s="85" t="s">
        <v>7516</v>
      </c>
      <c r="E454" s="84" t="s">
        <v>7515</v>
      </c>
      <c r="F454" s="86" t="s">
        <v>7517</v>
      </c>
      <c r="G454" s="83">
        <v>0</v>
      </c>
    </row>
    <row r="455" spans="1:7">
      <c r="A455" s="78" t="s">
        <v>6743</v>
      </c>
      <c r="B455" s="78">
        <v>672</v>
      </c>
      <c r="C455" s="79" t="s">
        <v>6747</v>
      </c>
      <c r="D455" s="85" t="s">
        <v>7519</v>
      </c>
      <c r="E455" s="84" t="s">
        <v>7518</v>
      </c>
      <c r="F455" s="86" t="s">
        <v>5687</v>
      </c>
      <c r="G455" s="83">
        <v>0</v>
      </c>
    </row>
    <row r="456" spans="1:7">
      <c r="A456" s="78" t="s">
        <v>6743</v>
      </c>
      <c r="B456" s="78">
        <v>681</v>
      </c>
      <c r="C456" s="79" t="s">
        <v>6768</v>
      </c>
      <c r="D456" s="85" t="s">
        <v>6490</v>
      </c>
      <c r="E456" s="84" t="s">
        <v>6489</v>
      </c>
      <c r="F456" s="86" t="s">
        <v>6300</v>
      </c>
      <c r="G456" s="83">
        <v>0</v>
      </c>
    </row>
    <row r="457" spans="1:7">
      <c r="A457" s="78" t="s">
        <v>6743</v>
      </c>
      <c r="B457" s="78">
        <v>690</v>
      </c>
      <c r="C457" s="79" t="s">
        <v>6768</v>
      </c>
      <c r="D457" s="85" t="s">
        <v>7521</v>
      </c>
      <c r="E457" s="84" t="s">
        <v>7520</v>
      </c>
      <c r="F457" s="86" t="s">
        <v>7522</v>
      </c>
      <c r="G457" s="83">
        <v>0</v>
      </c>
    </row>
    <row r="458" spans="1:7">
      <c r="A458" s="78" t="s">
        <v>6743</v>
      </c>
      <c r="B458" s="78">
        <v>30</v>
      </c>
      <c r="C458" s="79">
        <v>0</v>
      </c>
      <c r="D458" s="85" t="s">
        <v>7524</v>
      </c>
      <c r="E458" s="84" t="s">
        <v>7523</v>
      </c>
      <c r="F458" s="86" t="s">
        <v>96</v>
      </c>
      <c r="G458" s="83">
        <v>837044</v>
      </c>
    </row>
    <row r="459" spans="1:7">
      <c r="A459" s="78" t="s">
        <v>6743</v>
      </c>
      <c r="B459" s="78">
        <v>39</v>
      </c>
      <c r="C459" s="79" t="s">
        <v>6745</v>
      </c>
      <c r="D459" s="81" t="s">
        <v>5225</v>
      </c>
      <c r="E459" s="80" t="s">
        <v>5224</v>
      </c>
      <c r="F459" s="82" t="s">
        <v>5226</v>
      </c>
      <c r="G459" s="83">
        <v>605791</v>
      </c>
    </row>
    <row r="460" spans="1:7">
      <c r="A460" s="78" t="s">
        <v>6743</v>
      </c>
      <c r="B460" s="78">
        <v>48</v>
      </c>
      <c r="C460" s="79" t="s">
        <v>6746</v>
      </c>
      <c r="D460" s="85" t="s">
        <v>6037</v>
      </c>
      <c r="E460" s="84" t="s">
        <v>6036</v>
      </c>
      <c r="F460" s="86" t="s">
        <v>119</v>
      </c>
      <c r="G460" s="83">
        <v>482988</v>
      </c>
    </row>
    <row r="461" spans="1:7">
      <c r="A461" s="78" t="s">
        <v>6743</v>
      </c>
      <c r="B461" s="78">
        <v>57</v>
      </c>
      <c r="C461" s="79" t="s">
        <v>6745</v>
      </c>
      <c r="D461" s="81" t="s">
        <v>5221</v>
      </c>
      <c r="E461" s="80" t="s">
        <v>5220</v>
      </c>
      <c r="F461" s="82" t="s">
        <v>119</v>
      </c>
      <c r="G461" s="83">
        <v>431547</v>
      </c>
    </row>
    <row r="462" spans="1:7">
      <c r="A462" s="78" t="s">
        <v>6743</v>
      </c>
      <c r="B462" s="78">
        <v>66</v>
      </c>
      <c r="C462" s="79" t="s">
        <v>6747</v>
      </c>
      <c r="D462" s="85" t="s">
        <v>5703</v>
      </c>
      <c r="E462" s="84" t="s">
        <v>5702</v>
      </c>
      <c r="F462" s="86" t="s">
        <v>5704</v>
      </c>
      <c r="G462" s="83">
        <v>387791</v>
      </c>
    </row>
    <row r="463" spans="1:7">
      <c r="A463" s="78" t="s">
        <v>6743</v>
      </c>
      <c r="B463" s="78">
        <v>75</v>
      </c>
      <c r="C463" s="79">
        <v>0</v>
      </c>
      <c r="D463" s="85" t="s">
        <v>5986</v>
      </c>
      <c r="E463" s="84" t="s">
        <v>5985</v>
      </c>
      <c r="F463" s="86" t="s">
        <v>7525</v>
      </c>
      <c r="G463" s="83">
        <v>296145</v>
      </c>
    </row>
    <row r="464" spans="1:7">
      <c r="A464" s="78" t="s">
        <v>6743</v>
      </c>
      <c r="B464" s="78">
        <v>84</v>
      </c>
      <c r="C464" s="79" t="s">
        <v>6783</v>
      </c>
      <c r="D464" s="85" t="s">
        <v>7526</v>
      </c>
      <c r="E464" s="84" t="s">
        <v>5374</v>
      </c>
      <c r="F464" s="86" t="s">
        <v>5424</v>
      </c>
      <c r="G464" s="83">
        <v>285809</v>
      </c>
    </row>
    <row r="465" spans="1:7">
      <c r="A465" s="78" t="s">
        <v>6743</v>
      </c>
      <c r="B465" s="78">
        <v>93</v>
      </c>
      <c r="C465" s="79">
        <v>0</v>
      </c>
      <c r="D465" s="85" t="s">
        <v>5426</v>
      </c>
      <c r="E465" s="85" t="s">
        <v>5425</v>
      </c>
      <c r="F465" s="86" t="s">
        <v>5424</v>
      </c>
      <c r="G465" s="83">
        <v>212099</v>
      </c>
    </row>
    <row r="466" spans="1:7">
      <c r="A466" s="78" t="s">
        <v>6743</v>
      </c>
      <c r="B466" s="78">
        <v>102</v>
      </c>
      <c r="C466" s="79" t="s">
        <v>6755</v>
      </c>
      <c r="D466" s="85" t="s">
        <v>6378</v>
      </c>
      <c r="E466" s="84" t="s">
        <v>6377</v>
      </c>
      <c r="F466" s="86" t="s">
        <v>5135</v>
      </c>
      <c r="G466" s="83">
        <v>193553</v>
      </c>
    </row>
    <row r="467" spans="1:7">
      <c r="A467" s="78" t="s">
        <v>6743</v>
      </c>
      <c r="B467" s="78">
        <v>111</v>
      </c>
      <c r="C467" s="79" t="s">
        <v>6745</v>
      </c>
      <c r="D467" s="81" t="s">
        <v>7527</v>
      </c>
      <c r="E467" s="80" t="s">
        <v>5282</v>
      </c>
      <c r="F467" s="82" t="s">
        <v>5138</v>
      </c>
      <c r="G467" s="83">
        <v>164856</v>
      </c>
    </row>
    <row r="468" spans="1:7">
      <c r="A468" s="78" t="s">
        <v>6743</v>
      </c>
      <c r="B468" s="78">
        <v>120</v>
      </c>
      <c r="C468" s="79">
        <v>0</v>
      </c>
      <c r="D468" s="85" t="s">
        <v>5777</v>
      </c>
      <c r="E468" s="84" t="s">
        <v>5776</v>
      </c>
      <c r="F468" s="86" t="s">
        <v>5704</v>
      </c>
      <c r="G468" s="83">
        <v>155947</v>
      </c>
    </row>
    <row r="469" spans="1:7">
      <c r="A469" s="78" t="s">
        <v>6743</v>
      </c>
      <c r="B469" s="78">
        <v>129</v>
      </c>
      <c r="C469" s="79" t="s">
        <v>6755</v>
      </c>
      <c r="D469" s="85" t="s">
        <v>7528</v>
      </c>
      <c r="E469" s="84" t="s">
        <v>6334</v>
      </c>
      <c r="F469" s="86" t="s">
        <v>6303</v>
      </c>
      <c r="G469" s="83">
        <v>144809</v>
      </c>
    </row>
    <row r="470" spans="1:7">
      <c r="A470" s="78" t="s">
        <v>6743</v>
      </c>
      <c r="B470" s="78">
        <v>138</v>
      </c>
      <c r="C470" s="79" t="s">
        <v>6746</v>
      </c>
      <c r="D470" s="85" t="s">
        <v>6041</v>
      </c>
      <c r="E470" s="84" t="s">
        <v>6040</v>
      </c>
      <c r="F470" s="86" t="s">
        <v>5125</v>
      </c>
      <c r="G470" s="83">
        <v>136640</v>
      </c>
    </row>
    <row r="471" spans="1:7">
      <c r="A471" s="78" t="s">
        <v>6743</v>
      </c>
      <c r="B471" s="78">
        <v>147</v>
      </c>
      <c r="C471" s="79" t="s">
        <v>6745</v>
      </c>
      <c r="D471" s="81" t="s">
        <v>5249</v>
      </c>
      <c r="E471" s="80" t="s">
        <v>5248</v>
      </c>
      <c r="F471" s="82" t="s">
        <v>6067</v>
      </c>
      <c r="G471" s="83">
        <v>125033</v>
      </c>
    </row>
    <row r="472" spans="1:7">
      <c r="A472" s="78" t="s">
        <v>6743</v>
      </c>
      <c r="B472" s="78">
        <v>156</v>
      </c>
      <c r="C472" s="79" t="s">
        <v>6758</v>
      </c>
      <c r="D472" s="88" t="s">
        <v>7530</v>
      </c>
      <c r="E472" s="87" t="s">
        <v>7529</v>
      </c>
      <c r="F472" s="89" t="s">
        <v>7287</v>
      </c>
      <c r="G472" s="83">
        <v>105971</v>
      </c>
    </row>
    <row r="473" spans="1:7">
      <c r="A473" s="78" t="s">
        <v>6743</v>
      </c>
      <c r="B473" s="78">
        <v>165</v>
      </c>
      <c r="C473" s="79">
        <v>0</v>
      </c>
      <c r="D473" s="85" t="s">
        <v>7532</v>
      </c>
      <c r="E473" s="85" t="s">
        <v>7531</v>
      </c>
      <c r="F473" s="86" t="s">
        <v>5138</v>
      </c>
      <c r="G473" s="83">
        <v>93285</v>
      </c>
    </row>
    <row r="474" spans="1:7">
      <c r="A474" s="78" t="s">
        <v>6743</v>
      </c>
      <c r="B474" s="78">
        <v>174</v>
      </c>
      <c r="C474" s="79">
        <v>0</v>
      </c>
      <c r="D474" s="85" t="s">
        <v>5737</v>
      </c>
      <c r="E474" s="85" t="s">
        <v>5736</v>
      </c>
      <c r="F474" s="86" t="s">
        <v>5687</v>
      </c>
      <c r="G474" s="83">
        <v>80936</v>
      </c>
    </row>
    <row r="475" spans="1:7">
      <c r="A475" s="78" t="s">
        <v>6743</v>
      </c>
      <c r="B475" s="78">
        <v>183</v>
      </c>
      <c r="C475" s="79" t="s">
        <v>6745</v>
      </c>
      <c r="D475" s="81" t="s">
        <v>5230</v>
      </c>
      <c r="E475" s="80" t="s">
        <v>5229</v>
      </c>
      <c r="F475" s="82" t="s">
        <v>5138</v>
      </c>
      <c r="G475" s="83">
        <v>74772</v>
      </c>
    </row>
    <row r="476" spans="1:7">
      <c r="A476" s="78" t="s">
        <v>6743</v>
      </c>
      <c r="B476" s="78">
        <v>192</v>
      </c>
      <c r="C476" s="79">
        <v>0</v>
      </c>
      <c r="D476" s="85" t="s">
        <v>7534</v>
      </c>
      <c r="E476" s="85" t="s">
        <v>7533</v>
      </c>
      <c r="F476" s="86" t="s">
        <v>5424</v>
      </c>
      <c r="G476" s="83">
        <v>61480</v>
      </c>
    </row>
    <row r="477" spans="1:7">
      <c r="A477" s="78" t="s">
        <v>6743</v>
      </c>
      <c r="B477" s="78">
        <v>201</v>
      </c>
      <c r="C477" s="79" t="s">
        <v>6755</v>
      </c>
      <c r="D477" s="85" t="s">
        <v>6179</v>
      </c>
      <c r="E477" s="84" t="s">
        <v>6178</v>
      </c>
      <c r="F477" s="86" t="s">
        <v>119</v>
      </c>
      <c r="G477" s="83">
        <v>51796</v>
      </c>
    </row>
    <row r="478" spans="1:7">
      <c r="A478" s="78" t="s">
        <v>6743</v>
      </c>
      <c r="B478" s="78">
        <v>210</v>
      </c>
      <c r="C478" s="79">
        <v>0</v>
      </c>
      <c r="D478" s="85" t="s">
        <v>5863</v>
      </c>
      <c r="E478" s="84" t="s">
        <v>5862</v>
      </c>
      <c r="F478" s="86" t="s">
        <v>7535</v>
      </c>
      <c r="G478" s="83">
        <v>39195</v>
      </c>
    </row>
    <row r="479" spans="1:7">
      <c r="A479" s="78" t="s">
        <v>6743</v>
      </c>
      <c r="B479" s="78">
        <v>219</v>
      </c>
      <c r="C479" s="79" t="s">
        <v>6745</v>
      </c>
      <c r="D479" s="81" t="s">
        <v>7536</v>
      </c>
      <c r="E479" s="80" t="s">
        <v>5290</v>
      </c>
      <c r="F479" s="82" t="s">
        <v>5138</v>
      </c>
      <c r="G479" s="83">
        <v>34790</v>
      </c>
    </row>
    <row r="480" spans="1:7">
      <c r="A480" s="78" t="s">
        <v>6743</v>
      </c>
      <c r="B480" s="78">
        <v>228</v>
      </c>
      <c r="C480" s="79" t="s">
        <v>6768</v>
      </c>
      <c r="D480" s="85" t="s">
        <v>5877</v>
      </c>
      <c r="E480" s="84" t="s">
        <v>5876</v>
      </c>
      <c r="F480" s="86" t="s">
        <v>5687</v>
      </c>
      <c r="G480" s="83">
        <v>32159</v>
      </c>
    </row>
    <row r="481" spans="1:7" ht="15" thickBot="1">
      <c r="A481" s="121" t="s">
        <v>6743</v>
      </c>
      <c r="B481" s="121">
        <v>237</v>
      </c>
      <c r="C481" s="131" t="s">
        <v>6758</v>
      </c>
      <c r="D481" s="139" t="s">
        <v>7538</v>
      </c>
      <c r="E481" s="138" t="s">
        <v>7537</v>
      </c>
      <c r="F481" s="140" t="s">
        <v>5117</v>
      </c>
      <c r="G481" s="125">
        <v>29631</v>
      </c>
    </row>
    <row r="482" spans="1:7">
      <c r="A482" s="126" t="s">
        <v>6743</v>
      </c>
      <c r="B482" s="126">
        <v>246</v>
      </c>
      <c r="C482" s="127">
        <v>0</v>
      </c>
      <c r="D482" s="128" t="s">
        <v>7540</v>
      </c>
      <c r="E482" s="141" t="s">
        <v>7539</v>
      </c>
      <c r="F482" s="129" t="s">
        <v>7180</v>
      </c>
      <c r="G482" s="77">
        <v>25089</v>
      </c>
    </row>
    <row r="483" spans="1:7">
      <c r="A483" s="78" t="s">
        <v>6743</v>
      </c>
      <c r="B483" s="78">
        <v>255</v>
      </c>
      <c r="C483" s="79" t="s">
        <v>7181</v>
      </c>
      <c r="D483" s="85" t="s">
        <v>3026</v>
      </c>
      <c r="E483" s="84" t="s">
        <v>3027</v>
      </c>
      <c r="F483" s="86" t="s">
        <v>5406</v>
      </c>
      <c r="G483" s="83">
        <v>21265</v>
      </c>
    </row>
    <row r="484" spans="1:7">
      <c r="A484" s="78" t="s">
        <v>6743</v>
      </c>
      <c r="B484" s="78">
        <v>264</v>
      </c>
      <c r="C484" s="79" t="s">
        <v>7032</v>
      </c>
      <c r="D484" s="81" t="s">
        <v>7542</v>
      </c>
      <c r="E484" s="80" t="s">
        <v>7541</v>
      </c>
      <c r="F484" s="82" t="s">
        <v>119</v>
      </c>
      <c r="G484" s="83">
        <v>13632</v>
      </c>
    </row>
    <row r="485" spans="1:7" ht="15" thickBot="1">
      <c r="A485" s="121" t="s">
        <v>6743</v>
      </c>
      <c r="B485" s="121">
        <v>273</v>
      </c>
      <c r="C485" s="131" t="s">
        <v>6779</v>
      </c>
      <c r="D485" s="143" t="s">
        <v>6285</v>
      </c>
      <c r="E485" s="142" t="s">
        <v>7543</v>
      </c>
      <c r="F485" s="144" t="s">
        <v>6237</v>
      </c>
      <c r="G485" s="125">
        <v>10982</v>
      </c>
    </row>
    <row r="486" spans="1:7">
      <c r="A486" s="78" t="s">
        <v>6743</v>
      </c>
      <c r="B486" s="78">
        <v>282</v>
      </c>
      <c r="C486" s="79" t="s">
        <v>6782</v>
      </c>
      <c r="D486" s="85" t="s">
        <v>6091</v>
      </c>
      <c r="E486" s="84" t="s">
        <v>6090</v>
      </c>
      <c r="F486" s="86" t="s">
        <v>6428</v>
      </c>
      <c r="G486" s="83">
        <v>8481</v>
      </c>
    </row>
    <row r="487" spans="1:7" ht="15" thickBot="1">
      <c r="A487" s="121" t="s">
        <v>6743</v>
      </c>
      <c r="B487" s="121">
        <v>291</v>
      </c>
      <c r="C487" s="131" t="s">
        <v>6755</v>
      </c>
      <c r="D487" s="123" t="s">
        <v>7544</v>
      </c>
      <c r="E487" s="132" t="s">
        <v>6270</v>
      </c>
      <c r="F487" s="124" t="s">
        <v>6272</v>
      </c>
      <c r="G487" s="125">
        <v>6454</v>
      </c>
    </row>
    <row r="488" spans="1:7">
      <c r="A488" s="73" t="s">
        <v>6743</v>
      </c>
      <c r="B488" s="73">
        <v>300</v>
      </c>
      <c r="C488" s="74" t="s">
        <v>6783</v>
      </c>
      <c r="D488" s="75" t="s">
        <v>7546</v>
      </c>
      <c r="E488" s="145" t="s">
        <v>7545</v>
      </c>
      <c r="F488" s="76" t="s">
        <v>5138</v>
      </c>
      <c r="G488" s="117">
        <v>3668</v>
      </c>
    </row>
    <row r="489" spans="1:7">
      <c r="A489" s="78" t="s">
        <v>6743</v>
      </c>
      <c r="B489" s="78">
        <v>309</v>
      </c>
      <c r="C489" s="79" t="s">
        <v>6782</v>
      </c>
      <c r="D489" s="85" t="s">
        <v>7547</v>
      </c>
      <c r="E489" s="84" t="s">
        <v>6094</v>
      </c>
      <c r="F489" s="86" t="s">
        <v>6428</v>
      </c>
      <c r="G489" s="83">
        <v>1732</v>
      </c>
    </row>
    <row r="490" spans="1:7">
      <c r="A490" s="78" t="s">
        <v>6743</v>
      </c>
      <c r="B490" s="78">
        <v>318</v>
      </c>
      <c r="C490" s="79">
        <v>0</v>
      </c>
      <c r="D490" s="85" t="s">
        <v>7549</v>
      </c>
      <c r="E490" s="85" t="s">
        <v>7548</v>
      </c>
      <c r="F490" s="86" t="s">
        <v>7550</v>
      </c>
      <c r="G490" s="83" t="s">
        <v>6796</v>
      </c>
    </row>
    <row r="491" spans="1:7">
      <c r="A491" s="90" t="s">
        <v>6743</v>
      </c>
      <c r="B491" s="90">
        <v>327</v>
      </c>
      <c r="C491" s="130" t="s">
        <v>6786</v>
      </c>
      <c r="D491" s="103" t="s">
        <v>7552</v>
      </c>
      <c r="E491" s="103" t="s">
        <v>7551</v>
      </c>
      <c r="F491" s="104" t="s">
        <v>7303</v>
      </c>
      <c r="G491" s="95">
        <v>0</v>
      </c>
    </row>
    <row r="492" spans="1:7">
      <c r="A492" s="96" t="s">
        <v>6743</v>
      </c>
      <c r="B492" s="96">
        <v>336</v>
      </c>
      <c r="C492" s="97">
        <v>0</v>
      </c>
      <c r="D492" s="99" t="s">
        <v>7554</v>
      </c>
      <c r="E492" s="99" t="s">
        <v>7553</v>
      </c>
      <c r="F492" s="100" t="s">
        <v>6795</v>
      </c>
      <c r="G492" s="83" t="s">
        <v>6796</v>
      </c>
    </row>
    <row r="493" spans="1:7">
      <c r="A493" s="90" t="s">
        <v>6743</v>
      </c>
      <c r="B493" s="90">
        <v>345</v>
      </c>
      <c r="C493" s="91">
        <v>0</v>
      </c>
      <c r="D493" s="103" t="s">
        <v>7556</v>
      </c>
      <c r="E493" s="103" t="s">
        <v>7555</v>
      </c>
      <c r="F493" s="104" t="s">
        <v>7557</v>
      </c>
      <c r="G493" s="83" t="s">
        <v>6796</v>
      </c>
    </row>
    <row r="494" spans="1:7">
      <c r="A494" s="73" t="s">
        <v>6743</v>
      </c>
      <c r="B494" s="73">
        <v>354</v>
      </c>
      <c r="C494" s="74">
        <v>0</v>
      </c>
      <c r="D494" s="75" t="s">
        <v>7559</v>
      </c>
      <c r="E494" s="75" t="s">
        <v>7558</v>
      </c>
      <c r="F494" s="76" t="s">
        <v>7143</v>
      </c>
      <c r="G494" s="83" t="s">
        <v>6796</v>
      </c>
    </row>
    <row r="495" spans="1:7">
      <c r="A495" s="78" t="s">
        <v>6743</v>
      </c>
      <c r="B495" s="78">
        <v>363</v>
      </c>
      <c r="C495" s="79">
        <v>0</v>
      </c>
      <c r="D495" s="85" t="s">
        <v>7561</v>
      </c>
      <c r="E495" s="85" t="s">
        <v>7560</v>
      </c>
      <c r="F495" s="86" t="s">
        <v>7562</v>
      </c>
      <c r="G495" s="83" t="s">
        <v>6796</v>
      </c>
    </row>
    <row r="496" spans="1:7">
      <c r="A496" s="78" t="s">
        <v>6743</v>
      </c>
      <c r="B496" s="78">
        <v>372</v>
      </c>
      <c r="C496" s="79">
        <v>0</v>
      </c>
      <c r="D496" s="85" t="s">
        <v>7564</v>
      </c>
      <c r="E496" s="85" t="s">
        <v>7563</v>
      </c>
      <c r="F496" s="86" t="s">
        <v>7565</v>
      </c>
      <c r="G496" s="83" t="s">
        <v>6796</v>
      </c>
    </row>
    <row r="497" spans="1:7">
      <c r="A497" s="78" t="s">
        <v>6743</v>
      </c>
      <c r="B497" s="146">
        <v>381</v>
      </c>
      <c r="C497" s="147">
        <v>0</v>
      </c>
      <c r="D497" s="85" t="s">
        <v>7567</v>
      </c>
      <c r="E497" s="85" t="s">
        <v>7566</v>
      </c>
      <c r="F497" s="104" t="s">
        <v>7568</v>
      </c>
      <c r="G497" s="83" t="s">
        <v>6796</v>
      </c>
    </row>
    <row r="498" spans="1:7">
      <c r="A498" s="96" t="s">
        <v>6743</v>
      </c>
      <c r="B498" s="148">
        <v>390</v>
      </c>
      <c r="C498" s="149">
        <v>0</v>
      </c>
      <c r="D498" s="99" t="s">
        <v>7570</v>
      </c>
      <c r="E498" s="99" t="s">
        <v>7569</v>
      </c>
      <c r="F498" s="100" t="s">
        <v>7571</v>
      </c>
      <c r="G498" s="101">
        <v>0</v>
      </c>
    </row>
    <row r="499" spans="1:7">
      <c r="A499" s="78" t="s">
        <v>6743</v>
      </c>
      <c r="B499" s="78">
        <v>399</v>
      </c>
      <c r="C499" s="79">
        <v>0</v>
      </c>
      <c r="D499" s="85" t="s">
        <v>7573</v>
      </c>
      <c r="E499" s="85" t="s">
        <v>7572</v>
      </c>
      <c r="F499" s="86" t="s">
        <v>7574</v>
      </c>
      <c r="G499" s="83" t="s">
        <v>6796</v>
      </c>
    </row>
    <row r="500" spans="1:7">
      <c r="A500" s="78" t="s">
        <v>6743</v>
      </c>
      <c r="B500" s="78">
        <v>408</v>
      </c>
      <c r="C500" s="79">
        <v>0</v>
      </c>
      <c r="D500" s="85" t="s">
        <v>7576</v>
      </c>
      <c r="E500" s="85" t="s">
        <v>7575</v>
      </c>
      <c r="F500" s="86" t="s">
        <v>5609</v>
      </c>
      <c r="G500" s="83">
        <v>0</v>
      </c>
    </row>
    <row r="501" spans="1:7">
      <c r="A501" s="78" t="s">
        <v>6743</v>
      </c>
      <c r="B501" s="78">
        <v>417</v>
      </c>
      <c r="C501" s="79">
        <v>0</v>
      </c>
      <c r="D501" s="85" t="s">
        <v>7578</v>
      </c>
      <c r="E501" s="85" t="s">
        <v>7577</v>
      </c>
      <c r="F501" s="86" t="s">
        <v>7080</v>
      </c>
      <c r="G501" s="83" t="s">
        <v>6796</v>
      </c>
    </row>
    <row r="502" spans="1:7">
      <c r="A502" s="78" t="s">
        <v>6743</v>
      </c>
      <c r="B502" s="78">
        <v>426</v>
      </c>
      <c r="C502" s="102" t="s">
        <v>6786</v>
      </c>
      <c r="D502" s="85" t="s">
        <v>7580</v>
      </c>
      <c r="E502" s="85" t="s">
        <v>7579</v>
      </c>
      <c r="F502" s="86" t="s">
        <v>7581</v>
      </c>
      <c r="G502" s="83">
        <v>0</v>
      </c>
    </row>
    <row r="503" spans="1:7">
      <c r="A503" s="78" t="s">
        <v>6743</v>
      </c>
      <c r="B503" s="78">
        <v>435</v>
      </c>
      <c r="C503" s="102" t="s">
        <v>6786</v>
      </c>
      <c r="D503" s="85" t="s">
        <v>7583</v>
      </c>
      <c r="E503" s="85" t="s">
        <v>7582</v>
      </c>
      <c r="F503" s="86" t="s">
        <v>7584</v>
      </c>
      <c r="G503" s="83" t="s">
        <v>6796</v>
      </c>
    </row>
    <row r="504" spans="1:7">
      <c r="A504" s="78" t="s">
        <v>6743</v>
      </c>
      <c r="B504" s="78">
        <v>444</v>
      </c>
      <c r="C504" s="79">
        <v>0</v>
      </c>
      <c r="D504" s="85" t="s">
        <v>7586</v>
      </c>
      <c r="E504" s="85" t="s">
        <v>7585</v>
      </c>
      <c r="F504" s="86" t="s">
        <v>7089</v>
      </c>
      <c r="G504" s="83" t="s">
        <v>6796</v>
      </c>
    </row>
    <row r="505" spans="1:7">
      <c r="A505" s="78" t="s">
        <v>6743</v>
      </c>
      <c r="B505" s="78">
        <v>453</v>
      </c>
      <c r="C505" s="102" t="s">
        <v>6786</v>
      </c>
      <c r="D505" s="85" t="s">
        <v>7588</v>
      </c>
      <c r="E505" s="85" t="s">
        <v>7587</v>
      </c>
      <c r="F505" s="86" t="s">
        <v>7589</v>
      </c>
      <c r="G505" s="83" t="s">
        <v>6796</v>
      </c>
    </row>
    <row r="506" spans="1:7">
      <c r="A506" s="78" t="s">
        <v>6743</v>
      </c>
      <c r="B506" s="78">
        <v>462</v>
      </c>
      <c r="C506" s="102" t="s">
        <v>6786</v>
      </c>
      <c r="D506" s="85" t="s">
        <v>7591</v>
      </c>
      <c r="E506" s="85" t="s">
        <v>7590</v>
      </c>
      <c r="F506" s="86" t="s">
        <v>7592</v>
      </c>
      <c r="G506" s="83">
        <v>0</v>
      </c>
    </row>
    <row r="507" spans="1:7">
      <c r="A507" s="78" t="s">
        <v>6743</v>
      </c>
      <c r="B507" s="78">
        <v>471</v>
      </c>
      <c r="C507" s="102" t="s">
        <v>6786</v>
      </c>
      <c r="D507" s="85" t="s">
        <v>7594</v>
      </c>
      <c r="E507" s="85" t="s">
        <v>7593</v>
      </c>
      <c r="F507" s="86" t="s">
        <v>7595</v>
      </c>
      <c r="G507" s="83">
        <v>0</v>
      </c>
    </row>
    <row r="508" spans="1:7">
      <c r="A508" s="78" t="s">
        <v>6743</v>
      </c>
      <c r="B508" s="78">
        <v>480</v>
      </c>
      <c r="C508" s="102" t="s">
        <v>6786</v>
      </c>
      <c r="D508" s="85" t="s">
        <v>7597</v>
      </c>
      <c r="E508" s="85" t="s">
        <v>7596</v>
      </c>
      <c r="F508" s="86" t="s">
        <v>7598</v>
      </c>
      <c r="G508" s="83">
        <v>0</v>
      </c>
    </row>
    <row r="509" spans="1:7">
      <c r="A509" s="78" t="s">
        <v>6743</v>
      </c>
      <c r="B509" s="78">
        <v>489</v>
      </c>
      <c r="C509" s="79">
        <v>0</v>
      </c>
      <c r="D509" s="85" t="s">
        <v>7600</v>
      </c>
      <c r="E509" s="85" t="s">
        <v>7599</v>
      </c>
      <c r="F509" s="86" t="s">
        <v>7601</v>
      </c>
      <c r="G509" s="83" t="s">
        <v>6796</v>
      </c>
    </row>
    <row r="510" spans="1:7">
      <c r="A510" s="78" t="s">
        <v>6743</v>
      </c>
      <c r="B510" s="78">
        <v>498</v>
      </c>
      <c r="C510" s="79">
        <v>0</v>
      </c>
      <c r="D510" s="85" t="s">
        <v>7603</v>
      </c>
      <c r="E510" s="85" t="s">
        <v>7602</v>
      </c>
      <c r="F510" s="86" t="s">
        <v>7604</v>
      </c>
      <c r="G510" s="83" t="s">
        <v>6796</v>
      </c>
    </row>
    <row r="511" spans="1:7">
      <c r="A511" s="78" t="s">
        <v>6743</v>
      </c>
      <c r="B511" s="78">
        <v>507</v>
      </c>
      <c r="C511" s="102" t="s">
        <v>6786</v>
      </c>
      <c r="D511" s="85" t="s">
        <v>7606</v>
      </c>
      <c r="E511" s="85" t="s">
        <v>7605</v>
      </c>
      <c r="F511" s="86" t="s">
        <v>5125</v>
      </c>
      <c r="G511" s="83">
        <v>0</v>
      </c>
    </row>
    <row r="512" spans="1:7">
      <c r="A512" s="78" t="s">
        <v>6743</v>
      </c>
      <c r="B512" s="78">
        <v>516</v>
      </c>
      <c r="C512" s="79">
        <v>0</v>
      </c>
      <c r="D512" s="85" t="s">
        <v>7608</v>
      </c>
      <c r="E512" s="85" t="s">
        <v>7607</v>
      </c>
      <c r="F512" s="86" t="s">
        <v>5125</v>
      </c>
      <c r="G512" s="83" t="s">
        <v>6796</v>
      </c>
    </row>
    <row r="513" spans="1:7">
      <c r="A513" s="78" t="s">
        <v>6743</v>
      </c>
      <c r="B513" s="78">
        <v>525</v>
      </c>
      <c r="C513" s="79">
        <v>0</v>
      </c>
      <c r="D513" s="85" t="s">
        <v>7610</v>
      </c>
      <c r="E513" s="85" t="s">
        <v>7609</v>
      </c>
      <c r="F513" s="86" t="s">
        <v>5138</v>
      </c>
      <c r="G513" s="83" t="s">
        <v>6796</v>
      </c>
    </row>
    <row r="514" spans="1:7">
      <c r="A514" s="78" t="s">
        <v>6743</v>
      </c>
      <c r="B514" s="78">
        <v>534</v>
      </c>
      <c r="C514" s="79">
        <v>0</v>
      </c>
      <c r="D514" s="85" t="s">
        <v>7612</v>
      </c>
      <c r="E514" s="85" t="s">
        <v>7611</v>
      </c>
      <c r="F514" s="86" t="s">
        <v>7613</v>
      </c>
      <c r="G514" s="83">
        <v>0</v>
      </c>
    </row>
    <row r="515" spans="1:7">
      <c r="A515" s="78" t="s">
        <v>6743</v>
      </c>
      <c r="B515" s="78">
        <v>543</v>
      </c>
      <c r="C515" s="79">
        <v>0</v>
      </c>
      <c r="D515" s="85" t="s">
        <v>7615</v>
      </c>
      <c r="E515" s="85" t="s">
        <v>7614</v>
      </c>
      <c r="F515" s="86" t="s">
        <v>5687</v>
      </c>
      <c r="G515" s="83" t="s">
        <v>6796</v>
      </c>
    </row>
    <row r="516" spans="1:7">
      <c r="A516" s="78" t="s">
        <v>6743</v>
      </c>
      <c r="B516" s="78">
        <v>552</v>
      </c>
      <c r="C516" s="79">
        <v>0</v>
      </c>
      <c r="D516" s="85" t="s">
        <v>7617</v>
      </c>
      <c r="E516" s="85" t="s">
        <v>7616</v>
      </c>
      <c r="F516" s="86" t="s">
        <v>5427</v>
      </c>
      <c r="G516" s="83">
        <v>0</v>
      </c>
    </row>
    <row r="517" spans="1:7">
      <c r="A517" s="78" t="s">
        <v>6743</v>
      </c>
      <c r="B517" s="78">
        <v>561</v>
      </c>
      <c r="C517" s="102" t="s">
        <v>7494</v>
      </c>
      <c r="D517" s="85" t="s">
        <v>7619</v>
      </c>
      <c r="E517" s="85" t="s">
        <v>7618</v>
      </c>
      <c r="F517" s="86" t="s">
        <v>5427</v>
      </c>
      <c r="G517" s="83">
        <v>0</v>
      </c>
    </row>
    <row r="518" spans="1:7">
      <c r="A518" s="78" t="s">
        <v>6743</v>
      </c>
      <c r="B518" s="78">
        <v>570</v>
      </c>
      <c r="C518" s="79">
        <v>0</v>
      </c>
      <c r="D518" s="85" t="s">
        <v>7621</v>
      </c>
      <c r="E518" s="85" t="s">
        <v>7620</v>
      </c>
      <c r="F518" s="86" t="s">
        <v>119</v>
      </c>
      <c r="G518" s="83" t="s">
        <v>6796</v>
      </c>
    </row>
    <row r="519" spans="1:7">
      <c r="A519" s="78" t="s">
        <v>6743</v>
      </c>
      <c r="B519" s="78">
        <v>579</v>
      </c>
      <c r="C519" s="79">
        <v>0</v>
      </c>
      <c r="D519" s="85" t="s">
        <v>7623</v>
      </c>
      <c r="E519" s="85" t="s">
        <v>7622</v>
      </c>
      <c r="F519" s="86" t="s">
        <v>119</v>
      </c>
      <c r="G519" s="83">
        <v>0</v>
      </c>
    </row>
    <row r="520" spans="1:7">
      <c r="A520" s="78" t="s">
        <v>6743</v>
      </c>
      <c r="B520" s="78">
        <v>588</v>
      </c>
      <c r="C520" s="79">
        <v>0</v>
      </c>
      <c r="D520" s="85" t="s">
        <v>7625</v>
      </c>
      <c r="E520" s="85" t="s">
        <v>7624</v>
      </c>
      <c r="F520" s="86" t="s">
        <v>5138</v>
      </c>
      <c r="G520" s="83" t="s">
        <v>6796</v>
      </c>
    </row>
    <row r="521" spans="1:7">
      <c r="A521" s="78" t="s">
        <v>6743</v>
      </c>
      <c r="B521" s="78">
        <v>597</v>
      </c>
      <c r="C521" s="102" t="s">
        <v>6786</v>
      </c>
      <c r="D521" s="85" t="s">
        <v>7627</v>
      </c>
      <c r="E521" s="85" t="s">
        <v>7626</v>
      </c>
      <c r="F521" s="86" t="s">
        <v>5138</v>
      </c>
      <c r="G521" s="83">
        <v>0</v>
      </c>
    </row>
    <row r="522" spans="1:7">
      <c r="A522" s="78" t="s">
        <v>6743</v>
      </c>
      <c r="B522" s="78">
        <v>606</v>
      </c>
      <c r="C522" s="79">
        <v>0</v>
      </c>
      <c r="D522" s="85" t="s">
        <v>7629</v>
      </c>
      <c r="E522" s="85" t="s">
        <v>7628</v>
      </c>
      <c r="F522" s="86" t="s">
        <v>5138</v>
      </c>
      <c r="G522" s="83" t="s">
        <v>6796</v>
      </c>
    </row>
    <row r="523" spans="1:7">
      <c r="A523" s="78" t="s">
        <v>6743</v>
      </c>
      <c r="B523" s="78">
        <v>615</v>
      </c>
      <c r="C523" s="79">
        <v>0</v>
      </c>
      <c r="D523" s="85" t="s">
        <v>7631</v>
      </c>
      <c r="E523" s="85" t="s">
        <v>7630</v>
      </c>
      <c r="F523" s="86" t="s">
        <v>119</v>
      </c>
      <c r="G523" s="83">
        <v>0</v>
      </c>
    </row>
    <row r="524" spans="1:7">
      <c r="A524" s="78" t="s">
        <v>6743</v>
      </c>
      <c r="B524" s="78">
        <v>624</v>
      </c>
      <c r="C524" s="79">
        <v>0</v>
      </c>
      <c r="D524" s="85" t="s">
        <v>7633</v>
      </c>
      <c r="E524" s="85" t="s">
        <v>7632</v>
      </c>
      <c r="F524" s="86" t="s">
        <v>5138</v>
      </c>
      <c r="G524" s="83">
        <v>0</v>
      </c>
    </row>
    <row r="525" spans="1:7">
      <c r="A525" s="78" t="s">
        <v>6743</v>
      </c>
      <c r="B525" s="78">
        <v>633</v>
      </c>
      <c r="C525" s="79">
        <v>0</v>
      </c>
      <c r="D525" s="85" t="s">
        <v>7635</v>
      </c>
      <c r="E525" s="85" t="s">
        <v>7634</v>
      </c>
      <c r="F525" s="86" t="s">
        <v>119</v>
      </c>
      <c r="G525" s="83" t="s">
        <v>6796</v>
      </c>
    </row>
    <row r="526" spans="1:7">
      <c r="A526" s="78" t="s">
        <v>6743</v>
      </c>
      <c r="B526" s="78">
        <v>642</v>
      </c>
      <c r="C526" s="79">
        <v>0</v>
      </c>
      <c r="D526" s="85" t="s">
        <v>1110</v>
      </c>
      <c r="E526" s="84" t="s">
        <v>7636</v>
      </c>
      <c r="F526" s="86" t="s">
        <v>4936</v>
      </c>
      <c r="G526" s="83">
        <v>0</v>
      </c>
    </row>
    <row r="527" spans="1:7">
      <c r="A527" s="78" t="s">
        <v>6743</v>
      </c>
      <c r="B527" s="78">
        <v>651</v>
      </c>
      <c r="C527" s="79">
        <v>0</v>
      </c>
      <c r="D527" s="85" t="s">
        <v>7638</v>
      </c>
      <c r="E527" s="84" t="s">
        <v>7637</v>
      </c>
      <c r="F527" s="86" t="s">
        <v>7201</v>
      </c>
      <c r="G527" s="83">
        <v>0</v>
      </c>
    </row>
    <row r="528" spans="1:7">
      <c r="A528" s="78" t="s">
        <v>6743</v>
      </c>
      <c r="B528" s="78">
        <v>660</v>
      </c>
      <c r="C528" s="79">
        <v>0</v>
      </c>
      <c r="D528" s="85" t="s">
        <v>7640</v>
      </c>
      <c r="E528" s="84" t="s">
        <v>7639</v>
      </c>
      <c r="F528" s="86" t="s">
        <v>7641</v>
      </c>
      <c r="G528" s="83">
        <v>0</v>
      </c>
    </row>
    <row r="529" spans="1:7">
      <c r="A529" s="78" t="s">
        <v>6743</v>
      </c>
      <c r="B529" s="78">
        <v>669</v>
      </c>
      <c r="C529" s="79">
        <v>0</v>
      </c>
      <c r="D529" s="85" t="s">
        <v>7642</v>
      </c>
      <c r="E529" s="84" t="s">
        <v>4964</v>
      </c>
      <c r="F529" s="86" t="s">
        <v>4966</v>
      </c>
      <c r="G529" s="83">
        <v>0</v>
      </c>
    </row>
    <row r="530" spans="1:7">
      <c r="A530" s="78" t="s">
        <v>6743</v>
      </c>
      <c r="B530" s="78">
        <v>678</v>
      </c>
      <c r="C530" s="79" t="s">
        <v>6768</v>
      </c>
      <c r="D530" s="85" t="s">
        <v>6496</v>
      </c>
      <c r="E530" s="84" t="s">
        <v>6495</v>
      </c>
      <c r="F530" s="86" t="s">
        <v>6272</v>
      </c>
      <c r="G530" s="83">
        <v>0</v>
      </c>
    </row>
    <row r="531" spans="1:7">
      <c r="A531" s="78" t="s">
        <v>6743</v>
      </c>
      <c r="B531" s="78">
        <v>687</v>
      </c>
      <c r="C531" s="79" t="s">
        <v>6768</v>
      </c>
      <c r="D531" s="85" t="s">
        <v>7644</v>
      </c>
      <c r="E531" s="84" t="s">
        <v>7643</v>
      </c>
      <c r="F531" s="86" t="s">
        <v>6405</v>
      </c>
      <c r="G531" s="83">
        <v>0</v>
      </c>
    </row>
    <row r="532" spans="1:7">
      <c r="A532" s="78" t="s">
        <v>6743</v>
      </c>
      <c r="B532" s="78">
        <v>749</v>
      </c>
      <c r="C532" s="79">
        <v>0</v>
      </c>
      <c r="D532" s="85" t="s">
        <v>4997</v>
      </c>
      <c r="E532" s="84" t="s">
        <v>7645</v>
      </c>
      <c r="F532" s="86" t="s">
        <v>7646</v>
      </c>
      <c r="G532" s="83">
        <v>24968</v>
      </c>
    </row>
    <row r="533" spans="1:7">
      <c r="A533" s="78" t="s">
        <v>6743</v>
      </c>
      <c r="B533" s="78">
        <v>26</v>
      </c>
      <c r="C533" s="79" t="s">
        <v>6746</v>
      </c>
      <c r="D533" s="85" t="s">
        <v>5107</v>
      </c>
      <c r="E533" s="84" t="s">
        <v>1912</v>
      </c>
      <c r="F533" s="86" t="s">
        <v>5103</v>
      </c>
      <c r="G533" s="83">
        <v>1206810</v>
      </c>
    </row>
    <row r="534" spans="1:7">
      <c r="A534" s="78" t="s">
        <v>6743</v>
      </c>
      <c r="B534" s="78">
        <v>35</v>
      </c>
      <c r="C534" s="79">
        <v>0</v>
      </c>
      <c r="D534" s="85" t="s">
        <v>5365</v>
      </c>
      <c r="E534" s="84" t="s">
        <v>5364</v>
      </c>
      <c r="F534" s="86" t="s">
        <v>5366</v>
      </c>
      <c r="G534" s="83">
        <v>723478</v>
      </c>
    </row>
    <row r="535" spans="1:7">
      <c r="A535" s="78" t="s">
        <v>6743</v>
      </c>
      <c r="B535" s="78">
        <v>44</v>
      </c>
      <c r="C535" s="79">
        <v>0</v>
      </c>
      <c r="D535" s="85" t="s">
        <v>5368</v>
      </c>
      <c r="E535" s="84" t="s">
        <v>5367</v>
      </c>
      <c r="F535" s="86" t="s">
        <v>5366</v>
      </c>
      <c r="G535" s="83">
        <v>517748</v>
      </c>
    </row>
    <row r="536" spans="1:7">
      <c r="A536" s="78" t="s">
        <v>6743</v>
      </c>
      <c r="B536" s="78">
        <v>53</v>
      </c>
      <c r="C536" s="79">
        <v>0</v>
      </c>
      <c r="D536" s="85" t="s">
        <v>5979</v>
      </c>
      <c r="E536" s="85" t="s">
        <v>5978</v>
      </c>
      <c r="F536" s="86" t="s">
        <v>5980</v>
      </c>
      <c r="G536" s="83">
        <v>452965</v>
      </c>
    </row>
    <row r="537" spans="1:7">
      <c r="A537" s="78" t="s">
        <v>6743</v>
      </c>
      <c r="B537" s="78">
        <v>62</v>
      </c>
      <c r="C537" s="79">
        <v>0</v>
      </c>
      <c r="D537" s="85" t="s">
        <v>5150</v>
      </c>
      <c r="E537" s="84" t="s">
        <v>5149</v>
      </c>
      <c r="F537" s="86" t="s">
        <v>5125</v>
      </c>
      <c r="G537" s="83">
        <v>397640</v>
      </c>
    </row>
    <row r="538" spans="1:7">
      <c r="A538" s="78" t="s">
        <v>6743</v>
      </c>
      <c r="B538" s="78">
        <v>71</v>
      </c>
      <c r="C538" s="79">
        <v>0</v>
      </c>
      <c r="D538" s="85" t="s">
        <v>5148</v>
      </c>
      <c r="E538" s="84" t="s">
        <v>5147</v>
      </c>
      <c r="F538" s="86" t="s">
        <v>119</v>
      </c>
      <c r="G538" s="83">
        <v>333325</v>
      </c>
    </row>
    <row r="539" spans="1:7">
      <c r="A539" s="78" t="s">
        <v>6743</v>
      </c>
      <c r="B539" s="78">
        <v>80</v>
      </c>
      <c r="C539" s="79" t="s">
        <v>6746</v>
      </c>
      <c r="D539" s="85" t="s">
        <v>7647</v>
      </c>
      <c r="E539" s="84" t="s">
        <v>6104</v>
      </c>
      <c r="F539" s="86" t="s">
        <v>5424</v>
      </c>
      <c r="G539" s="83">
        <v>292502</v>
      </c>
    </row>
    <row r="540" spans="1:7">
      <c r="A540" s="78" t="s">
        <v>6743</v>
      </c>
      <c r="B540" s="78">
        <v>89</v>
      </c>
      <c r="C540" s="79">
        <v>0</v>
      </c>
      <c r="D540" s="85" t="s">
        <v>5611</v>
      </c>
      <c r="E540" s="84" t="s">
        <v>5610</v>
      </c>
      <c r="F540" s="86" t="s">
        <v>5612</v>
      </c>
      <c r="G540" s="83">
        <v>240372</v>
      </c>
    </row>
    <row r="541" spans="1:7">
      <c r="A541" s="78" t="s">
        <v>6743</v>
      </c>
      <c r="B541" s="78">
        <v>98</v>
      </c>
      <c r="C541" s="79">
        <v>0</v>
      </c>
      <c r="D541" s="85" t="s">
        <v>5577</v>
      </c>
      <c r="E541" s="84" t="s">
        <v>5576</v>
      </c>
      <c r="F541" s="86" t="s">
        <v>7406</v>
      </c>
      <c r="G541" s="83">
        <v>195356</v>
      </c>
    </row>
    <row r="542" spans="1:7">
      <c r="A542" s="78" t="s">
        <v>6743</v>
      </c>
      <c r="B542" s="78">
        <v>107</v>
      </c>
      <c r="C542" s="79">
        <v>0</v>
      </c>
      <c r="D542" s="85" t="s">
        <v>5800</v>
      </c>
      <c r="E542" s="84" t="s">
        <v>5799</v>
      </c>
      <c r="F542" s="86" t="s">
        <v>6761</v>
      </c>
      <c r="G542" s="83">
        <v>181806</v>
      </c>
    </row>
    <row r="543" spans="1:7">
      <c r="A543" s="78" t="s">
        <v>6743</v>
      </c>
      <c r="B543" s="78">
        <v>116</v>
      </c>
      <c r="C543" s="79">
        <v>0</v>
      </c>
      <c r="D543" s="85" t="s">
        <v>5781</v>
      </c>
      <c r="E543" s="84" t="s">
        <v>5780</v>
      </c>
      <c r="F543" s="86" t="s">
        <v>5704</v>
      </c>
      <c r="G543" s="83">
        <v>158348</v>
      </c>
    </row>
    <row r="544" spans="1:7">
      <c r="A544" s="78" t="s">
        <v>6743</v>
      </c>
      <c r="B544" s="78">
        <v>125</v>
      </c>
      <c r="C544" s="79">
        <v>0</v>
      </c>
      <c r="D544" s="85" t="s">
        <v>5775</v>
      </c>
      <c r="E544" s="84" t="s">
        <v>5774</v>
      </c>
      <c r="F544" s="86" t="s">
        <v>5704</v>
      </c>
      <c r="G544" s="83">
        <v>149190</v>
      </c>
    </row>
    <row r="545" spans="1:7">
      <c r="A545" s="78" t="s">
        <v>6743</v>
      </c>
      <c r="B545" s="78">
        <v>134</v>
      </c>
      <c r="C545" s="79">
        <v>0</v>
      </c>
      <c r="D545" s="85" t="s">
        <v>5444</v>
      </c>
      <c r="E545" s="85" t="s">
        <v>5443</v>
      </c>
      <c r="F545" s="86" t="s">
        <v>5427</v>
      </c>
      <c r="G545" s="83">
        <v>141142</v>
      </c>
    </row>
    <row r="546" spans="1:7">
      <c r="A546" s="78" t="s">
        <v>6743</v>
      </c>
      <c r="B546" s="78">
        <v>143</v>
      </c>
      <c r="C546" s="79" t="s">
        <v>6768</v>
      </c>
      <c r="D546" s="85" t="s">
        <v>6401</v>
      </c>
      <c r="E546" s="84" t="s">
        <v>6400</v>
      </c>
      <c r="F546" s="86" t="s">
        <v>6402</v>
      </c>
      <c r="G546" s="83">
        <v>128596</v>
      </c>
    </row>
    <row r="547" spans="1:7">
      <c r="A547" s="78" t="s">
        <v>6743</v>
      </c>
      <c r="B547" s="78">
        <v>152</v>
      </c>
      <c r="C547" s="79" t="s">
        <v>7648</v>
      </c>
      <c r="D547" s="88" t="s">
        <v>7650</v>
      </c>
      <c r="E547" s="87" t="s">
        <v>7649</v>
      </c>
      <c r="F547" s="89" t="s">
        <v>5403</v>
      </c>
      <c r="G547" s="83">
        <v>109598</v>
      </c>
    </row>
    <row r="548" spans="1:7">
      <c r="A548" s="78" t="s">
        <v>6743</v>
      </c>
      <c r="B548" s="78">
        <v>161</v>
      </c>
      <c r="C548" s="79" t="s">
        <v>6898</v>
      </c>
      <c r="D548" s="88" t="s">
        <v>6578</v>
      </c>
      <c r="E548" s="87" t="s">
        <v>6577</v>
      </c>
      <c r="F548" s="89" t="s">
        <v>119</v>
      </c>
      <c r="G548" s="83">
        <v>93482</v>
      </c>
    </row>
    <row r="549" spans="1:7">
      <c r="A549" s="78" t="s">
        <v>6743</v>
      </c>
      <c r="B549" s="78">
        <v>170</v>
      </c>
      <c r="C549" s="79" t="s">
        <v>6745</v>
      </c>
      <c r="D549" s="81" t="s">
        <v>6157</v>
      </c>
      <c r="E549" s="80" t="s">
        <v>6156</v>
      </c>
      <c r="F549" s="82" t="s">
        <v>5125</v>
      </c>
      <c r="G549" s="83">
        <v>86176</v>
      </c>
    </row>
    <row r="550" spans="1:7">
      <c r="A550" s="78" t="s">
        <v>6743</v>
      </c>
      <c r="B550" s="78">
        <v>179</v>
      </c>
      <c r="C550" s="79" t="s">
        <v>6755</v>
      </c>
      <c r="D550" s="85" t="s">
        <v>6308</v>
      </c>
      <c r="E550" s="84" t="s">
        <v>6307</v>
      </c>
      <c r="F550" s="86" t="s">
        <v>6303</v>
      </c>
      <c r="G550" s="83">
        <v>79551</v>
      </c>
    </row>
    <row r="551" spans="1:7">
      <c r="A551" s="78" t="s">
        <v>6743</v>
      </c>
      <c r="B551" s="78">
        <v>188</v>
      </c>
      <c r="C551" s="79" t="s">
        <v>6755</v>
      </c>
      <c r="D551" s="85" t="s">
        <v>5963</v>
      </c>
      <c r="E551" s="84" t="s">
        <v>5962</v>
      </c>
      <c r="F551" s="86" t="s">
        <v>5687</v>
      </c>
      <c r="G551" s="83">
        <v>67794</v>
      </c>
    </row>
    <row r="552" spans="1:7">
      <c r="A552" s="78" t="s">
        <v>6743</v>
      </c>
      <c r="B552" s="78">
        <v>197</v>
      </c>
      <c r="C552" s="79" t="s">
        <v>6745</v>
      </c>
      <c r="D552" s="81" t="s">
        <v>6485</v>
      </c>
      <c r="E552" s="80" t="s">
        <v>6484</v>
      </c>
      <c r="F552" s="82" t="s">
        <v>6303</v>
      </c>
      <c r="G552" s="83">
        <v>53044</v>
      </c>
    </row>
    <row r="553" spans="1:7">
      <c r="A553" s="78" t="s">
        <v>6743</v>
      </c>
      <c r="B553" s="78">
        <v>206</v>
      </c>
      <c r="C553" s="79" t="s">
        <v>6745</v>
      </c>
      <c r="D553" s="81" t="s">
        <v>7651</v>
      </c>
      <c r="E553" s="80" t="s">
        <v>5274</v>
      </c>
      <c r="F553" s="82" t="s">
        <v>5125</v>
      </c>
      <c r="G553" s="83">
        <v>43889</v>
      </c>
    </row>
    <row r="554" spans="1:7">
      <c r="A554" s="78" t="s">
        <v>6743</v>
      </c>
      <c r="B554" s="78">
        <v>215</v>
      </c>
      <c r="C554" s="79"/>
      <c r="D554" s="85" t="s">
        <v>5769</v>
      </c>
      <c r="E554" s="85" t="s">
        <v>5768</v>
      </c>
      <c r="F554" s="86" t="s">
        <v>7652</v>
      </c>
      <c r="G554" s="83">
        <v>36865</v>
      </c>
    </row>
    <row r="555" spans="1:7">
      <c r="A555" s="78" t="s">
        <v>6743</v>
      </c>
      <c r="B555" s="78">
        <v>224</v>
      </c>
      <c r="C555" s="79" t="s">
        <v>6758</v>
      </c>
      <c r="D555" s="88" t="s">
        <v>7654</v>
      </c>
      <c r="E555" s="87" t="s">
        <v>7653</v>
      </c>
      <c r="F555" s="89" t="s">
        <v>5120</v>
      </c>
      <c r="G555" s="83">
        <v>33146</v>
      </c>
    </row>
    <row r="556" spans="1:7">
      <c r="A556" s="78" t="s">
        <v>6743</v>
      </c>
      <c r="B556" s="78">
        <v>233</v>
      </c>
      <c r="C556" s="79" t="s">
        <v>6768</v>
      </c>
      <c r="D556" s="85" t="s">
        <v>7656</v>
      </c>
      <c r="E556" s="84" t="s">
        <v>7655</v>
      </c>
      <c r="F556" s="86" t="s">
        <v>5452</v>
      </c>
      <c r="G556" s="83">
        <v>32159</v>
      </c>
    </row>
    <row r="557" spans="1:7">
      <c r="A557" s="78" t="s">
        <v>6743</v>
      </c>
      <c r="B557" s="78">
        <v>242</v>
      </c>
      <c r="C557" s="79" t="s">
        <v>6758</v>
      </c>
      <c r="D557" s="88" t="s">
        <v>7658</v>
      </c>
      <c r="E557" s="87" t="s">
        <v>7657</v>
      </c>
      <c r="F557" s="89" t="s">
        <v>5120</v>
      </c>
      <c r="G557" s="83">
        <v>25349</v>
      </c>
    </row>
    <row r="558" spans="1:7">
      <c r="A558" s="78" t="s">
        <v>6743</v>
      </c>
      <c r="B558" s="78">
        <v>251</v>
      </c>
      <c r="C558" s="79">
        <v>0</v>
      </c>
      <c r="D558" s="85" t="s">
        <v>4832</v>
      </c>
      <c r="E558" s="85" t="s">
        <v>4831</v>
      </c>
      <c r="F558" s="86" t="s">
        <v>5424</v>
      </c>
      <c r="G558" s="83">
        <v>24427</v>
      </c>
    </row>
    <row r="559" spans="1:7">
      <c r="A559" s="78" t="s">
        <v>6743</v>
      </c>
      <c r="B559" s="78">
        <v>260</v>
      </c>
      <c r="C559" s="79" t="s">
        <v>6755</v>
      </c>
      <c r="D559" s="85" t="s">
        <v>6384</v>
      </c>
      <c r="E559" s="84" t="s">
        <v>6383</v>
      </c>
      <c r="F559" s="86" t="s">
        <v>5135</v>
      </c>
      <c r="G559" s="83">
        <v>17652</v>
      </c>
    </row>
    <row r="560" spans="1:7">
      <c r="A560" s="78" t="s">
        <v>6743</v>
      </c>
      <c r="B560" s="78">
        <v>269</v>
      </c>
      <c r="C560" s="79" t="s">
        <v>6779</v>
      </c>
      <c r="D560" s="81" t="s">
        <v>6319</v>
      </c>
      <c r="E560" s="80" t="s">
        <v>7659</v>
      </c>
      <c r="F560" s="82" t="s">
        <v>6228</v>
      </c>
      <c r="G560" s="83">
        <v>11227</v>
      </c>
    </row>
    <row r="561" spans="1:7">
      <c r="A561" s="78" t="s">
        <v>6743</v>
      </c>
      <c r="B561" s="78">
        <v>278</v>
      </c>
      <c r="C561" s="79" t="s">
        <v>6755</v>
      </c>
      <c r="D561" s="85" t="s">
        <v>7660</v>
      </c>
      <c r="E561" s="84" t="s">
        <v>6298</v>
      </c>
      <c r="F561" s="86" t="s">
        <v>6300</v>
      </c>
      <c r="G561" s="83">
        <v>10324</v>
      </c>
    </row>
    <row r="562" spans="1:7">
      <c r="A562" s="78" t="s">
        <v>6743</v>
      </c>
      <c r="B562" s="78">
        <v>287</v>
      </c>
      <c r="C562" s="79" t="s">
        <v>6782</v>
      </c>
      <c r="D562" s="85" t="s">
        <v>6097</v>
      </c>
      <c r="E562" s="84" t="s">
        <v>6096</v>
      </c>
      <c r="F562" s="86" t="s">
        <v>6101</v>
      </c>
      <c r="G562" s="83">
        <v>7794</v>
      </c>
    </row>
    <row r="563" spans="1:7">
      <c r="A563" s="78" t="s">
        <v>6743</v>
      </c>
      <c r="B563" s="78">
        <v>296</v>
      </c>
      <c r="C563" s="79">
        <v>0</v>
      </c>
      <c r="D563" s="85" t="s">
        <v>7661</v>
      </c>
      <c r="E563" s="84" t="s">
        <v>5829</v>
      </c>
      <c r="F563" s="86" t="s">
        <v>7287</v>
      </c>
      <c r="G563" s="83">
        <v>5653</v>
      </c>
    </row>
    <row r="564" spans="1:7">
      <c r="A564" s="78" t="s">
        <v>6743</v>
      </c>
      <c r="B564" s="78">
        <v>305</v>
      </c>
      <c r="C564" s="79">
        <v>0</v>
      </c>
      <c r="D564" s="85" t="s">
        <v>7663</v>
      </c>
      <c r="E564" s="84" t="s">
        <v>7662</v>
      </c>
      <c r="F564" s="86" t="s">
        <v>7664</v>
      </c>
      <c r="G564" s="83">
        <v>1849</v>
      </c>
    </row>
    <row r="565" spans="1:7">
      <c r="A565" s="78" t="s">
        <v>6743</v>
      </c>
      <c r="B565" s="78">
        <v>314</v>
      </c>
      <c r="C565" s="102" t="s">
        <v>6786</v>
      </c>
      <c r="D565" s="85" t="s">
        <v>7666</v>
      </c>
      <c r="E565" s="85" t="s">
        <v>7665</v>
      </c>
      <c r="F565" s="86" t="s">
        <v>6792</v>
      </c>
      <c r="G565" s="83">
        <v>0</v>
      </c>
    </row>
    <row r="566" spans="1:7">
      <c r="A566" s="78" t="s">
        <v>6743</v>
      </c>
      <c r="B566" s="78">
        <v>323</v>
      </c>
      <c r="C566" s="79">
        <v>0</v>
      </c>
      <c r="D566" s="85" t="s">
        <v>7668</v>
      </c>
      <c r="E566" s="85" t="s">
        <v>7667</v>
      </c>
      <c r="F566" s="86" t="s">
        <v>7303</v>
      </c>
      <c r="G566" s="83" t="s">
        <v>6796</v>
      </c>
    </row>
    <row r="567" spans="1:7">
      <c r="A567" s="78" t="s">
        <v>6743</v>
      </c>
      <c r="B567" s="78">
        <v>332</v>
      </c>
      <c r="C567" s="79">
        <v>0</v>
      </c>
      <c r="D567" s="85" t="s">
        <v>7670</v>
      </c>
      <c r="E567" s="85" t="s">
        <v>7669</v>
      </c>
      <c r="F567" s="86" t="s">
        <v>7056</v>
      </c>
      <c r="G567" s="83" t="s">
        <v>6796</v>
      </c>
    </row>
    <row r="568" spans="1:7">
      <c r="A568" s="78" t="s">
        <v>6743</v>
      </c>
      <c r="B568" s="78">
        <v>341</v>
      </c>
      <c r="C568" s="79">
        <v>0</v>
      </c>
      <c r="D568" s="85" t="s">
        <v>7672</v>
      </c>
      <c r="E568" s="85" t="s">
        <v>7671</v>
      </c>
      <c r="F568" s="86" t="s">
        <v>7310</v>
      </c>
      <c r="G568" s="83" t="s">
        <v>6796</v>
      </c>
    </row>
    <row r="569" spans="1:7">
      <c r="A569" s="78" t="s">
        <v>6743</v>
      </c>
      <c r="B569" s="78">
        <v>350</v>
      </c>
      <c r="C569" s="79">
        <v>0</v>
      </c>
      <c r="D569" s="85" t="s">
        <v>7674</v>
      </c>
      <c r="E569" s="85" t="s">
        <v>7673</v>
      </c>
      <c r="F569" s="86" t="s">
        <v>7313</v>
      </c>
      <c r="G569" s="83" t="s">
        <v>6796</v>
      </c>
    </row>
    <row r="570" spans="1:7">
      <c r="A570" s="78" t="s">
        <v>6743</v>
      </c>
      <c r="B570" s="78">
        <v>359</v>
      </c>
      <c r="C570" s="79">
        <v>0</v>
      </c>
      <c r="D570" s="85" t="s">
        <v>7676</v>
      </c>
      <c r="E570" s="85" t="s">
        <v>7675</v>
      </c>
      <c r="F570" s="86" t="s">
        <v>7278</v>
      </c>
      <c r="G570" s="83" t="s">
        <v>6796</v>
      </c>
    </row>
    <row r="571" spans="1:7">
      <c r="A571" s="78" t="s">
        <v>6743</v>
      </c>
      <c r="B571" s="78">
        <v>368</v>
      </c>
      <c r="C571" s="79">
        <v>0</v>
      </c>
      <c r="D571" s="85" t="s">
        <v>7678</v>
      </c>
      <c r="E571" s="85" t="s">
        <v>7677</v>
      </c>
      <c r="F571" s="86" t="s">
        <v>5125</v>
      </c>
      <c r="G571" s="83">
        <v>0</v>
      </c>
    </row>
    <row r="572" spans="1:7">
      <c r="A572" s="78" t="s">
        <v>6743</v>
      </c>
      <c r="B572" s="78">
        <v>377</v>
      </c>
      <c r="C572" s="79">
        <v>0</v>
      </c>
      <c r="D572" s="85" t="s">
        <v>7680</v>
      </c>
      <c r="E572" s="85" t="s">
        <v>7679</v>
      </c>
      <c r="F572" s="86" t="s">
        <v>7681</v>
      </c>
      <c r="G572" s="83" t="s">
        <v>6796</v>
      </c>
    </row>
    <row r="573" spans="1:7">
      <c r="A573" s="78" t="s">
        <v>6743</v>
      </c>
      <c r="B573" s="78">
        <v>386</v>
      </c>
      <c r="C573" s="79">
        <v>0</v>
      </c>
      <c r="D573" s="85" t="s">
        <v>7683</v>
      </c>
      <c r="E573" s="85" t="s">
        <v>7682</v>
      </c>
      <c r="F573" s="86" t="s">
        <v>7684</v>
      </c>
      <c r="G573" s="83">
        <v>0</v>
      </c>
    </row>
    <row r="574" spans="1:7">
      <c r="A574" s="78" t="s">
        <v>6743</v>
      </c>
      <c r="B574" s="78">
        <v>395</v>
      </c>
      <c r="C574" s="79">
        <v>0</v>
      </c>
      <c r="D574" s="85" t="s">
        <v>7686</v>
      </c>
      <c r="E574" s="85" t="s">
        <v>7685</v>
      </c>
      <c r="F574" s="86" t="s">
        <v>7687</v>
      </c>
      <c r="G574" s="83" t="s">
        <v>6796</v>
      </c>
    </row>
    <row r="575" spans="1:7">
      <c r="A575" s="78" t="s">
        <v>6743</v>
      </c>
      <c r="B575" s="78">
        <v>404</v>
      </c>
      <c r="C575" s="79">
        <v>0</v>
      </c>
      <c r="D575" s="85" t="s">
        <v>7689</v>
      </c>
      <c r="E575" s="85" t="s">
        <v>7688</v>
      </c>
      <c r="F575" s="86" t="s">
        <v>7690</v>
      </c>
      <c r="G575" s="83" t="s">
        <v>6796</v>
      </c>
    </row>
    <row r="576" spans="1:7">
      <c r="A576" s="78" t="s">
        <v>6743</v>
      </c>
      <c r="B576" s="78">
        <v>413</v>
      </c>
      <c r="C576" s="79">
        <v>0</v>
      </c>
      <c r="D576" s="85" t="s">
        <v>7692</v>
      </c>
      <c r="E576" s="85" t="s">
        <v>7691</v>
      </c>
      <c r="F576" s="86" t="s">
        <v>7693</v>
      </c>
      <c r="G576" s="83" t="s">
        <v>6796</v>
      </c>
    </row>
    <row r="577" spans="1:7">
      <c r="A577" s="78" t="s">
        <v>6743</v>
      </c>
      <c r="B577" s="78">
        <v>422</v>
      </c>
      <c r="C577" s="79">
        <v>0</v>
      </c>
      <c r="D577" s="85" t="s">
        <v>7695</v>
      </c>
      <c r="E577" s="85" t="s">
        <v>7694</v>
      </c>
      <c r="F577" s="86" t="s">
        <v>7458</v>
      </c>
      <c r="G577" s="83" t="s">
        <v>6796</v>
      </c>
    </row>
    <row r="578" spans="1:7">
      <c r="A578" s="78" t="s">
        <v>6743</v>
      </c>
      <c r="B578" s="78">
        <v>431</v>
      </c>
      <c r="C578" s="79">
        <v>0</v>
      </c>
      <c r="D578" s="85" t="s">
        <v>7697</v>
      </c>
      <c r="E578" s="85" t="s">
        <v>7696</v>
      </c>
      <c r="F578" s="86" t="s">
        <v>7698</v>
      </c>
      <c r="G578" s="83">
        <v>0</v>
      </c>
    </row>
    <row r="579" spans="1:7">
      <c r="A579" s="78" t="s">
        <v>6743</v>
      </c>
      <c r="B579" s="78">
        <v>440</v>
      </c>
      <c r="C579" s="79">
        <v>0</v>
      </c>
      <c r="D579" s="85" t="s">
        <v>7700</v>
      </c>
      <c r="E579" s="85" t="s">
        <v>7699</v>
      </c>
      <c r="F579" s="86" t="s">
        <v>7464</v>
      </c>
      <c r="G579" s="83">
        <v>0</v>
      </c>
    </row>
    <row r="580" spans="1:7">
      <c r="A580" s="78" t="s">
        <v>6743</v>
      </c>
      <c r="B580" s="78">
        <v>449</v>
      </c>
      <c r="C580" s="102" t="s">
        <v>6786</v>
      </c>
      <c r="D580" s="85" t="s">
        <v>7702</v>
      </c>
      <c r="E580" s="85" t="s">
        <v>7701</v>
      </c>
      <c r="F580" s="86" t="s">
        <v>7703</v>
      </c>
      <c r="G580" s="83">
        <v>0</v>
      </c>
    </row>
    <row r="581" spans="1:7">
      <c r="A581" s="78" t="s">
        <v>6743</v>
      </c>
      <c r="B581" s="78">
        <v>458</v>
      </c>
      <c r="C581" s="102" t="s">
        <v>6786</v>
      </c>
      <c r="D581" s="85" t="s">
        <v>7705</v>
      </c>
      <c r="E581" s="85" t="s">
        <v>7704</v>
      </c>
      <c r="F581" s="86" t="s">
        <v>7706</v>
      </c>
      <c r="G581" s="83">
        <v>0</v>
      </c>
    </row>
    <row r="582" spans="1:7">
      <c r="A582" s="78" t="s">
        <v>6743</v>
      </c>
      <c r="B582" s="78">
        <v>467</v>
      </c>
      <c r="C582" s="102" t="s">
        <v>6786</v>
      </c>
      <c r="D582" s="85" t="s">
        <v>7708</v>
      </c>
      <c r="E582" s="85" t="s">
        <v>7707</v>
      </c>
      <c r="F582" s="86" t="s">
        <v>7709</v>
      </c>
      <c r="G582" s="83">
        <v>0</v>
      </c>
    </row>
    <row r="583" spans="1:7">
      <c r="A583" s="78" t="s">
        <v>6743</v>
      </c>
      <c r="B583" s="78">
        <v>476</v>
      </c>
      <c r="C583" s="102" t="s">
        <v>6786</v>
      </c>
      <c r="D583" s="85" t="s">
        <v>7711</v>
      </c>
      <c r="E583" s="85" t="s">
        <v>7710</v>
      </c>
      <c r="F583" s="86" t="s">
        <v>7712</v>
      </c>
      <c r="G583" s="83">
        <v>0</v>
      </c>
    </row>
    <row r="584" spans="1:7">
      <c r="A584" s="78" t="s">
        <v>6743</v>
      </c>
      <c r="B584" s="78">
        <v>485</v>
      </c>
      <c r="C584" s="79">
        <v>0</v>
      </c>
      <c r="D584" s="85" t="s">
        <v>7714</v>
      </c>
      <c r="E584" s="85" t="s">
        <v>7713</v>
      </c>
      <c r="F584" s="86" t="s">
        <v>7715</v>
      </c>
      <c r="G584" s="83" t="s">
        <v>6796</v>
      </c>
    </row>
    <row r="585" spans="1:7">
      <c r="A585" s="78" t="s">
        <v>6743</v>
      </c>
      <c r="B585" s="78">
        <v>494</v>
      </c>
      <c r="C585" s="79">
        <v>0</v>
      </c>
      <c r="D585" s="85" t="s">
        <v>7717</v>
      </c>
      <c r="E585" s="85" t="s">
        <v>7716</v>
      </c>
      <c r="F585" s="86" t="s">
        <v>7718</v>
      </c>
      <c r="G585" s="83" t="s">
        <v>6796</v>
      </c>
    </row>
    <row r="586" spans="1:7">
      <c r="A586" s="78" t="s">
        <v>6743</v>
      </c>
      <c r="B586" s="78">
        <v>503</v>
      </c>
      <c r="C586" s="79">
        <v>0</v>
      </c>
      <c r="D586" s="85" t="s">
        <v>7720</v>
      </c>
      <c r="E586" s="85" t="s">
        <v>7719</v>
      </c>
      <c r="F586" s="86" t="s">
        <v>7361</v>
      </c>
      <c r="G586" s="83">
        <v>0</v>
      </c>
    </row>
    <row r="587" spans="1:7">
      <c r="A587" s="78" t="s">
        <v>6743</v>
      </c>
      <c r="B587" s="78">
        <v>512</v>
      </c>
      <c r="C587" s="79">
        <v>0</v>
      </c>
      <c r="D587" s="85" t="s">
        <v>7722</v>
      </c>
      <c r="E587" s="85" t="s">
        <v>7721</v>
      </c>
      <c r="F587" s="86" t="s">
        <v>119</v>
      </c>
      <c r="G587" s="83">
        <v>0</v>
      </c>
    </row>
    <row r="588" spans="1:7">
      <c r="A588" s="78" t="s">
        <v>6743</v>
      </c>
      <c r="B588" s="78">
        <v>521</v>
      </c>
      <c r="C588" s="79">
        <v>0</v>
      </c>
      <c r="D588" s="85" t="s">
        <v>7724</v>
      </c>
      <c r="E588" s="85" t="s">
        <v>7723</v>
      </c>
      <c r="F588" s="86" t="s">
        <v>5125</v>
      </c>
      <c r="G588" s="83">
        <v>0</v>
      </c>
    </row>
    <row r="589" spans="1:7">
      <c r="A589" s="78" t="s">
        <v>6743</v>
      </c>
      <c r="B589" s="78">
        <v>530</v>
      </c>
      <c r="C589" s="79">
        <v>0</v>
      </c>
      <c r="D589" s="85" t="s">
        <v>7726</v>
      </c>
      <c r="E589" s="85" t="s">
        <v>7725</v>
      </c>
      <c r="F589" s="86" t="s">
        <v>5138</v>
      </c>
      <c r="G589" s="83">
        <v>0</v>
      </c>
    </row>
    <row r="590" spans="1:7">
      <c r="A590" s="78" t="s">
        <v>6743</v>
      </c>
      <c r="B590" s="78">
        <v>539</v>
      </c>
      <c r="C590" s="79">
        <v>0</v>
      </c>
      <c r="D590" s="85" t="s">
        <v>7728</v>
      </c>
      <c r="E590" s="85" t="s">
        <v>7727</v>
      </c>
      <c r="F590" s="86" t="s">
        <v>5687</v>
      </c>
      <c r="G590" s="83">
        <v>0</v>
      </c>
    </row>
    <row r="591" spans="1:7">
      <c r="A591" s="78" t="s">
        <v>6743</v>
      </c>
      <c r="B591" s="78">
        <v>548</v>
      </c>
      <c r="C591" s="79">
        <v>0</v>
      </c>
      <c r="D591" s="85" t="s">
        <v>7730</v>
      </c>
      <c r="E591" s="85" t="s">
        <v>7729</v>
      </c>
      <c r="F591" s="86" t="s">
        <v>7256</v>
      </c>
      <c r="G591" s="83">
        <v>0</v>
      </c>
    </row>
    <row r="592" spans="1:7">
      <c r="A592" s="78" t="s">
        <v>6743</v>
      </c>
      <c r="B592" s="78">
        <v>557</v>
      </c>
      <c r="C592" s="79">
        <v>0</v>
      </c>
      <c r="D592" s="85" t="s">
        <v>7732</v>
      </c>
      <c r="E592" s="85" t="s">
        <v>7731</v>
      </c>
      <c r="F592" s="86" t="s">
        <v>5427</v>
      </c>
      <c r="G592" s="83">
        <v>0</v>
      </c>
    </row>
    <row r="593" spans="1:7">
      <c r="A593" s="78" t="s">
        <v>6743</v>
      </c>
      <c r="B593" s="78">
        <v>566</v>
      </c>
      <c r="C593" s="79">
        <v>0</v>
      </c>
      <c r="D593" s="85" t="s">
        <v>7734</v>
      </c>
      <c r="E593" s="85" t="s">
        <v>7733</v>
      </c>
      <c r="F593" s="86" t="s">
        <v>7735</v>
      </c>
      <c r="G593" s="83">
        <v>0</v>
      </c>
    </row>
    <row r="594" spans="1:7">
      <c r="A594" s="78" t="s">
        <v>6743</v>
      </c>
      <c r="B594" s="78">
        <v>575</v>
      </c>
      <c r="C594" s="79">
        <v>0</v>
      </c>
      <c r="D594" s="85" t="s">
        <v>7737</v>
      </c>
      <c r="E594" s="85" t="s">
        <v>7736</v>
      </c>
      <c r="F594" s="86" t="s">
        <v>119</v>
      </c>
      <c r="G594" s="83">
        <v>0</v>
      </c>
    </row>
    <row r="595" spans="1:7">
      <c r="A595" s="78" t="s">
        <v>6743</v>
      </c>
      <c r="B595" s="78">
        <v>584</v>
      </c>
      <c r="C595" s="79">
        <v>0</v>
      </c>
      <c r="D595" s="85" t="s">
        <v>7739</v>
      </c>
      <c r="E595" s="85" t="s">
        <v>7738</v>
      </c>
      <c r="F595" s="86" t="s">
        <v>5138</v>
      </c>
      <c r="G595" s="83">
        <v>0</v>
      </c>
    </row>
    <row r="596" spans="1:7">
      <c r="A596" s="78" t="s">
        <v>6743</v>
      </c>
      <c r="B596" s="78">
        <v>593</v>
      </c>
      <c r="C596" s="102" t="s">
        <v>6786</v>
      </c>
      <c r="D596" s="85" t="s">
        <v>7741</v>
      </c>
      <c r="E596" s="85" t="s">
        <v>7740</v>
      </c>
      <c r="F596" s="86" t="s">
        <v>5138</v>
      </c>
      <c r="G596" s="83">
        <v>0</v>
      </c>
    </row>
    <row r="597" spans="1:7">
      <c r="A597" s="78" t="s">
        <v>6743</v>
      </c>
      <c r="B597" s="78">
        <v>602</v>
      </c>
      <c r="C597" s="79">
        <v>0</v>
      </c>
      <c r="D597" s="85" t="s">
        <v>7743</v>
      </c>
      <c r="E597" s="85" t="s">
        <v>7742</v>
      </c>
      <c r="F597" s="86" t="s">
        <v>119</v>
      </c>
      <c r="G597" s="83" t="s">
        <v>6796</v>
      </c>
    </row>
    <row r="598" spans="1:7">
      <c r="A598" s="78" t="s">
        <v>6743</v>
      </c>
      <c r="B598" s="78">
        <v>611</v>
      </c>
      <c r="C598" s="79">
        <v>0</v>
      </c>
      <c r="D598" s="85" t="s">
        <v>7745</v>
      </c>
      <c r="E598" s="85" t="s">
        <v>7744</v>
      </c>
      <c r="F598" s="86" t="s">
        <v>119</v>
      </c>
      <c r="G598" s="83">
        <v>0</v>
      </c>
    </row>
    <row r="599" spans="1:7">
      <c r="A599" s="78" t="s">
        <v>6743</v>
      </c>
      <c r="B599" s="78">
        <v>620</v>
      </c>
      <c r="C599" s="79">
        <v>0</v>
      </c>
      <c r="D599" s="85" t="s">
        <v>7747</v>
      </c>
      <c r="E599" s="85" t="s">
        <v>7746</v>
      </c>
      <c r="F599" s="86" t="s">
        <v>5135</v>
      </c>
      <c r="G599" s="83" t="s">
        <v>6796</v>
      </c>
    </row>
    <row r="600" spans="1:7">
      <c r="A600" s="78" t="s">
        <v>6743</v>
      </c>
      <c r="B600" s="78">
        <v>629</v>
      </c>
      <c r="C600" s="79">
        <v>0</v>
      </c>
      <c r="D600" s="85" t="s">
        <v>7749</v>
      </c>
      <c r="E600" s="85" t="s">
        <v>7748</v>
      </c>
      <c r="F600" s="86" t="s">
        <v>119</v>
      </c>
      <c r="G600" s="83" t="s">
        <v>6796</v>
      </c>
    </row>
    <row r="601" spans="1:7">
      <c r="A601" s="78" t="s">
        <v>6743</v>
      </c>
      <c r="B601" s="78">
        <v>638</v>
      </c>
      <c r="C601" s="79">
        <v>0</v>
      </c>
      <c r="D601" s="85" t="s">
        <v>7751</v>
      </c>
      <c r="E601" s="85" t="s">
        <v>7750</v>
      </c>
      <c r="F601" s="86" t="s">
        <v>6881</v>
      </c>
      <c r="G601" s="83">
        <v>0</v>
      </c>
    </row>
    <row r="602" spans="1:7">
      <c r="A602" s="78" t="s">
        <v>6743</v>
      </c>
      <c r="B602" s="78">
        <v>647</v>
      </c>
      <c r="C602" s="79">
        <v>0</v>
      </c>
      <c r="D602" s="85" t="s">
        <v>1114</v>
      </c>
      <c r="E602" s="84" t="s">
        <v>7752</v>
      </c>
      <c r="F602" s="86" t="s">
        <v>4899</v>
      </c>
      <c r="G602" s="83">
        <v>0</v>
      </c>
    </row>
    <row r="603" spans="1:7">
      <c r="A603" s="78" t="s">
        <v>6743</v>
      </c>
      <c r="B603" s="78">
        <v>656</v>
      </c>
      <c r="C603" s="79">
        <v>0</v>
      </c>
      <c r="D603" s="85" t="s">
        <v>7754</v>
      </c>
      <c r="E603" s="84" t="s">
        <v>7753</v>
      </c>
      <c r="F603" s="86" t="s">
        <v>7514</v>
      </c>
      <c r="G603" s="83">
        <v>0</v>
      </c>
    </row>
    <row r="604" spans="1:7">
      <c r="A604" s="78" t="s">
        <v>6743</v>
      </c>
      <c r="B604" s="78">
        <v>665</v>
      </c>
      <c r="C604" s="79">
        <v>0</v>
      </c>
      <c r="D604" s="85" t="s">
        <v>7756</v>
      </c>
      <c r="E604" s="84" t="s">
        <v>7755</v>
      </c>
      <c r="F604" s="86" t="s">
        <v>111</v>
      </c>
      <c r="G604" s="83" t="s">
        <v>6796</v>
      </c>
    </row>
    <row r="605" spans="1:7">
      <c r="A605" s="78" t="s">
        <v>6743</v>
      </c>
      <c r="B605" s="78">
        <v>674</v>
      </c>
      <c r="C605" s="79" t="s">
        <v>6755</v>
      </c>
      <c r="D605" s="85" t="s">
        <v>6176</v>
      </c>
      <c r="E605" s="84" t="s">
        <v>6175</v>
      </c>
      <c r="F605" s="86" t="s">
        <v>5125</v>
      </c>
      <c r="G605" s="83" t="s">
        <v>6796</v>
      </c>
    </row>
    <row r="606" spans="1:7">
      <c r="A606" s="78" t="s">
        <v>6743</v>
      </c>
      <c r="B606" s="78">
        <v>683</v>
      </c>
      <c r="C606" s="79" t="s">
        <v>6768</v>
      </c>
      <c r="D606" s="85" t="s">
        <v>7758</v>
      </c>
      <c r="E606" s="84" t="s">
        <v>7757</v>
      </c>
      <c r="F606" s="86" t="s">
        <v>5226</v>
      </c>
      <c r="G606" s="83">
        <v>0</v>
      </c>
    </row>
    <row r="607" spans="1:7">
      <c r="A607" s="78" t="s">
        <v>6743</v>
      </c>
      <c r="B607" s="78">
        <v>692</v>
      </c>
      <c r="C607" s="79">
        <v>0</v>
      </c>
      <c r="D607" s="85" t="s">
        <v>7760</v>
      </c>
      <c r="E607" s="84" t="s">
        <v>7759</v>
      </c>
      <c r="F607" s="86" t="s">
        <v>5427</v>
      </c>
      <c r="G607" s="83" t="s">
        <v>6796</v>
      </c>
    </row>
    <row r="608" spans="1:7">
      <c r="A608" s="78" t="s">
        <v>6743</v>
      </c>
      <c r="B608" s="78">
        <v>25</v>
      </c>
      <c r="C608" s="79" t="s">
        <v>6745</v>
      </c>
      <c r="D608" s="81" t="s">
        <v>7761</v>
      </c>
      <c r="E608" s="80" t="s">
        <v>1914</v>
      </c>
      <c r="F608" s="82" t="s">
        <v>5103</v>
      </c>
      <c r="G608" s="83">
        <v>1319247</v>
      </c>
    </row>
    <row r="609" spans="1:7">
      <c r="A609" s="78" t="s">
        <v>6743</v>
      </c>
      <c r="B609" s="78">
        <v>34</v>
      </c>
      <c r="C609" s="79">
        <v>0</v>
      </c>
      <c r="D609" s="85" t="s">
        <v>5362</v>
      </c>
      <c r="E609" s="84" t="s">
        <v>5361</v>
      </c>
      <c r="F609" s="86" t="s">
        <v>5363</v>
      </c>
      <c r="G609" s="83">
        <v>723911</v>
      </c>
    </row>
    <row r="610" spans="1:7">
      <c r="A610" s="78" t="s">
        <v>6743</v>
      </c>
      <c r="B610" s="78">
        <v>43</v>
      </c>
      <c r="C610" s="79" t="s">
        <v>6745</v>
      </c>
      <c r="D610" s="81" t="s">
        <v>5309</v>
      </c>
      <c r="E610" s="80" t="s">
        <v>5308</v>
      </c>
      <c r="F610" s="82" t="s">
        <v>7762</v>
      </c>
      <c r="G610" s="83">
        <v>564963</v>
      </c>
    </row>
    <row r="611" spans="1:7">
      <c r="A611" s="78" t="s">
        <v>6743</v>
      </c>
      <c r="B611" s="78">
        <v>52</v>
      </c>
      <c r="C611" s="79" t="s">
        <v>6745</v>
      </c>
      <c r="D611" s="81" t="s">
        <v>5306</v>
      </c>
      <c r="E611" s="80" t="s">
        <v>5305</v>
      </c>
      <c r="F611" s="82" t="s">
        <v>7021</v>
      </c>
      <c r="G611" s="83">
        <v>455895</v>
      </c>
    </row>
    <row r="612" spans="1:7">
      <c r="A612" s="78" t="s">
        <v>6743</v>
      </c>
      <c r="B612" s="78">
        <v>61</v>
      </c>
      <c r="C612" s="79">
        <v>0</v>
      </c>
      <c r="D612" s="85" t="s">
        <v>5160</v>
      </c>
      <c r="E612" s="84" t="s">
        <v>5159</v>
      </c>
      <c r="F612" s="86" t="s">
        <v>5138</v>
      </c>
      <c r="G612" s="83">
        <v>398408</v>
      </c>
    </row>
    <row r="613" spans="1:7">
      <c r="A613" s="78" t="s">
        <v>6743</v>
      </c>
      <c r="B613" s="78">
        <v>70</v>
      </c>
      <c r="C613" s="79">
        <v>0</v>
      </c>
      <c r="D613" s="85" t="s">
        <v>5158</v>
      </c>
      <c r="E613" s="84" t="s">
        <v>5157</v>
      </c>
      <c r="F613" s="86" t="s">
        <v>5135</v>
      </c>
      <c r="G613" s="83">
        <v>334528</v>
      </c>
    </row>
    <row r="614" spans="1:7">
      <c r="A614" s="78" t="s">
        <v>6743</v>
      </c>
      <c r="B614" s="78">
        <v>79</v>
      </c>
      <c r="C614" s="79" t="s">
        <v>6746</v>
      </c>
      <c r="D614" s="85" t="s">
        <v>6086</v>
      </c>
      <c r="E614" s="84" t="s">
        <v>6085</v>
      </c>
      <c r="F614" s="86" t="s">
        <v>5427</v>
      </c>
      <c r="G614" s="83">
        <v>292502</v>
      </c>
    </row>
    <row r="615" spans="1:7">
      <c r="A615" s="78" t="s">
        <v>6743</v>
      </c>
      <c r="B615" s="78">
        <v>88</v>
      </c>
      <c r="C615" s="79">
        <v>0</v>
      </c>
      <c r="D615" s="85" t="s">
        <v>5638</v>
      </c>
      <c r="E615" s="84" t="s">
        <v>5637</v>
      </c>
      <c r="F615" s="86" t="s">
        <v>5639</v>
      </c>
      <c r="G615" s="83">
        <v>242499</v>
      </c>
    </row>
    <row r="616" spans="1:7">
      <c r="A616" s="78" t="s">
        <v>6743</v>
      </c>
      <c r="B616" s="78">
        <v>97</v>
      </c>
      <c r="C616" s="79">
        <v>0</v>
      </c>
      <c r="D616" s="85" t="s">
        <v>5659</v>
      </c>
      <c r="E616" s="84" t="s">
        <v>5658</v>
      </c>
      <c r="F616" s="86" t="s">
        <v>5660</v>
      </c>
      <c r="G616" s="83">
        <v>195498</v>
      </c>
    </row>
    <row r="617" spans="1:7">
      <c r="A617" s="78" t="s">
        <v>6743</v>
      </c>
      <c r="B617" s="78">
        <v>106</v>
      </c>
      <c r="C617" s="79">
        <v>0</v>
      </c>
      <c r="D617" s="85" t="s">
        <v>5525</v>
      </c>
      <c r="E617" s="84" t="s">
        <v>5524</v>
      </c>
      <c r="F617" s="86" t="s">
        <v>5526</v>
      </c>
      <c r="G617" s="83">
        <v>182621</v>
      </c>
    </row>
    <row r="618" spans="1:7">
      <c r="A618" s="78" t="s">
        <v>6743</v>
      </c>
      <c r="B618" s="78">
        <v>115</v>
      </c>
      <c r="C618" s="79" t="s">
        <v>6755</v>
      </c>
      <c r="D618" s="85" t="s">
        <v>6305</v>
      </c>
      <c r="E618" s="84" t="s">
        <v>6304</v>
      </c>
      <c r="F618" s="86" t="s">
        <v>6300</v>
      </c>
      <c r="G618" s="83">
        <v>160159</v>
      </c>
    </row>
    <row r="619" spans="1:7">
      <c r="A619" s="78" t="s">
        <v>6743</v>
      </c>
      <c r="B619" s="78">
        <v>124</v>
      </c>
      <c r="C619" s="79">
        <v>0</v>
      </c>
      <c r="D619" s="85" t="s">
        <v>5934</v>
      </c>
      <c r="E619" s="84" t="s">
        <v>5933</v>
      </c>
      <c r="F619" s="86" t="s">
        <v>5687</v>
      </c>
      <c r="G619" s="83">
        <v>151566</v>
      </c>
    </row>
    <row r="620" spans="1:7">
      <c r="A620" s="78" t="s">
        <v>6743</v>
      </c>
      <c r="B620" s="78">
        <v>133</v>
      </c>
      <c r="C620" s="79">
        <v>0</v>
      </c>
      <c r="D620" s="85" t="s">
        <v>5860</v>
      </c>
      <c r="E620" s="84" t="s">
        <v>5859</v>
      </c>
      <c r="F620" s="86" t="s">
        <v>7535</v>
      </c>
      <c r="G620" s="83">
        <v>141713</v>
      </c>
    </row>
    <row r="621" spans="1:7">
      <c r="A621" s="78" t="s">
        <v>6743</v>
      </c>
      <c r="B621" s="78">
        <v>142</v>
      </c>
      <c r="C621" s="79" t="s">
        <v>6755</v>
      </c>
      <c r="D621" s="85" t="s">
        <v>6380</v>
      </c>
      <c r="E621" s="84" t="s">
        <v>6379</v>
      </c>
      <c r="F621" s="86" t="s">
        <v>119</v>
      </c>
      <c r="G621" s="83">
        <v>135841</v>
      </c>
    </row>
    <row r="622" spans="1:7">
      <c r="A622" s="78" t="s">
        <v>6743</v>
      </c>
      <c r="B622" s="78">
        <v>151</v>
      </c>
      <c r="C622" s="79" t="s">
        <v>7648</v>
      </c>
      <c r="D622" s="88" t="s">
        <v>7764</v>
      </c>
      <c r="E622" s="87" t="s">
        <v>7763</v>
      </c>
      <c r="F622" s="89" t="s">
        <v>5406</v>
      </c>
      <c r="G622" s="83">
        <v>109598</v>
      </c>
    </row>
    <row r="623" spans="1:7">
      <c r="A623" s="78" t="s">
        <v>6743</v>
      </c>
      <c r="B623" s="78">
        <v>160</v>
      </c>
      <c r="C623" s="79" t="s">
        <v>6768</v>
      </c>
      <c r="D623" s="85" t="s">
        <v>6407</v>
      </c>
      <c r="E623" s="84" t="s">
        <v>6406</v>
      </c>
      <c r="F623" s="86" t="s">
        <v>6396</v>
      </c>
      <c r="G623" s="83">
        <v>96438</v>
      </c>
    </row>
    <row r="624" spans="1:7">
      <c r="A624" s="78" t="s">
        <v>6743</v>
      </c>
      <c r="B624" s="78">
        <v>169</v>
      </c>
      <c r="C624" s="79" t="s">
        <v>6745</v>
      </c>
      <c r="D624" s="81" t="s">
        <v>7765</v>
      </c>
      <c r="E624" s="80" t="s">
        <v>6480</v>
      </c>
      <c r="F624" s="82" t="s">
        <v>6300</v>
      </c>
      <c r="G624" s="83">
        <v>86176</v>
      </c>
    </row>
    <row r="625" spans="1:7">
      <c r="A625" s="78" t="s">
        <v>6743</v>
      </c>
      <c r="B625" s="78">
        <v>178</v>
      </c>
      <c r="C625" s="79" t="s">
        <v>6755</v>
      </c>
      <c r="D625" s="85" t="s">
        <v>7766</v>
      </c>
      <c r="E625" s="84" t="s">
        <v>6275</v>
      </c>
      <c r="F625" s="86" t="s">
        <v>6272</v>
      </c>
      <c r="G625" s="83">
        <v>79551</v>
      </c>
    </row>
    <row r="626" spans="1:7">
      <c r="A626" s="78" t="s">
        <v>6743</v>
      </c>
      <c r="B626" s="78">
        <v>187</v>
      </c>
      <c r="C626" s="79">
        <v>0</v>
      </c>
      <c r="D626" s="85" t="s">
        <v>5779</v>
      </c>
      <c r="E626" s="84" t="s">
        <v>5778</v>
      </c>
      <c r="F626" s="86" t="s">
        <v>5704</v>
      </c>
      <c r="G626" s="83">
        <v>69195</v>
      </c>
    </row>
    <row r="627" spans="1:7">
      <c r="A627" s="78" t="s">
        <v>6743</v>
      </c>
      <c r="B627" s="78">
        <v>196</v>
      </c>
      <c r="C627" s="79" t="s">
        <v>6755</v>
      </c>
      <c r="D627" s="85" t="s">
        <v>6375</v>
      </c>
      <c r="E627" s="84" t="s">
        <v>6374</v>
      </c>
      <c r="F627" s="86" t="s">
        <v>5125</v>
      </c>
      <c r="G627" s="83">
        <v>57382</v>
      </c>
    </row>
    <row r="628" spans="1:7">
      <c r="A628" s="78" t="s">
        <v>6743</v>
      </c>
      <c r="B628" s="78">
        <v>205</v>
      </c>
      <c r="C628" s="79" t="s">
        <v>6745</v>
      </c>
      <c r="D628" s="81" t="s">
        <v>7767</v>
      </c>
      <c r="E628" s="80" t="s">
        <v>5286</v>
      </c>
      <c r="F628" s="82" t="s">
        <v>5135</v>
      </c>
      <c r="G628" s="83">
        <v>43923</v>
      </c>
    </row>
    <row r="629" spans="1:7">
      <c r="A629" s="78" t="s">
        <v>6743</v>
      </c>
      <c r="B629" s="78">
        <v>214</v>
      </c>
      <c r="C629" s="79"/>
      <c r="D629" s="85" t="s">
        <v>5772</v>
      </c>
      <c r="E629" s="85" t="s">
        <v>5771</v>
      </c>
      <c r="F629" s="86" t="s">
        <v>5704</v>
      </c>
      <c r="G629" s="83">
        <v>36868</v>
      </c>
    </row>
    <row r="630" spans="1:7">
      <c r="A630" s="78" t="s">
        <v>6743</v>
      </c>
      <c r="B630" s="78">
        <v>223</v>
      </c>
      <c r="C630" s="79" t="s">
        <v>6758</v>
      </c>
      <c r="D630" s="88" t="s">
        <v>7768</v>
      </c>
      <c r="E630" s="87" t="s">
        <v>9291</v>
      </c>
      <c r="F630" s="89" t="s">
        <v>5135</v>
      </c>
      <c r="G630" s="83">
        <v>34192</v>
      </c>
    </row>
    <row r="631" spans="1:7">
      <c r="A631" s="78" t="s">
        <v>6743</v>
      </c>
      <c r="B631" s="78">
        <v>232</v>
      </c>
      <c r="C631" s="79" t="s">
        <v>6768</v>
      </c>
      <c r="D631" s="85" t="s">
        <v>7769</v>
      </c>
      <c r="E631" s="84" t="s">
        <v>6369</v>
      </c>
      <c r="F631" s="86" t="s">
        <v>5226</v>
      </c>
      <c r="G631" s="83">
        <v>32159</v>
      </c>
    </row>
    <row r="632" spans="1:7">
      <c r="A632" s="78" t="s">
        <v>6743</v>
      </c>
      <c r="B632" s="78">
        <v>241</v>
      </c>
      <c r="C632" s="79" t="s">
        <v>6914</v>
      </c>
      <c r="D632" s="88" t="s">
        <v>7771</v>
      </c>
      <c r="E632" s="87" t="s">
        <v>7770</v>
      </c>
      <c r="F632" s="89" t="s">
        <v>5138</v>
      </c>
      <c r="G632" s="83">
        <v>25901</v>
      </c>
    </row>
    <row r="633" spans="1:7">
      <c r="A633" s="78" t="s">
        <v>6743</v>
      </c>
      <c r="B633" s="78">
        <v>250</v>
      </c>
      <c r="C633" s="79">
        <v>0</v>
      </c>
      <c r="D633" s="85" t="s">
        <v>7773</v>
      </c>
      <c r="E633" s="85" t="s">
        <v>7772</v>
      </c>
      <c r="F633" s="86" t="s">
        <v>5125</v>
      </c>
      <c r="G633" s="83">
        <v>24437</v>
      </c>
    </row>
    <row r="634" spans="1:7">
      <c r="A634" s="78" t="s">
        <v>6743</v>
      </c>
      <c r="B634" s="78">
        <v>259</v>
      </c>
      <c r="C634" s="79" t="s">
        <v>6914</v>
      </c>
      <c r="D634" s="88" t="s">
        <v>7775</v>
      </c>
      <c r="E634" s="87" t="s">
        <v>7774</v>
      </c>
      <c r="F634" s="89" t="s">
        <v>5125</v>
      </c>
      <c r="G634" s="83">
        <v>18413</v>
      </c>
    </row>
    <row r="635" spans="1:7">
      <c r="A635" s="78" t="s">
        <v>6743</v>
      </c>
      <c r="B635" s="78">
        <v>268</v>
      </c>
      <c r="C635" s="79" t="s">
        <v>6758</v>
      </c>
      <c r="D635" s="88" t="s">
        <v>7777</v>
      </c>
      <c r="E635" s="87" t="s">
        <v>7776</v>
      </c>
      <c r="F635" s="89" t="s">
        <v>5138</v>
      </c>
      <c r="G635" s="83">
        <v>13486</v>
      </c>
    </row>
    <row r="636" spans="1:7">
      <c r="A636" s="78" t="s">
        <v>6743</v>
      </c>
      <c r="B636" s="78">
        <v>277</v>
      </c>
      <c r="C636" s="79" t="s">
        <v>6755</v>
      </c>
      <c r="D636" s="85" t="s">
        <v>7778</v>
      </c>
      <c r="E636" s="84" t="s">
        <v>6267</v>
      </c>
      <c r="F636" s="86" t="s">
        <v>6269</v>
      </c>
      <c r="G636" s="83">
        <v>10324</v>
      </c>
    </row>
    <row r="637" spans="1:7">
      <c r="A637" s="78" t="s">
        <v>6743</v>
      </c>
      <c r="B637" s="78">
        <v>286</v>
      </c>
      <c r="C637" s="79" t="s">
        <v>6745</v>
      </c>
      <c r="D637" s="81" t="s">
        <v>7780</v>
      </c>
      <c r="E637" s="80" t="s">
        <v>7779</v>
      </c>
      <c r="F637" s="82" t="s">
        <v>6428</v>
      </c>
      <c r="G637" s="83">
        <v>7931</v>
      </c>
    </row>
    <row r="638" spans="1:7">
      <c r="A638" s="78" t="s">
        <v>6743</v>
      </c>
      <c r="B638" s="78">
        <v>295</v>
      </c>
      <c r="C638" s="79">
        <v>0</v>
      </c>
      <c r="D638" s="85" t="s">
        <v>5806</v>
      </c>
      <c r="E638" s="84" t="s">
        <v>5805</v>
      </c>
      <c r="F638" s="86" t="s">
        <v>6761</v>
      </c>
      <c r="G638" s="83">
        <v>5653</v>
      </c>
    </row>
    <row r="639" spans="1:7">
      <c r="A639" s="78" t="s">
        <v>6743</v>
      </c>
      <c r="B639" s="78">
        <v>304</v>
      </c>
      <c r="C639" s="79" t="s">
        <v>6782</v>
      </c>
      <c r="D639" s="85" t="s">
        <v>6066</v>
      </c>
      <c r="E639" s="84" t="s">
        <v>6065</v>
      </c>
      <c r="F639" s="86" t="s">
        <v>6067</v>
      </c>
      <c r="G639" s="83">
        <v>2419</v>
      </c>
    </row>
    <row r="640" spans="1:7">
      <c r="A640" s="78" t="s">
        <v>6743</v>
      </c>
      <c r="B640" s="78">
        <v>313</v>
      </c>
      <c r="C640" s="79">
        <v>0</v>
      </c>
      <c r="D640" s="85" t="s">
        <v>5162</v>
      </c>
      <c r="E640" s="84" t="s">
        <v>5161</v>
      </c>
      <c r="F640" s="86" t="s">
        <v>5135</v>
      </c>
      <c r="G640" s="83">
        <v>60</v>
      </c>
    </row>
    <row r="641" spans="1:7">
      <c r="A641" s="78" t="s">
        <v>6743</v>
      </c>
      <c r="B641" s="78">
        <v>322</v>
      </c>
      <c r="C641" s="79">
        <v>0</v>
      </c>
      <c r="D641" s="85" t="s">
        <v>7782</v>
      </c>
      <c r="E641" s="85" t="s">
        <v>7781</v>
      </c>
      <c r="F641" s="86" t="s">
        <v>6792</v>
      </c>
      <c r="G641" s="83" t="s">
        <v>6796</v>
      </c>
    </row>
    <row r="642" spans="1:7">
      <c r="A642" s="78" t="s">
        <v>6743</v>
      </c>
      <c r="B642" s="78">
        <v>331</v>
      </c>
      <c r="C642" s="79">
        <v>0</v>
      </c>
      <c r="D642" s="85" t="s">
        <v>7784</v>
      </c>
      <c r="E642" s="85" t="s">
        <v>7783</v>
      </c>
      <c r="F642" s="86" t="s">
        <v>7785</v>
      </c>
      <c r="G642" s="83">
        <v>0</v>
      </c>
    </row>
    <row r="643" spans="1:7">
      <c r="A643" s="78" t="s">
        <v>6743</v>
      </c>
      <c r="B643" s="78">
        <v>340</v>
      </c>
      <c r="C643" s="79">
        <v>0</v>
      </c>
      <c r="D643" s="85" t="s">
        <v>7787</v>
      </c>
      <c r="E643" s="85" t="s">
        <v>7786</v>
      </c>
      <c r="F643" s="86" t="s">
        <v>7434</v>
      </c>
      <c r="G643" s="83" t="s">
        <v>6796</v>
      </c>
    </row>
    <row r="644" spans="1:7">
      <c r="A644" s="78" t="s">
        <v>6743</v>
      </c>
      <c r="B644" s="78">
        <v>349</v>
      </c>
      <c r="C644" s="79">
        <v>0</v>
      </c>
      <c r="D644" s="85" t="s">
        <v>7789</v>
      </c>
      <c r="E644" s="85" t="s">
        <v>7788</v>
      </c>
      <c r="F644" s="86" t="s">
        <v>7790</v>
      </c>
      <c r="G644" s="83" t="s">
        <v>6796</v>
      </c>
    </row>
    <row r="645" spans="1:7">
      <c r="A645" s="78" t="s">
        <v>6743</v>
      </c>
      <c r="B645" s="78">
        <v>358</v>
      </c>
      <c r="C645" s="79">
        <v>0</v>
      </c>
      <c r="D645" s="85" t="s">
        <v>7792</v>
      </c>
      <c r="E645" s="85" t="s">
        <v>7791</v>
      </c>
      <c r="F645" s="86" t="s">
        <v>7439</v>
      </c>
      <c r="G645" s="83" t="s">
        <v>6796</v>
      </c>
    </row>
    <row r="646" spans="1:7">
      <c r="A646" s="78" t="s">
        <v>6743</v>
      </c>
      <c r="B646" s="78">
        <v>367</v>
      </c>
      <c r="C646" s="79">
        <v>0</v>
      </c>
      <c r="D646" s="85" t="s">
        <v>7794</v>
      </c>
      <c r="E646" s="85" t="s">
        <v>7793</v>
      </c>
      <c r="F646" s="86" t="s">
        <v>119</v>
      </c>
      <c r="G646" s="83" t="s">
        <v>6796</v>
      </c>
    </row>
    <row r="647" spans="1:7">
      <c r="A647" s="78" t="s">
        <v>6743</v>
      </c>
      <c r="B647" s="78">
        <v>376</v>
      </c>
      <c r="C647" s="102" t="s">
        <v>6786</v>
      </c>
      <c r="D647" s="85" t="s">
        <v>7796</v>
      </c>
      <c r="E647" s="85" t="s">
        <v>7795</v>
      </c>
      <c r="F647" s="86" t="s">
        <v>7797</v>
      </c>
      <c r="G647" s="83">
        <v>0</v>
      </c>
    </row>
    <row r="648" spans="1:7">
      <c r="A648" s="78" t="s">
        <v>6743</v>
      </c>
      <c r="B648" s="78">
        <v>385</v>
      </c>
      <c r="C648" s="79">
        <v>0</v>
      </c>
      <c r="D648" s="85" t="s">
        <v>7799</v>
      </c>
      <c r="E648" s="85" t="s">
        <v>7798</v>
      </c>
      <c r="F648" s="86" t="s">
        <v>7800</v>
      </c>
      <c r="G648" s="83" t="s">
        <v>6796</v>
      </c>
    </row>
    <row r="649" spans="1:7">
      <c r="A649" s="78" t="s">
        <v>6743</v>
      </c>
      <c r="B649" s="78">
        <v>394</v>
      </c>
      <c r="C649" s="79">
        <v>0</v>
      </c>
      <c r="D649" s="85" t="s">
        <v>7802</v>
      </c>
      <c r="E649" s="85" t="s">
        <v>7801</v>
      </c>
      <c r="F649" s="86" t="s">
        <v>7803</v>
      </c>
      <c r="G649" s="83" t="s">
        <v>6796</v>
      </c>
    </row>
    <row r="650" spans="1:7">
      <c r="A650" s="78" t="s">
        <v>6743</v>
      </c>
      <c r="B650" s="78">
        <v>403</v>
      </c>
      <c r="C650" s="102" t="s">
        <v>6786</v>
      </c>
      <c r="D650" s="85" t="s">
        <v>7805</v>
      </c>
      <c r="E650" s="85" t="s">
        <v>7804</v>
      </c>
      <c r="F650" s="86" t="s">
        <v>6951</v>
      </c>
      <c r="G650" s="83">
        <v>0</v>
      </c>
    </row>
    <row r="651" spans="1:7">
      <c r="A651" s="78" t="s">
        <v>6743</v>
      </c>
      <c r="B651" s="78">
        <v>412</v>
      </c>
      <c r="C651" s="79">
        <v>0</v>
      </c>
      <c r="D651" s="85" t="s">
        <v>7807</v>
      </c>
      <c r="E651" s="85" t="s">
        <v>7806</v>
      </c>
      <c r="F651" s="86" t="s">
        <v>7808</v>
      </c>
      <c r="G651" s="83" t="s">
        <v>6796</v>
      </c>
    </row>
    <row r="652" spans="1:7">
      <c r="A652" s="78" t="s">
        <v>6743</v>
      </c>
      <c r="B652" s="78">
        <v>421</v>
      </c>
      <c r="C652" s="79">
        <v>0</v>
      </c>
      <c r="D652" s="85" t="s">
        <v>7810</v>
      </c>
      <c r="E652" s="85" t="s">
        <v>7809</v>
      </c>
      <c r="F652" s="86" t="s">
        <v>6957</v>
      </c>
      <c r="G652" s="83" t="s">
        <v>6796</v>
      </c>
    </row>
    <row r="653" spans="1:7">
      <c r="A653" s="78" t="s">
        <v>6743</v>
      </c>
      <c r="B653" s="78">
        <v>430</v>
      </c>
      <c r="C653" s="79">
        <v>0</v>
      </c>
      <c r="D653" s="85" t="s">
        <v>7812</v>
      </c>
      <c r="E653" s="85" t="s">
        <v>7811</v>
      </c>
      <c r="F653" s="86" t="s">
        <v>7813</v>
      </c>
      <c r="G653" s="83" t="s">
        <v>6796</v>
      </c>
    </row>
    <row r="654" spans="1:7">
      <c r="A654" s="78" t="s">
        <v>6743</v>
      </c>
      <c r="B654" s="78">
        <v>439</v>
      </c>
      <c r="C654" s="79">
        <v>0</v>
      </c>
      <c r="D654" s="85" t="s">
        <v>7815</v>
      </c>
      <c r="E654" s="85" t="s">
        <v>7814</v>
      </c>
      <c r="F654" s="86" t="s">
        <v>6963</v>
      </c>
      <c r="G654" s="83" t="s">
        <v>6796</v>
      </c>
    </row>
    <row r="655" spans="1:7">
      <c r="A655" s="78" t="s">
        <v>6743</v>
      </c>
      <c r="B655" s="78">
        <v>448</v>
      </c>
      <c r="C655" s="79">
        <v>0</v>
      </c>
      <c r="D655" s="85" t="s">
        <v>7817</v>
      </c>
      <c r="E655" s="85" t="s">
        <v>7816</v>
      </c>
      <c r="F655" s="86" t="s">
        <v>5363</v>
      </c>
      <c r="G655" s="83" t="s">
        <v>6796</v>
      </c>
    </row>
    <row r="656" spans="1:7">
      <c r="A656" s="78" t="s">
        <v>6743</v>
      </c>
      <c r="B656" s="78">
        <v>457</v>
      </c>
      <c r="C656" s="102" t="s">
        <v>6786</v>
      </c>
      <c r="D656" s="85" t="s">
        <v>7819</v>
      </c>
      <c r="E656" s="85" t="s">
        <v>7818</v>
      </c>
      <c r="F656" s="86" t="s">
        <v>7820</v>
      </c>
      <c r="G656" s="83" t="s">
        <v>6796</v>
      </c>
    </row>
    <row r="657" spans="1:7">
      <c r="A657" s="78" t="s">
        <v>6743</v>
      </c>
      <c r="B657" s="78">
        <v>466</v>
      </c>
      <c r="C657" s="102" t="s">
        <v>6786</v>
      </c>
      <c r="D657" s="85" t="s">
        <v>7822</v>
      </c>
      <c r="E657" s="85" t="s">
        <v>7821</v>
      </c>
      <c r="F657" s="86" t="s">
        <v>7823</v>
      </c>
      <c r="G657" s="83">
        <v>0</v>
      </c>
    </row>
    <row r="658" spans="1:7">
      <c r="A658" s="78" t="s">
        <v>6743</v>
      </c>
      <c r="B658" s="78">
        <v>475</v>
      </c>
      <c r="C658" s="102" t="s">
        <v>6786</v>
      </c>
      <c r="D658" s="85" t="s">
        <v>7825</v>
      </c>
      <c r="E658" s="85" t="s">
        <v>7824</v>
      </c>
      <c r="F658" s="86" t="s">
        <v>7826</v>
      </c>
      <c r="G658" s="83">
        <v>0</v>
      </c>
    </row>
    <row r="659" spans="1:7">
      <c r="A659" s="78" t="s">
        <v>6743</v>
      </c>
      <c r="B659" s="78">
        <v>484</v>
      </c>
      <c r="C659" s="102" t="s">
        <v>6786</v>
      </c>
      <c r="D659" s="85" t="s">
        <v>7828</v>
      </c>
      <c r="E659" s="85" t="s">
        <v>7827</v>
      </c>
      <c r="F659" s="86" t="s">
        <v>7715</v>
      </c>
      <c r="G659" s="83">
        <v>0</v>
      </c>
    </row>
    <row r="660" spans="1:7">
      <c r="A660" s="78" t="s">
        <v>6743</v>
      </c>
      <c r="B660" s="78">
        <v>493</v>
      </c>
      <c r="C660" s="102" t="s">
        <v>6786</v>
      </c>
      <c r="D660" s="85" t="s">
        <v>7830</v>
      </c>
      <c r="E660" s="85" t="s">
        <v>7829</v>
      </c>
      <c r="F660" s="86" t="s">
        <v>7718</v>
      </c>
      <c r="G660" s="83">
        <v>0</v>
      </c>
    </row>
    <row r="661" spans="1:7">
      <c r="A661" s="78" t="s">
        <v>6743</v>
      </c>
      <c r="B661" s="78">
        <v>502</v>
      </c>
      <c r="C661" s="79">
        <v>0</v>
      </c>
      <c r="D661" s="85" t="s">
        <v>7832</v>
      </c>
      <c r="E661" s="85" t="s">
        <v>7831</v>
      </c>
      <c r="F661" s="86" t="s">
        <v>7833</v>
      </c>
      <c r="G661" s="83">
        <v>0</v>
      </c>
    </row>
    <row r="662" spans="1:7">
      <c r="A662" s="78" t="s">
        <v>6743</v>
      </c>
      <c r="B662" s="78">
        <v>511</v>
      </c>
      <c r="C662" s="79">
        <v>0</v>
      </c>
      <c r="D662" s="85" t="s">
        <v>7835</v>
      </c>
      <c r="E662" s="85" t="s">
        <v>7834</v>
      </c>
      <c r="F662" s="86" t="s">
        <v>119</v>
      </c>
      <c r="G662" s="83">
        <v>0</v>
      </c>
    </row>
    <row r="663" spans="1:7">
      <c r="A663" s="78" t="s">
        <v>6743</v>
      </c>
      <c r="B663" s="78">
        <v>520</v>
      </c>
      <c r="C663" s="79">
        <v>0</v>
      </c>
      <c r="D663" s="85" t="s">
        <v>7837</v>
      </c>
      <c r="E663" s="85" t="s">
        <v>7836</v>
      </c>
      <c r="F663" s="86" t="s">
        <v>5125</v>
      </c>
      <c r="G663" s="83">
        <v>0</v>
      </c>
    </row>
    <row r="664" spans="1:7">
      <c r="A664" s="78" t="s">
        <v>6743</v>
      </c>
      <c r="B664" s="78">
        <v>529</v>
      </c>
      <c r="C664" s="79">
        <v>0</v>
      </c>
      <c r="D664" s="85" t="s">
        <v>7839</v>
      </c>
      <c r="E664" s="85" t="s">
        <v>7838</v>
      </c>
      <c r="F664" s="86" t="s">
        <v>5135</v>
      </c>
      <c r="G664" s="83" t="s">
        <v>6796</v>
      </c>
    </row>
    <row r="665" spans="1:7">
      <c r="A665" s="78" t="s">
        <v>6743</v>
      </c>
      <c r="B665" s="78">
        <v>538</v>
      </c>
      <c r="C665" s="79">
        <v>0</v>
      </c>
      <c r="D665" s="85" t="s">
        <v>7841</v>
      </c>
      <c r="E665" s="85" t="s">
        <v>7840</v>
      </c>
      <c r="F665" s="86" t="s">
        <v>5687</v>
      </c>
      <c r="G665" s="83">
        <v>0</v>
      </c>
    </row>
    <row r="666" spans="1:7">
      <c r="A666" s="78" t="s">
        <v>6743</v>
      </c>
      <c r="B666" s="78">
        <v>547</v>
      </c>
      <c r="C666" s="102" t="s">
        <v>6786</v>
      </c>
      <c r="D666" s="85" t="s">
        <v>7843</v>
      </c>
      <c r="E666" s="85" t="s">
        <v>7842</v>
      </c>
      <c r="F666" s="86" t="s">
        <v>5687</v>
      </c>
      <c r="G666" s="83">
        <v>0</v>
      </c>
    </row>
    <row r="667" spans="1:7">
      <c r="A667" s="78" t="s">
        <v>6743</v>
      </c>
      <c r="B667" s="78">
        <v>556</v>
      </c>
      <c r="C667" s="79">
        <v>0</v>
      </c>
      <c r="D667" s="85" t="s">
        <v>7845</v>
      </c>
      <c r="E667" s="85" t="s">
        <v>7844</v>
      </c>
      <c r="F667" s="86" t="s">
        <v>5424</v>
      </c>
      <c r="G667" s="83">
        <v>0</v>
      </c>
    </row>
    <row r="668" spans="1:7">
      <c r="A668" s="78" t="s">
        <v>6743</v>
      </c>
      <c r="B668" s="78">
        <v>565</v>
      </c>
      <c r="C668" s="79">
        <v>0</v>
      </c>
      <c r="D668" s="85" t="s">
        <v>7847</v>
      </c>
      <c r="E668" s="85" t="s">
        <v>7846</v>
      </c>
      <c r="F668" s="86" t="s">
        <v>119</v>
      </c>
      <c r="G668" s="83">
        <v>0</v>
      </c>
    </row>
    <row r="669" spans="1:7">
      <c r="A669" s="78" t="s">
        <v>6743</v>
      </c>
      <c r="B669" s="78">
        <v>574</v>
      </c>
      <c r="C669" s="79">
        <v>0</v>
      </c>
      <c r="D669" s="85" t="s">
        <v>7849</v>
      </c>
      <c r="E669" s="85" t="s">
        <v>7848</v>
      </c>
      <c r="F669" s="86" t="s">
        <v>5138</v>
      </c>
      <c r="G669" s="83">
        <v>0</v>
      </c>
    </row>
    <row r="670" spans="1:7">
      <c r="A670" s="78" t="s">
        <v>6743</v>
      </c>
      <c r="B670" s="78">
        <v>583</v>
      </c>
      <c r="C670" s="79">
        <v>0</v>
      </c>
      <c r="D670" s="85" t="s">
        <v>7851</v>
      </c>
      <c r="E670" s="85" t="s">
        <v>7850</v>
      </c>
      <c r="F670" s="86" t="s">
        <v>5125</v>
      </c>
      <c r="G670" s="83">
        <v>0</v>
      </c>
    </row>
    <row r="671" spans="1:7">
      <c r="A671" s="78" t="s">
        <v>6743</v>
      </c>
      <c r="B671" s="78">
        <v>592</v>
      </c>
      <c r="C671" s="102" t="s">
        <v>6786</v>
      </c>
      <c r="D671" s="85" t="s">
        <v>7853</v>
      </c>
      <c r="E671" s="85" t="s">
        <v>7852</v>
      </c>
      <c r="F671" s="86" t="s">
        <v>5125</v>
      </c>
      <c r="G671" s="83">
        <v>0</v>
      </c>
    </row>
    <row r="672" spans="1:7">
      <c r="A672" s="78" t="s">
        <v>6743</v>
      </c>
      <c r="B672" s="78">
        <v>601</v>
      </c>
      <c r="C672" s="79">
        <v>0</v>
      </c>
      <c r="D672" s="85" t="s">
        <v>7855</v>
      </c>
      <c r="E672" s="85" t="s">
        <v>7854</v>
      </c>
      <c r="F672" s="86" t="s">
        <v>119</v>
      </c>
      <c r="G672" s="83">
        <v>0</v>
      </c>
    </row>
    <row r="673" spans="1:7">
      <c r="A673" s="78" t="s">
        <v>6743</v>
      </c>
      <c r="B673" s="78">
        <v>610</v>
      </c>
      <c r="C673" s="79">
        <v>0</v>
      </c>
      <c r="D673" s="85" t="s">
        <v>7857</v>
      </c>
      <c r="E673" s="85" t="s">
        <v>7856</v>
      </c>
      <c r="F673" s="86" t="s">
        <v>5125</v>
      </c>
      <c r="G673" s="83">
        <v>0</v>
      </c>
    </row>
    <row r="674" spans="1:7">
      <c r="A674" s="78" t="s">
        <v>6743</v>
      </c>
      <c r="B674" s="78">
        <v>619</v>
      </c>
      <c r="C674" s="79">
        <v>0</v>
      </c>
      <c r="D674" s="85" t="s">
        <v>7859</v>
      </c>
      <c r="E674" s="85" t="s">
        <v>7858</v>
      </c>
      <c r="F674" s="86" t="s">
        <v>119</v>
      </c>
      <c r="G674" s="83">
        <v>0</v>
      </c>
    </row>
    <row r="675" spans="1:7">
      <c r="A675" s="78" t="s">
        <v>6743</v>
      </c>
      <c r="B675" s="78">
        <v>628</v>
      </c>
      <c r="C675" s="79">
        <v>0</v>
      </c>
      <c r="D675" s="85" t="s">
        <v>7861</v>
      </c>
      <c r="E675" s="85" t="s">
        <v>7860</v>
      </c>
      <c r="F675" s="86" t="s">
        <v>5135</v>
      </c>
      <c r="G675" s="83" t="s">
        <v>6796</v>
      </c>
    </row>
    <row r="676" spans="1:7">
      <c r="A676" s="78" t="s">
        <v>6743</v>
      </c>
      <c r="B676" s="78">
        <v>637</v>
      </c>
      <c r="C676" s="79">
        <v>0</v>
      </c>
      <c r="D676" s="85" t="s">
        <v>7863</v>
      </c>
      <c r="E676" s="85" t="s">
        <v>7862</v>
      </c>
      <c r="F676" s="86" t="s">
        <v>5103</v>
      </c>
      <c r="G676" s="83">
        <v>0</v>
      </c>
    </row>
    <row r="677" spans="1:7">
      <c r="A677" s="78" t="s">
        <v>6743</v>
      </c>
      <c r="B677" s="78">
        <v>646</v>
      </c>
      <c r="C677" s="79">
        <v>0</v>
      </c>
      <c r="D677" s="85" t="s">
        <v>1235</v>
      </c>
      <c r="E677" s="84" t="s">
        <v>7864</v>
      </c>
      <c r="F677" s="86" t="s">
        <v>4899</v>
      </c>
      <c r="G677" s="83">
        <v>0</v>
      </c>
    </row>
    <row r="678" spans="1:7">
      <c r="A678" s="78" t="s">
        <v>6743</v>
      </c>
      <c r="B678" s="78">
        <v>655</v>
      </c>
      <c r="C678" s="79">
        <v>0</v>
      </c>
      <c r="D678" s="85" t="s">
        <v>7866</v>
      </c>
      <c r="E678" s="84" t="s">
        <v>7865</v>
      </c>
      <c r="F678" s="86" t="s">
        <v>7867</v>
      </c>
      <c r="G678" s="83" t="s">
        <v>6796</v>
      </c>
    </row>
    <row r="679" spans="1:7">
      <c r="A679" s="78" t="s">
        <v>6743</v>
      </c>
      <c r="B679" s="78">
        <v>664</v>
      </c>
      <c r="C679" s="79">
        <v>0</v>
      </c>
      <c r="D679" s="85" t="s">
        <v>7869</v>
      </c>
      <c r="E679" s="84" t="s">
        <v>7868</v>
      </c>
      <c r="F679" s="86" t="s">
        <v>5614</v>
      </c>
      <c r="G679" s="83" t="s">
        <v>6796</v>
      </c>
    </row>
    <row r="680" spans="1:7">
      <c r="A680" s="78" t="s">
        <v>6743</v>
      </c>
      <c r="B680" s="78">
        <v>673</v>
      </c>
      <c r="C680" s="79" t="s">
        <v>6747</v>
      </c>
      <c r="D680" s="85" t="s">
        <v>7871</v>
      </c>
      <c r="E680" s="84" t="s">
        <v>7870</v>
      </c>
      <c r="F680" s="86" t="s">
        <v>5704</v>
      </c>
      <c r="G680" s="83">
        <v>0</v>
      </c>
    </row>
    <row r="681" spans="1:7">
      <c r="A681" s="78" t="s">
        <v>6743</v>
      </c>
      <c r="B681" s="78">
        <v>682</v>
      </c>
      <c r="C681" s="79" t="s">
        <v>6768</v>
      </c>
      <c r="D681" s="85" t="s">
        <v>7873</v>
      </c>
      <c r="E681" s="84" t="s">
        <v>7872</v>
      </c>
      <c r="F681" s="86" t="s">
        <v>5125</v>
      </c>
      <c r="G681" s="83">
        <v>0</v>
      </c>
    </row>
    <row r="682" spans="1:7">
      <c r="A682" s="78" t="s">
        <v>6743</v>
      </c>
      <c r="B682" s="78">
        <v>691</v>
      </c>
      <c r="C682" s="79" t="s">
        <v>6768</v>
      </c>
      <c r="D682" s="85" t="s">
        <v>7875</v>
      </c>
      <c r="E682" s="84" t="s">
        <v>7874</v>
      </c>
      <c r="F682" s="86" t="s">
        <v>7522</v>
      </c>
      <c r="G682" s="83">
        <v>0</v>
      </c>
    </row>
    <row r="683" spans="1:7">
      <c r="A683" s="78" t="s">
        <v>6674</v>
      </c>
      <c r="B683" s="78">
        <v>1</v>
      </c>
      <c r="C683" s="79" t="s">
        <v>7876</v>
      </c>
      <c r="D683" s="85" t="s">
        <v>7878</v>
      </c>
      <c r="E683" s="84" t="s">
        <v>7877</v>
      </c>
      <c r="F683" s="86" t="s">
        <v>7879</v>
      </c>
      <c r="G683" s="83">
        <v>1804409</v>
      </c>
    </row>
    <row r="684" spans="1:7">
      <c r="A684" s="78" t="s">
        <v>6674</v>
      </c>
      <c r="B684" s="78">
        <v>2</v>
      </c>
      <c r="C684" s="79" t="s">
        <v>7876</v>
      </c>
      <c r="D684" s="85" t="s">
        <v>7881</v>
      </c>
      <c r="E684" s="84" t="s">
        <v>7880</v>
      </c>
      <c r="F684" s="86" t="s">
        <v>7879</v>
      </c>
      <c r="G684" s="83">
        <v>529437</v>
      </c>
    </row>
    <row r="685" spans="1:7">
      <c r="A685" s="78" t="s">
        <v>6674</v>
      </c>
      <c r="B685" s="78">
        <v>3</v>
      </c>
      <c r="C685" s="79" t="s">
        <v>7882</v>
      </c>
      <c r="D685" s="85" t="s">
        <v>7884</v>
      </c>
      <c r="E685" s="84" t="s">
        <v>7883</v>
      </c>
      <c r="F685" s="86" t="s">
        <v>7885</v>
      </c>
      <c r="G685" s="83">
        <v>344632</v>
      </c>
    </row>
    <row r="686" spans="1:7">
      <c r="A686" s="78" t="s">
        <v>6674</v>
      </c>
      <c r="B686" s="78">
        <v>4</v>
      </c>
      <c r="C686" s="79" t="s">
        <v>7882</v>
      </c>
      <c r="D686" s="85" t="s">
        <v>7887</v>
      </c>
      <c r="E686" s="84" t="s">
        <v>7886</v>
      </c>
      <c r="F686" s="86" t="s">
        <v>7888</v>
      </c>
      <c r="G686" s="83">
        <v>312000</v>
      </c>
    </row>
    <row r="687" spans="1:7">
      <c r="A687" s="78" t="s">
        <v>6674</v>
      </c>
      <c r="B687" s="78">
        <v>5</v>
      </c>
      <c r="C687" s="79" t="s">
        <v>7876</v>
      </c>
      <c r="D687" s="85" t="s">
        <v>7890</v>
      </c>
      <c r="E687" s="84" t="s">
        <v>7889</v>
      </c>
      <c r="F687" s="86" t="s">
        <v>7891</v>
      </c>
      <c r="G687" s="83">
        <v>120573</v>
      </c>
    </row>
    <row r="688" spans="1:7">
      <c r="A688" s="78" t="s">
        <v>6674</v>
      </c>
      <c r="B688" s="78">
        <v>6</v>
      </c>
      <c r="C688" s="79" t="s">
        <v>7876</v>
      </c>
      <c r="D688" s="85" t="s">
        <v>7893</v>
      </c>
      <c r="E688" s="84" t="s">
        <v>7892</v>
      </c>
      <c r="F688" s="86" t="s">
        <v>7894</v>
      </c>
      <c r="G688" s="83">
        <v>99684</v>
      </c>
    </row>
    <row r="689" spans="1:7">
      <c r="A689" s="78" t="s">
        <v>6674</v>
      </c>
      <c r="B689" s="78">
        <v>7</v>
      </c>
      <c r="C689" s="79" t="s">
        <v>7882</v>
      </c>
      <c r="D689" s="85" t="s">
        <v>6687</v>
      </c>
      <c r="E689" s="84" t="s">
        <v>6686</v>
      </c>
      <c r="F689" s="86" t="s">
        <v>7885</v>
      </c>
      <c r="G689" s="83">
        <v>95679</v>
      </c>
    </row>
    <row r="690" spans="1:7">
      <c r="A690" s="78" t="s">
        <v>6674</v>
      </c>
      <c r="B690" s="78">
        <v>8</v>
      </c>
      <c r="C690" s="79" t="s">
        <v>7876</v>
      </c>
      <c r="D690" s="85" t="s">
        <v>7896</v>
      </c>
      <c r="E690" s="84" t="s">
        <v>7895</v>
      </c>
      <c r="F690" s="86" t="s">
        <v>7897</v>
      </c>
      <c r="G690" s="83">
        <v>67781</v>
      </c>
    </row>
    <row r="691" spans="1:7">
      <c r="A691" s="78" t="s">
        <v>6674</v>
      </c>
      <c r="B691" s="78">
        <v>9</v>
      </c>
      <c r="C691" s="79" t="s">
        <v>7882</v>
      </c>
      <c r="D691" s="85" t="s">
        <v>7898</v>
      </c>
      <c r="E691" s="84" t="s">
        <v>6689</v>
      </c>
      <c r="F691" s="86" t="s">
        <v>7885</v>
      </c>
      <c r="G691" s="83">
        <v>23038</v>
      </c>
    </row>
    <row r="692" spans="1:7">
      <c r="A692" s="78" t="s">
        <v>6674</v>
      </c>
      <c r="B692" s="78">
        <v>10</v>
      </c>
      <c r="C692" s="79" t="s">
        <v>7882</v>
      </c>
      <c r="D692" s="85" t="s">
        <v>7899</v>
      </c>
      <c r="E692" s="84" t="s">
        <v>6683</v>
      </c>
      <c r="F692" s="86" t="s">
        <v>7885</v>
      </c>
      <c r="G692" s="83">
        <v>5203</v>
      </c>
    </row>
    <row r="693" spans="1:7">
      <c r="A693" s="78" t="s">
        <v>6674</v>
      </c>
      <c r="B693" s="78">
        <v>11</v>
      </c>
      <c r="C693" s="79" t="s">
        <v>7882</v>
      </c>
      <c r="D693" s="85" t="s">
        <v>7901</v>
      </c>
      <c r="E693" s="84" t="s">
        <v>7900</v>
      </c>
      <c r="F693" s="86" t="s">
        <v>7902</v>
      </c>
      <c r="G693" s="83">
        <v>0</v>
      </c>
    </row>
    <row r="694" spans="1:7">
      <c r="A694" s="78" t="s">
        <v>6674</v>
      </c>
      <c r="B694" s="78">
        <v>12</v>
      </c>
      <c r="C694" s="79" t="s">
        <v>7876</v>
      </c>
      <c r="D694" s="85" t="s">
        <v>7904</v>
      </c>
      <c r="E694" s="84" t="s">
        <v>7903</v>
      </c>
      <c r="F694" s="86" t="s">
        <v>7879</v>
      </c>
      <c r="G694" s="83" t="s">
        <v>6796</v>
      </c>
    </row>
    <row r="695" spans="1:7">
      <c r="A695" s="78" t="s">
        <v>6674</v>
      </c>
      <c r="B695" s="78">
        <v>13</v>
      </c>
      <c r="C695" s="79" t="s">
        <v>7876</v>
      </c>
      <c r="D695" s="85" t="s">
        <v>7906</v>
      </c>
      <c r="E695" s="84" t="s">
        <v>7905</v>
      </c>
      <c r="F695" s="86" t="s">
        <v>7879</v>
      </c>
      <c r="G695" s="83">
        <v>0</v>
      </c>
    </row>
    <row r="696" spans="1:7">
      <c r="A696" s="78" t="s">
        <v>6674</v>
      </c>
      <c r="B696" s="78">
        <v>14</v>
      </c>
      <c r="C696" s="79" t="s">
        <v>7876</v>
      </c>
      <c r="D696" s="85" t="s">
        <v>7908</v>
      </c>
      <c r="E696" s="84" t="s">
        <v>7907</v>
      </c>
      <c r="F696" s="86" t="s">
        <v>7879</v>
      </c>
      <c r="G696" s="83" t="s">
        <v>6796</v>
      </c>
    </row>
    <row r="697" spans="1:7">
      <c r="A697" s="78" t="s">
        <v>6674</v>
      </c>
      <c r="B697" s="78">
        <v>15</v>
      </c>
      <c r="C697" s="79" t="s">
        <v>7876</v>
      </c>
      <c r="D697" s="85" t="s">
        <v>7910</v>
      </c>
      <c r="E697" s="84" t="s">
        <v>7909</v>
      </c>
      <c r="F697" s="86" t="s">
        <v>7879</v>
      </c>
      <c r="G697" s="83">
        <v>0</v>
      </c>
    </row>
    <row r="698" spans="1:7">
      <c r="A698" s="78" t="s">
        <v>7911</v>
      </c>
      <c r="B698" s="78">
        <v>16</v>
      </c>
      <c r="C698" s="79" t="s">
        <v>7911</v>
      </c>
      <c r="D698" s="85" t="s">
        <v>7912</v>
      </c>
      <c r="E698" s="84" t="s">
        <v>2809</v>
      </c>
      <c r="F698" s="86" t="s">
        <v>7913</v>
      </c>
      <c r="G698" s="83">
        <v>0</v>
      </c>
    </row>
    <row r="699" spans="1:7">
      <c r="A699" s="78" t="s">
        <v>7911</v>
      </c>
      <c r="B699" s="78">
        <v>17</v>
      </c>
      <c r="C699" s="79" t="s">
        <v>7911</v>
      </c>
      <c r="D699" s="85" t="s">
        <v>7914</v>
      </c>
      <c r="E699" s="84" t="s">
        <v>2861</v>
      </c>
      <c r="F699" s="86" t="s">
        <v>6616</v>
      </c>
      <c r="G699" s="83">
        <v>0</v>
      </c>
    </row>
    <row r="700" spans="1:7">
      <c r="A700" s="78" t="s">
        <v>7911</v>
      </c>
      <c r="B700" s="78">
        <v>18</v>
      </c>
      <c r="C700" s="79" t="s">
        <v>7911</v>
      </c>
      <c r="D700" s="85" t="s">
        <v>7915</v>
      </c>
      <c r="E700" s="84" t="s">
        <v>2869</v>
      </c>
      <c r="F700" s="86" t="s">
        <v>7916</v>
      </c>
      <c r="G700" s="83">
        <v>0</v>
      </c>
    </row>
    <row r="701" spans="1:7">
      <c r="A701" s="78" t="s">
        <v>7911</v>
      </c>
      <c r="B701" s="78">
        <v>19</v>
      </c>
      <c r="C701" s="79" t="s">
        <v>7911</v>
      </c>
      <c r="D701" s="85" t="s">
        <v>7917</v>
      </c>
      <c r="E701" s="84" t="s">
        <v>2883</v>
      </c>
      <c r="F701" s="86" t="s">
        <v>7918</v>
      </c>
      <c r="G701" s="83">
        <v>0</v>
      </c>
    </row>
    <row r="702" spans="1:7">
      <c r="A702" s="78" t="s">
        <v>7911</v>
      </c>
      <c r="B702" s="78">
        <v>20</v>
      </c>
      <c r="C702" s="79" t="s">
        <v>7911</v>
      </c>
      <c r="D702" s="85" t="s">
        <v>7919</v>
      </c>
      <c r="E702" s="84" t="s">
        <v>2905</v>
      </c>
      <c r="F702" s="86" t="s">
        <v>5943</v>
      </c>
      <c r="G702" s="83">
        <v>0</v>
      </c>
    </row>
    <row r="703" spans="1:7">
      <c r="A703" s="78" t="s">
        <v>7911</v>
      </c>
      <c r="B703" s="78">
        <v>21</v>
      </c>
      <c r="C703" s="79" t="s">
        <v>7911</v>
      </c>
      <c r="D703" s="85" t="s">
        <v>7921</v>
      </c>
      <c r="E703" s="84" t="s">
        <v>7920</v>
      </c>
      <c r="F703" s="86" t="s">
        <v>6629</v>
      </c>
      <c r="G703" s="83">
        <v>0</v>
      </c>
    </row>
    <row r="704" spans="1:7">
      <c r="A704" s="78" t="s">
        <v>7922</v>
      </c>
      <c r="B704" s="78">
        <v>695</v>
      </c>
      <c r="C704" s="79" t="s">
        <v>6746</v>
      </c>
      <c r="D704" s="85" t="s">
        <v>350</v>
      </c>
      <c r="E704" s="84" t="s">
        <v>351</v>
      </c>
      <c r="F704" s="86" t="s">
        <v>7923</v>
      </c>
      <c r="G704" s="83">
        <v>2401637</v>
      </c>
    </row>
    <row r="705" spans="1:7">
      <c r="A705" s="78" t="s">
        <v>7922</v>
      </c>
      <c r="B705" s="78">
        <v>696</v>
      </c>
      <c r="C705" s="79">
        <v>0</v>
      </c>
      <c r="D705" s="85" t="s">
        <v>334</v>
      </c>
      <c r="E705" s="84" t="s">
        <v>335</v>
      </c>
      <c r="F705" s="86" t="s">
        <v>6058</v>
      </c>
      <c r="G705" s="83">
        <v>2389441</v>
      </c>
    </row>
    <row r="706" spans="1:7">
      <c r="A706" s="78" t="s">
        <v>7922</v>
      </c>
      <c r="B706" s="78">
        <v>697</v>
      </c>
      <c r="C706" s="79">
        <v>0</v>
      </c>
      <c r="D706" s="85" t="s">
        <v>231</v>
      </c>
      <c r="E706" s="85" t="s">
        <v>232</v>
      </c>
      <c r="F706" s="86" t="s">
        <v>7924</v>
      </c>
      <c r="G706" s="83">
        <v>2353312</v>
      </c>
    </row>
    <row r="707" spans="1:7">
      <c r="A707" s="78" t="s">
        <v>7922</v>
      </c>
      <c r="B707" s="78">
        <v>698</v>
      </c>
      <c r="C707" s="79">
        <v>0</v>
      </c>
      <c r="D707" s="85" t="s">
        <v>227</v>
      </c>
      <c r="E707" s="85" t="s">
        <v>228</v>
      </c>
      <c r="F707" s="86" t="s">
        <v>7924</v>
      </c>
      <c r="G707" s="83">
        <v>2305544</v>
      </c>
    </row>
    <row r="708" spans="1:7">
      <c r="A708" s="78" t="s">
        <v>7922</v>
      </c>
      <c r="B708" s="78">
        <v>699</v>
      </c>
      <c r="C708" s="79">
        <v>0</v>
      </c>
      <c r="D708" s="85" t="s">
        <v>346</v>
      </c>
      <c r="E708" s="84" t="s">
        <v>347</v>
      </c>
      <c r="F708" s="86" t="s">
        <v>7923</v>
      </c>
      <c r="G708" s="83">
        <v>2266280</v>
      </c>
    </row>
    <row r="709" spans="1:7">
      <c r="A709" s="78" t="s">
        <v>7922</v>
      </c>
      <c r="B709" s="78">
        <v>700</v>
      </c>
      <c r="C709" s="79" t="s">
        <v>6745</v>
      </c>
      <c r="D709" s="81" t="s">
        <v>332</v>
      </c>
      <c r="E709" s="80" t="s">
        <v>333</v>
      </c>
      <c r="F709" s="82" t="s">
        <v>5697</v>
      </c>
      <c r="G709" s="83">
        <v>1427176</v>
      </c>
    </row>
    <row r="710" spans="1:7">
      <c r="A710" s="78" t="s">
        <v>7922</v>
      </c>
      <c r="B710" s="78">
        <v>701</v>
      </c>
      <c r="C710" s="79" t="s">
        <v>6745</v>
      </c>
      <c r="D710" s="81" t="s">
        <v>308</v>
      </c>
      <c r="E710" s="80" t="s">
        <v>309</v>
      </c>
      <c r="F710" s="82" t="s">
        <v>5938</v>
      </c>
      <c r="G710" s="83">
        <v>1426999</v>
      </c>
    </row>
    <row r="711" spans="1:7">
      <c r="A711" s="78" t="s">
        <v>7922</v>
      </c>
      <c r="B711" s="78">
        <v>702</v>
      </c>
      <c r="C711" s="79" t="s">
        <v>6782</v>
      </c>
      <c r="D711" s="85" t="s">
        <v>330</v>
      </c>
      <c r="E711" s="84" t="s">
        <v>331</v>
      </c>
      <c r="F711" s="86" t="s">
        <v>5697</v>
      </c>
      <c r="G711" s="83">
        <v>1295469</v>
      </c>
    </row>
    <row r="712" spans="1:7">
      <c r="A712" s="78" t="s">
        <v>7922</v>
      </c>
      <c r="B712" s="78">
        <v>703</v>
      </c>
      <c r="C712" s="79" t="s">
        <v>6782</v>
      </c>
      <c r="D712" s="85" t="s">
        <v>306</v>
      </c>
      <c r="E712" s="84" t="s">
        <v>307</v>
      </c>
      <c r="F712" s="86" t="s">
        <v>5938</v>
      </c>
      <c r="G712" s="83">
        <v>1295469</v>
      </c>
    </row>
    <row r="713" spans="1:7">
      <c r="A713" s="78" t="s">
        <v>7922</v>
      </c>
      <c r="B713" s="78">
        <v>704</v>
      </c>
      <c r="C713" s="79" t="s">
        <v>6745</v>
      </c>
      <c r="D713" s="151" t="s">
        <v>3524</v>
      </c>
      <c r="E713" s="150" t="s">
        <v>3525</v>
      </c>
      <c r="F713" s="152" t="s">
        <v>7925</v>
      </c>
      <c r="G713" s="83">
        <v>1211770</v>
      </c>
    </row>
    <row r="714" spans="1:7">
      <c r="A714" s="78" t="s">
        <v>7922</v>
      </c>
      <c r="B714" s="78">
        <v>705</v>
      </c>
      <c r="C714" s="79" t="s">
        <v>6745</v>
      </c>
      <c r="D714" s="151" t="s">
        <v>3575</v>
      </c>
      <c r="E714" s="150" t="s">
        <v>3576</v>
      </c>
      <c r="F714" s="152" t="s">
        <v>7926</v>
      </c>
      <c r="G714" s="83">
        <v>1205208</v>
      </c>
    </row>
    <row r="715" spans="1:7">
      <c r="A715" s="78" t="s">
        <v>7922</v>
      </c>
      <c r="B715" s="78">
        <v>706</v>
      </c>
      <c r="C715" s="79">
        <v>0</v>
      </c>
      <c r="D715" s="85" t="s">
        <v>3761</v>
      </c>
      <c r="E715" s="85" t="s">
        <v>3763</v>
      </c>
      <c r="F715" s="86" t="s">
        <v>7927</v>
      </c>
      <c r="G715" s="83">
        <v>1102514</v>
      </c>
    </row>
    <row r="716" spans="1:7">
      <c r="A716" s="78" t="s">
        <v>7922</v>
      </c>
      <c r="B716" s="78">
        <v>707</v>
      </c>
      <c r="C716" s="79">
        <v>0</v>
      </c>
      <c r="D716" s="85" t="s">
        <v>322</v>
      </c>
      <c r="E716" s="84" t="s">
        <v>323</v>
      </c>
      <c r="F716" s="86" t="s">
        <v>5697</v>
      </c>
      <c r="G716" s="83">
        <v>906461</v>
      </c>
    </row>
    <row r="717" spans="1:7">
      <c r="A717" s="78" t="s">
        <v>7922</v>
      </c>
      <c r="B717" s="78">
        <v>708</v>
      </c>
      <c r="C717" s="79">
        <v>0</v>
      </c>
      <c r="D717" s="85" t="s">
        <v>298</v>
      </c>
      <c r="E717" s="84" t="s">
        <v>299</v>
      </c>
      <c r="F717" s="86" t="s">
        <v>5938</v>
      </c>
      <c r="G717" s="83">
        <v>900503</v>
      </c>
    </row>
    <row r="718" spans="1:7">
      <c r="A718" s="78" t="s">
        <v>7922</v>
      </c>
      <c r="B718" s="78">
        <v>709</v>
      </c>
      <c r="C718" s="79" t="s">
        <v>6755</v>
      </c>
      <c r="D718" s="85" t="s">
        <v>237</v>
      </c>
      <c r="E718" s="84" t="s">
        <v>238</v>
      </c>
      <c r="F718" s="86" t="s">
        <v>7928</v>
      </c>
      <c r="G718" s="83">
        <v>628574</v>
      </c>
    </row>
    <row r="719" spans="1:7">
      <c r="A719" s="78" t="s">
        <v>7922</v>
      </c>
      <c r="B719" s="78">
        <v>710</v>
      </c>
      <c r="C719" s="79">
        <v>0</v>
      </c>
      <c r="D719" s="85" t="s">
        <v>2816</v>
      </c>
      <c r="E719" s="84" t="s">
        <v>2817</v>
      </c>
      <c r="F719" s="86" t="s">
        <v>5761</v>
      </c>
      <c r="G719" s="83">
        <v>585244</v>
      </c>
    </row>
    <row r="720" spans="1:7">
      <c r="A720" s="78" t="s">
        <v>7922</v>
      </c>
      <c r="B720" s="78">
        <v>711</v>
      </c>
      <c r="C720" s="79">
        <v>0</v>
      </c>
      <c r="D720" s="85" t="s">
        <v>2840</v>
      </c>
      <c r="E720" s="84" t="s">
        <v>2841</v>
      </c>
      <c r="F720" s="86" t="s">
        <v>5689</v>
      </c>
      <c r="G720" s="83">
        <v>583863</v>
      </c>
    </row>
    <row r="721" spans="1:7">
      <c r="A721" s="78" t="s">
        <v>7922</v>
      </c>
      <c r="B721" s="78">
        <v>712</v>
      </c>
      <c r="C721" s="79">
        <v>0</v>
      </c>
      <c r="D721" s="85" t="s">
        <v>2842</v>
      </c>
      <c r="E721" s="84" t="s">
        <v>2843</v>
      </c>
      <c r="F721" s="86" t="s">
        <v>5689</v>
      </c>
      <c r="G721" s="83">
        <v>557241</v>
      </c>
    </row>
    <row r="722" spans="1:7">
      <c r="A722" s="78" t="s">
        <v>7922</v>
      </c>
      <c r="B722" s="78">
        <v>713</v>
      </c>
      <c r="C722" s="79">
        <v>0</v>
      </c>
      <c r="D722" s="85" t="s">
        <v>2818</v>
      </c>
      <c r="E722" s="84" t="s">
        <v>2819</v>
      </c>
      <c r="F722" s="86" t="s">
        <v>5761</v>
      </c>
      <c r="G722" s="83">
        <v>555528</v>
      </c>
    </row>
    <row r="723" spans="1:7">
      <c r="A723" s="78" t="s">
        <v>7922</v>
      </c>
      <c r="B723" s="78">
        <v>714</v>
      </c>
      <c r="C723" s="79">
        <v>0</v>
      </c>
      <c r="D723" s="85" t="s">
        <v>342</v>
      </c>
      <c r="E723" s="85" t="s">
        <v>343</v>
      </c>
      <c r="F723" s="86" t="s">
        <v>7929</v>
      </c>
      <c r="G723" s="83">
        <v>516607</v>
      </c>
    </row>
    <row r="724" spans="1:7">
      <c r="A724" s="78" t="s">
        <v>7922</v>
      </c>
      <c r="B724" s="78">
        <v>715</v>
      </c>
      <c r="C724" s="79">
        <v>0</v>
      </c>
      <c r="D724" s="85" t="s">
        <v>2632</v>
      </c>
      <c r="E724" s="84" t="s">
        <v>2633</v>
      </c>
      <c r="F724" s="86" t="s">
        <v>5971</v>
      </c>
      <c r="G724" s="83">
        <v>346743</v>
      </c>
    </row>
    <row r="725" spans="1:7">
      <c r="A725" s="78" t="s">
        <v>7922</v>
      </c>
      <c r="B725" s="78">
        <v>716</v>
      </c>
      <c r="C725" s="79">
        <v>0</v>
      </c>
      <c r="D725" s="85" t="s">
        <v>2798</v>
      </c>
      <c r="E725" s="85" t="s">
        <v>2799</v>
      </c>
      <c r="F725" s="86" t="s">
        <v>7930</v>
      </c>
      <c r="G725" s="83">
        <v>281731</v>
      </c>
    </row>
    <row r="726" spans="1:7">
      <c r="A726" s="78" t="s">
        <v>7922</v>
      </c>
      <c r="B726" s="78">
        <v>717</v>
      </c>
      <c r="C726" s="79">
        <v>0</v>
      </c>
      <c r="D726" s="85" t="s">
        <v>2830</v>
      </c>
      <c r="E726" s="85" t="s">
        <v>2831</v>
      </c>
      <c r="F726" s="86" t="s">
        <v>7931</v>
      </c>
      <c r="G726" s="83">
        <v>281731</v>
      </c>
    </row>
    <row r="727" spans="1:7">
      <c r="A727" s="78" t="s">
        <v>7922</v>
      </c>
      <c r="B727" s="78">
        <v>718</v>
      </c>
      <c r="C727" s="79">
        <v>0</v>
      </c>
      <c r="D727" s="85" t="s">
        <v>250</v>
      </c>
      <c r="E727" s="85" t="s">
        <v>251</v>
      </c>
      <c r="F727" s="86" t="s">
        <v>7932</v>
      </c>
      <c r="G727" s="83">
        <v>272154</v>
      </c>
    </row>
    <row r="728" spans="1:7">
      <c r="A728" s="78" t="s">
        <v>7922</v>
      </c>
      <c r="B728" s="78">
        <v>719</v>
      </c>
      <c r="C728" s="79">
        <v>0</v>
      </c>
      <c r="D728" s="85" t="s">
        <v>1337</v>
      </c>
      <c r="E728" s="85" t="s">
        <v>1338</v>
      </c>
      <c r="F728" s="86" t="s">
        <v>7933</v>
      </c>
      <c r="G728" s="83">
        <v>263930</v>
      </c>
    </row>
    <row r="729" spans="1:7">
      <c r="A729" s="78" t="s">
        <v>7922</v>
      </c>
      <c r="B729" s="78">
        <v>720</v>
      </c>
      <c r="C729" s="79">
        <v>0</v>
      </c>
      <c r="D729" s="85" t="s">
        <v>1345</v>
      </c>
      <c r="E729" s="85" t="s">
        <v>1346</v>
      </c>
      <c r="F729" s="86" t="s">
        <v>7933</v>
      </c>
      <c r="G729" s="83">
        <v>261757</v>
      </c>
    </row>
    <row r="730" spans="1:7">
      <c r="A730" s="78" t="s">
        <v>7922</v>
      </c>
      <c r="B730" s="78">
        <v>721</v>
      </c>
      <c r="C730" s="79">
        <v>0</v>
      </c>
      <c r="D730" s="85" t="s">
        <v>2638</v>
      </c>
      <c r="E730" s="84" t="s">
        <v>2639</v>
      </c>
      <c r="F730" s="86" t="s">
        <v>5972</v>
      </c>
      <c r="G730" s="83">
        <v>231411</v>
      </c>
    </row>
    <row r="731" spans="1:7">
      <c r="A731" s="78" t="s">
        <v>7922</v>
      </c>
      <c r="B731" s="78">
        <v>722</v>
      </c>
      <c r="C731" s="79">
        <v>0</v>
      </c>
      <c r="D731" s="85" t="s">
        <v>669</v>
      </c>
      <c r="E731" s="84" t="s">
        <v>671</v>
      </c>
      <c r="F731" s="86" t="s">
        <v>7934</v>
      </c>
      <c r="G731" s="83">
        <v>178856</v>
      </c>
    </row>
    <row r="732" spans="1:7">
      <c r="A732" s="78" t="s">
        <v>7922</v>
      </c>
      <c r="B732" s="78">
        <v>723</v>
      </c>
      <c r="C732" s="79">
        <v>0</v>
      </c>
      <c r="D732" s="85" t="s">
        <v>674</v>
      </c>
      <c r="E732" s="84" t="s">
        <v>676</v>
      </c>
      <c r="F732" s="86" t="s">
        <v>7935</v>
      </c>
      <c r="G732" s="83">
        <v>178856</v>
      </c>
    </row>
    <row r="733" spans="1:7">
      <c r="A733" s="78" t="s">
        <v>7922</v>
      </c>
      <c r="B733" s="78">
        <v>724</v>
      </c>
      <c r="C733" s="79">
        <v>0</v>
      </c>
      <c r="D733" s="85" t="s">
        <v>423</v>
      </c>
      <c r="E733" s="84" t="s">
        <v>424</v>
      </c>
      <c r="F733" s="86" t="s">
        <v>5816</v>
      </c>
      <c r="G733" s="83">
        <v>125334</v>
      </c>
    </row>
    <row r="734" spans="1:7">
      <c r="A734" s="78" t="s">
        <v>7922</v>
      </c>
      <c r="B734" s="78">
        <v>725</v>
      </c>
      <c r="C734" s="79">
        <v>0</v>
      </c>
      <c r="D734" s="85" t="s">
        <v>437</v>
      </c>
      <c r="E734" s="84" t="s">
        <v>438</v>
      </c>
      <c r="F734" s="86" t="s">
        <v>5787</v>
      </c>
      <c r="G734" s="83">
        <v>125095</v>
      </c>
    </row>
    <row r="735" spans="1:7">
      <c r="A735" s="78" t="s">
        <v>7922</v>
      </c>
      <c r="B735" s="78">
        <v>726</v>
      </c>
      <c r="C735" s="79">
        <v>0</v>
      </c>
      <c r="D735" s="85" t="s">
        <v>294</v>
      </c>
      <c r="E735" s="85" t="s">
        <v>295</v>
      </c>
      <c r="F735" s="86" t="s">
        <v>5938</v>
      </c>
      <c r="G735" s="83">
        <v>109947</v>
      </c>
    </row>
    <row r="736" spans="1:7">
      <c r="A736" s="78" t="s">
        <v>7922</v>
      </c>
      <c r="B736" s="78">
        <v>727</v>
      </c>
      <c r="C736" s="79">
        <v>0</v>
      </c>
      <c r="D736" s="85" t="s">
        <v>318</v>
      </c>
      <c r="E736" s="85" t="s">
        <v>319</v>
      </c>
      <c r="F736" s="86" t="s">
        <v>5697</v>
      </c>
      <c r="G736" s="83">
        <v>109850</v>
      </c>
    </row>
    <row r="737" spans="1:7">
      <c r="A737" s="78" t="s">
        <v>7922</v>
      </c>
      <c r="B737" s="78">
        <v>728</v>
      </c>
      <c r="C737" s="79">
        <v>0</v>
      </c>
      <c r="D737" s="85" t="s">
        <v>2752</v>
      </c>
      <c r="E737" s="85" t="s">
        <v>2753</v>
      </c>
      <c r="F737" s="86" t="s">
        <v>5258</v>
      </c>
      <c r="G737" s="83">
        <v>103762</v>
      </c>
    </row>
    <row r="738" spans="1:7">
      <c r="A738" s="78" t="s">
        <v>7922</v>
      </c>
      <c r="B738" s="78">
        <v>729</v>
      </c>
      <c r="C738" s="79">
        <v>0</v>
      </c>
      <c r="D738" s="85" t="s">
        <v>2698</v>
      </c>
      <c r="E738" s="85" t="s">
        <v>2699</v>
      </c>
      <c r="F738" s="86" t="s">
        <v>5259</v>
      </c>
      <c r="G738" s="83">
        <v>102207</v>
      </c>
    </row>
    <row r="739" spans="1:7">
      <c r="A739" s="78" t="s">
        <v>7922</v>
      </c>
      <c r="B739" s="78">
        <v>730</v>
      </c>
      <c r="C739" s="79" t="s">
        <v>6768</v>
      </c>
      <c r="D739" s="85" t="s">
        <v>419</v>
      </c>
      <c r="E739" s="84" t="s">
        <v>420</v>
      </c>
      <c r="F739" s="86" t="s">
        <v>6393</v>
      </c>
      <c r="G739" s="83">
        <v>64317</v>
      </c>
    </row>
    <row r="740" spans="1:7">
      <c r="A740" s="78" t="s">
        <v>7922</v>
      </c>
      <c r="B740" s="78">
        <v>731</v>
      </c>
      <c r="C740" s="79" t="s">
        <v>6768</v>
      </c>
      <c r="D740" s="85" t="s">
        <v>431</v>
      </c>
      <c r="E740" s="84" t="s">
        <v>432</v>
      </c>
      <c r="F740" s="86" t="s">
        <v>5845</v>
      </c>
      <c r="G740" s="83">
        <v>64317</v>
      </c>
    </row>
    <row r="741" spans="1:7">
      <c r="A741" s="78" t="s">
        <v>7922</v>
      </c>
      <c r="B741" s="78">
        <v>732</v>
      </c>
      <c r="C741" s="79">
        <v>0</v>
      </c>
      <c r="D741" s="85" t="s">
        <v>3275</v>
      </c>
      <c r="E741" s="84" t="s">
        <v>3276</v>
      </c>
      <c r="F741" s="86" t="s">
        <v>5811</v>
      </c>
      <c r="G741" s="83">
        <v>48931</v>
      </c>
    </row>
    <row r="742" spans="1:7">
      <c r="A742" s="78" t="s">
        <v>7922</v>
      </c>
      <c r="B742" s="78">
        <v>733</v>
      </c>
      <c r="C742" s="79">
        <v>0</v>
      </c>
      <c r="D742" s="85" t="s">
        <v>3235</v>
      </c>
      <c r="E742" s="84" t="s">
        <v>3236</v>
      </c>
      <c r="F742" s="86" t="s">
        <v>5812</v>
      </c>
      <c r="G742" s="83">
        <v>48763</v>
      </c>
    </row>
    <row r="743" spans="1:7">
      <c r="A743" s="78" t="s">
        <v>7922</v>
      </c>
      <c r="B743" s="78">
        <v>734</v>
      </c>
      <c r="C743" s="79">
        <v>0</v>
      </c>
      <c r="D743" s="85" t="s">
        <v>439</v>
      </c>
      <c r="E743" s="84" t="s">
        <v>440</v>
      </c>
      <c r="F743" s="86" t="s">
        <v>7936</v>
      </c>
      <c r="G743" s="83">
        <v>48360</v>
      </c>
    </row>
    <row r="744" spans="1:7">
      <c r="A744" s="78" t="s">
        <v>7922</v>
      </c>
      <c r="B744" s="78">
        <v>735</v>
      </c>
      <c r="C744" s="79">
        <v>0</v>
      </c>
      <c r="D744" s="85" t="s">
        <v>425</v>
      </c>
      <c r="E744" s="84" t="s">
        <v>426</v>
      </c>
      <c r="F744" s="86" t="s">
        <v>7937</v>
      </c>
      <c r="G744" s="83">
        <v>48279</v>
      </c>
    </row>
    <row r="745" spans="1:7">
      <c r="A745" s="78" t="s">
        <v>7922</v>
      </c>
      <c r="B745" s="78">
        <v>736</v>
      </c>
      <c r="C745" s="79">
        <v>0</v>
      </c>
      <c r="D745" s="85" t="s">
        <v>3271</v>
      </c>
      <c r="E745" s="84" t="s">
        <v>3272</v>
      </c>
      <c r="F745" s="86" t="s">
        <v>5811</v>
      </c>
      <c r="G745" s="83">
        <v>45341</v>
      </c>
    </row>
    <row r="746" spans="1:7">
      <c r="A746" s="78" t="s">
        <v>7922</v>
      </c>
      <c r="B746" s="78">
        <v>737</v>
      </c>
      <c r="C746" s="79">
        <v>0</v>
      </c>
      <c r="D746" s="85" t="s">
        <v>3273</v>
      </c>
      <c r="E746" s="84" t="s">
        <v>3274</v>
      </c>
      <c r="F746" s="86" t="s">
        <v>5811</v>
      </c>
      <c r="G746" s="83">
        <v>45341</v>
      </c>
    </row>
    <row r="747" spans="1:7">
      <c r="A747" s="78" t="s">
        <v>7922</v>
      </c>
      <c r="B747" s="78">
        <v>738</v>
      </c>
      <c r="C747" s="79">
        <v>0</v>
      </c>
      <c r="D747" s="85" t="s">
        <v>3233</v>
      </c>
      <c r="E747" s="84" t="s">
        <v>3234</v>
      </c>
      <c r="F747" s="86" t="s">
        <v>5812</v>
      </c>
      <c r="G747" s="83">
        <v>45341</v>
      </c>
    </row>
    <row r="748" spans="1:7" ht="15" thickBot="1">
      <c r="A748" s="121" t="s">
        <v>7922</v>
      </c>
      <c r="B748" s="121">
        <v>739</v>
      </c>
      <c r="C748" s="131">
        <v>0</v>
      </c>
      <c r="D748" s="123" t="s">
        <v>3231</v>
      </c>
      <c r="E748" s="132" t="s">
        <v>3232</v>
      </c>
      <c r="F748" s="124" t="s">
        <v>5812</v>
      </c>
      <c r="G748" s="137">
        <v>44690</v>
      </c>
    </row>
    <row r="749" spans="1:7">
      <c r="A749" s="73" t="s">
        <v>7922</v>
      </c>
      <c r="B749" s="73">
        <v>740</v>
      </c>
      <c r="C749" s="74" t="s">
        <v>7938</v>
      </c>
      <c r="D749" s="75" t="s">
        <v>7940</v>
      </c>
      <c r="E749" s="145" t="s">
        <v>7939</v>
      </c>
      <c r="F749" s="129" t="s">
        <v>7941</v>
      </c>
      <c r="G749" s="77">
        <v>41126</v>
      </c>
    </row>
    <row r="750" spans="1:7">
      <c r="A750" s="78" t="s">
        <v>7922</v>
      </c>
      <c r="B750" s="78">
        <v>741</v>
      </c>
      <c r="C750" s="79">
        <v>0</v>
      </c>
      <c r="D750" s="85" t="s">
        <v>2764</v>
      </c>
      <c r="E750" s="84" t="s">
        <v>2765</v>
      </c>
      <c r="F750" s="86" t="s">
        <v>4821</v>
      </c>
      <c r="G750" s="117">
        <v>40240</v>
      </c>
    </row>
    <row r="751" spans="1:7">
      <c r="A751" s="78" t="s">
        <v>7922</v>
      </c>
      <c r="B751" s="78">
        <v>742</v>
      </c>
      <c r="C751" s="79" t="s">
        <v>7938</v>
      </c>
      <c r="D751" s="85" t="s">
        <v>7943</v>
      </c>
      <c r="E751" s="84" t="s">
        <v>7942</v>
      </c>
      <c r="F751" s="86" t="s">
        <v>7944</v>
      </c>
      <c r="G751" s="117">
        <v>39190</v>
      </c>
    </row>
    <row r="752" spans="1:7">
      <c r="A752" s="78" t="s">
        <v>7922</v>
      </c>
      <c r="B752" s="78">
        <v>743</v>
      </c>
      <c r="C752" s="79">
        <v>0</v>
      </c>
      <c r="D752" s="85" t="s">
        <v>2708</v>
      </c>
      <c r="E752" s="84" t="s">
        <v>2709</v>
      </c>
      <c r="F752" s="86" t="s">
        <v>4823</v>
      </c>
      <c r="G752" s="117">
        <v>39021</v>
      </c>
    </row>
    <row r="753" spans="1:7">
      <c r="A753" s="78" t="s">
        <v>7922</v>
      </c>
      <c r="B753" s="78">
        <v>744</v>
      </c>
      <c r="C753" s="79" t="s">
        <v>6768</v>
      </c>
      <c r="D753" s="85" t="s">
        <v>417</v>
      </c>
      <c r="E753" s="84" t="s">
        <v>418</v>
      </c>
      <c r="F753" s="86" t="s">
        <v>6393</v>
      </c>
      <c r="G753" s="117">
        <v>32159</v>
      </c>
    </row>
    <row r="754" spans="1:7">
      <c r="A754" s="78" t="s">
        <v>7922</v>
      </c>
      <c r="B754" s="78">
        <v>745</v>
      </c>
      <c r="C754" s="79" t="s">
        <v>6768</v>
      </c>
      <c r="D754" s="85" t="s">
        <v>433</v>
      </c>
      <c r="E754" s="84" t="s">
        <v>434</v>
      </c>
      <c r="F754" s="86" t="s">
        <v>5845</v>
      </c>
      <c r="G754" s="117">
        <v>32159</v>
      </c>
    </row>
    <row r="755" spans="1:7">
      <c r="A755" s="78" t="s">
        <v>7922</v>
      </c>
      <c r="B755" s="78">
        <v>746</v>
      </c>
      <c r="C755" s="79" t="s">
        <v>7938</v>
      </c>
      <c r="D755" s="85" t="s">
        <v>7946</v>
      </c>
      <c r="E755" s="84" t="s">
        <v>7945</v>
      </c>
      <c r="F755" s="86" t="s">
        <v>7947</v>
      </c>
      <c r="G755" s="117">
        <v>29513</v>
      </c>
    </row>
    <row r="756" spans="1:7">
      <c r="A756" s="78" t="s">
        <v>7922</v>
      </c>
      <c r="B756" s="78">
        <v>747</v>
      </c>
      <c r="C756" s="79" t="s">
        <v>7938</v>
      </c>
      <c r="D756" s="85" t="s">
        <v>7949</v>
      </c>
      <c r="E756" s="84" t="s">
        <v>7948</v>
      </c>
      <c r="F756" s="86" t="s">
        <v>7950</v>
      </c>
      <c r="G756" s="117">
        <v>28305</v>
      </c>
    </row>
    <row r="757" spans="1:7">
      <c r="A757" s="78" t="s">
        <v>7922</v>
      </c>
      <c r="B757" s="78">
        <v>750</v>
      </c>
      <c r="C757" s="79" t="s">
        <v>6782</v>
      </c>
      <c r="D757" s="85" t="s">
        <v>348</v>
      </c>
      <c r="E757" s="84" t="s">
        <v>349</v>
      </c>
      <c r="F757" s="86" t="s">
        <v>7923</v>
      </c>
      <c r="G757" s="117">
        <v>20426</v>
      </c>
    </row>
    <row r="758" spans="1:7">
      <c r="A758" s="78" t="s">
        <v>7922</v>
      </c>
      <c r="B758" s="78">
        <v>751</v>
      </c>
      <c r="C758" s="79">
        <v>0</v>
      </c>
      <c r="D758" s="85" t="s">
        <v>233</v>
      </c>
      <c r="E758" s="85" t="s">
        <v>234</v>
      </c>
      <c r="F758" s="86" t="s">
        <v>7924</v>
      </c>
      <c r="G758" s="117">
        <v>3503</v>
      </c>
    </row>
    <row r="759" spans="1:7">
      <c r="A759" s="78" t="s">
        <v>7922</v>
      </c>
      <c r="B759" s="78">
        <v>752</v>
      </c>
      <c r="C759" s="102" t="s">
        <v>6786</v>
      </c>
      <c r="D759" s="85" t="s">
        <v>292</v>
      </c>
      <c r="E759" s="85" t="s">
        <v>293</v>
      </c>
      <c r="F759" s="86" t="s">
        <v>5938</v>
      </c>
      <c r="G759" s="117">
        <v>0</v>
      </c>
    </row>
    <row r="760" spans="1:7">
      <c r="A760" s="78" t="s">
        <v>7922</v>
      </c>
      <c r="B760" s="78">
        <v>753</v>
      </c>
      <c r="C760" s="102" t="s">
        <v>6786</v>
      </c>
      <c r="D760" s="85" t="s">
        <v>316</v>
      </c>
      <c r="E760" s="85" t="s">
        <v>317</v>
      </c>
      <c r="F760" s="86" t="s">
        <v>5697</v>
      </c>
      <c r="G760" s="117">
        <v>0</v>
      </c>
    </row>
    <row r="761" spans="1:7">
      <c r="A761" s="78" t="s">
        <v>7922</v>
      </c>
      <c r="B761" s="78">
        <v>754</v>
      </c>
      <c r="C761" s="79">
        <v>0</v>
      </c>
      <c r="D761" s="85" t="s">
        <v>358</v>
      </c>
      <c r="E761" s="85" t="s">
        <v>359</v>
      </c>
      <c r="F761" s="86" t="s">
        <v>7951</v>
      </c>
      <c r="G761" s="83" t="s">
        <v>6796</v>
      </c>
    </row>
    <row r="762" spans="1:7">
      <c r="A762" s="78" t="s">
        <v>7922</v>
      </c>
      <c r="B762" s="78">
        <v>755</v>
      </c>
      <c r="C762" s="79">
        <v>0</v>
      </c>
      <c r="D762" s="85" t="s">
        <v>344</v>
      </c>
      <c r="E762" s="85" t="s">
        <v>345</v>
      </c>
      <c r="F762" s="86" t="s">
        <v>7929</v>
      </c>
      <c r="G762" s="83" t="s">
        <v>6796</v>
      </c>
    </row>
    <row r="763" spans="1:7" ht="15" thickBot="1">
      <c r="A763" s="121" t="s">
        <v>7922</v>
      </c>
      <c r="B763" s="121">
        <v>756</v>
      </c>
      <c r="C763" s="131">
        <v>0</v>
      </c>
      <c r="D763" s="123" t="s">
        <v>360</v>
      </c>
      <c r="E763" s="123" t="s">
        <v>361</v>
      </c>
      <c r="F763" s="124" t="s">
        <v>7951</v>
      </c>
      <c r="G763" s="83" t="s">
        <v>6796</v>
      </c>
    </row>
    <row r="764" spans="1:7">
      <c r="A764" s="73" t="s">
        <v>6743</v>
      </c>
      <c r="B764" s="73">
        <v>757</v>
      </c>
      <c r="C764" s="74">
        <v>0</v>
      </c>
      <c r="D764" s="75" t="s">
        <v>7953</v>
      </c>
      <c r="E764" s="75" t="s">
        <v>7952</v>
      </c>
      <c r="F764" s="129" t="s">
        <v>7954</v>
      </c>
      <c r="G764" s="77">
        <v>0</v>
      </c>
    </row>
    <row r="765" spans="1:7">
      <c r="A765" s="78" t="s">
        <v>6743</v>
      </c>
      <c r="B765" s="78">
        <v>758</v>
      </c>
      <c r="C765" s="79">
        <v>0</v>
      </c>
      <c r="D765" s="85" t="s">
        <v>7956</v>
      </c>
      <c r="E765" s="85" t="s">
        <v>7955</v>
      </c>
      <c r="F765" s="86" t="s">
        <v>7957</v>
      </c>
      <c r="G765" s="117">
        <v>0</v>
      </c>
    </row>
    <row r="766" spans="1:7">
      <c r="A766" s="78" t="s">
        <v>6743</v>
      </c>
      <c r="B766" s="78">
        <v>759</v>
      </c>
      <c r="C766" s="79">
        <v>0</v>
      </c>
      <c r="D766" s="85" t="s">
        <v>693</v>
      </c>
      <c r="E766" s="85" t="s">
        <v>7958</v>
      </c>
      <c r="F766" s="86" t="s">
        <v>7954</v>
      </c>
      <c r="G766" s="117">
        <v>0</v>
      </c>
    </row>
    <row r="767" spans="1:7">
      <c r="A767" s="78" t="s">
        <v>6743</v>
      </c>
      <c r="B767" s="78">
        <v>760</v>
      </c>
      <c r="C767" s="79">
        <v>0</v>
      </c>
      <c r="D767" s="85" t="s">
        <v>737</v>
      </c>
      <c r="E767" s="85" t="s">
        <v>7959</v>
      </c>
      <c r="F767" s="86" t="s">
        <v>7957</v>
      </c>
      <c r="G767" s="117">
        <v>0</v>
      </c>
    </row>
    <row r="768" spans="1:7">
      <c r="A768" s="78" t="s">
        <v>6743</v>
      </c>
      <c r="B768" s="78">
        <v>761</v>
      </c>
      <c r="C768" s="79" t="s">
        <v>7938</v>
      </c>
      <c r="D768" s="85" t="s">
        <v>219</v>
      </c>
      <c r="E768" s="84" t="s">
        <v>7960</v>
      </c>
      <c r="F768" s="86" t="s">
        <v>5704</v>
      </c>
      <c r="G768" s="117">
        <v>0</v>
      </c>
    </row>
    <row r="769" spans="1:7">
      <c r="A769" s="78" t="s">
        <v>6743</v>
      </c>
      <c r="B769" s="78">
        <v>762</v>
      </c>
      <c r="C769" s="79" t="s">
        <v>7938</v>
      </c>
      <c r="D769" s="85" t="s">
        <v>223</v>
      </c>
      <c r="E769" s="84" t="s">
        <v>7961</v>
      </c>
      <c r="F769" s="86" t="s">
        <v>5687</v>
      </c>
      <c r="G769" s="117">
        <v>0</v>
      </c>
    </row>
    <row r="770" spans="1:7">
      <c r="A770" s="78" t="s">
        <v>7922</v>
      </c>
      <c r="B770" s="78">
        <v>763</v>
      </c>
      <c r="C770" s="79">
        <v>0</v>
      </c>
      <c r="D770" s="85" t="s">
        <v>1812</v>
      </c>
      <c r="E770" s="85" t="s">
        <v>1813</v>
      </c>
      <c r="F770" s="86" t="s">
        <v>5018</v>
      </c>
      <c r="G770" s="117">
        <v>0</v>
      </c>
    </row>
    <row r="771" spans="1:7">
      <c r="A771" s="78" t="s">
        <v>7922</v>
      </c>
      <c r="B771" s="78">
        <v>764</v>
      </c>
      <c r="C771" s="79">
        <v>0</v>
      </c>
      <c r="D771" s="85" t="s">
        <v>1828</v>
      </c>
      <c r="E771" s="85" t="s">
        <v>1829</v>
      </c>
      <c r="F771" s="86" t="s">
        <v>5676</v>
      </c>
      <c r="G771" s="117">
        <v>0</v>
      </c>
    </row>
    <row r="772" spans="1:7">
      <c r="A772" s="78" t="s">
        <v>7922</v>
      </c>
      <c r="B772" s="78">
        <v>765</v>
      </c>
      <c r="C772" s="79">
        <v>0</v>
      </c>
      <c r="D772" s="85" t="s">
        <v>1820</v>
      </c>
      <c r="E772" s="85" t="s">
        <v>1821</v>
      </c>
      <c r="F772" s="86" t="s">
        <v>5018</v>
      </c>
      <c r="G772" s="117">
        <v>0</v>
      </c>
    </row>
    <row r="773" spans="1:7">
      <c r="A773" s="78" t="s">
        <v>7922</v>
      </c>
      <c r="B773" s="78">
        <v>766</v>
      </c>
      <c r="C773" s="79">
        <v>0</v>
      </c>
      <c r="D773" s="85" t="s">
        <v>296</v>
      </c>
      <c r="E773" s="85" t="s">
        <v>297</v>
      </c>
      <c r="F773" s="86" t="s">
        <v>7962</v>
      </c>
      <c r="G773" s="83" t="s">
        <v>6796</v>
      </c>
    </row>
    <row r="774" spans="1:7">
      <c r="A774" s="78" t="s">
        <v>7922</v>
      </c>
      <c r="B774" s="78">
        <v>767</v>
      </c>
      <c r="C774" s="79">
        <v>0</v>
      </c>
      <c r="D774" s="85" t="s">
        <v>320</v>
      </c>
      <c r="E774" s="85" t="s">
        <v>321</v>
      </c>
      <c r="F774" s="86" t="s">
        <v>7962</v>
      </c>
      <c r="G774" s="83" t="s">
        <v>6796</v>
      </c>
    </row>
    <row r="775" spans="1:7">
      <c r="A775" s="78" t="s">
        <v>7922</v>
      </c>
      <c r="B775" s="78">
        <v>768</v>
      </c>
      <c r="C775" s="79">
        <v>0</v>
      </c>
      <c r="D775" s="85" t="s">
        <v>2696</v>
      </c>
      <c r="E775" s="85" t="s">
        <v>7963</v>
      </c>
      <c r="F775" s="86" t="s">
        <v>7964</v>
      </c>
      <c r="G775" s="83" t="s">
        <v>6796</v>
      </c>
    </row>
    <row r="776" spans="1:7">
      <c r="A776" s="78" t="s">
        <v>7922</v>
      </c>
      <c r="B776" s="78">
        <v>769</v>
      </c>
      <c r="C776" s="79">
        <v>0</v>
      </c>
      <c r="D776" s="85" t="s">
        <v>2750</v>
      </c>
      <c r="E776" s="85" t="s">
        <v>7965</v>
      </c>
      <c r="F776" s="86" t="s">
        <v>7966</v>
      </c>
      <c r="G776" s="117">
        <v>0</v>
      </c>
    </row>
    <row r="777" spans="1:7">
      <c r="A777" s="78" t="s">
        <v>7922</v>
      </c>
      <c r="B777" s="78">
        <v>770</v>
      </c>
      <c r="C777" s="79">
        <v>0</v>
      </c>
      <c r="D777" s="85" t="s">
        <v>2800</v>
      </c>
      <c r="E777" s="85" t="s">
        <v>2801</v>
      </c>
      <c r="F777" s="86" t="s">
        <v>5718</v>
      </c>
      <c r="G777" s="117">
        <v>0</v>
      </c>
    </row>
    <row r="778" spans="1:7">
      <c r="A778" s="78" t="s">
        <v>7922</v>
      </c>
      <c r="B778" s="78">
        <v>771</v>
      </c>
      <c r="C778" s="79">
        <v>0</v>
      </c>
      <c r="D778" s="85" t="s">
        <v>2832</v>
      </c>
      <c r="E778" s="85" t="s">
        <v>2833</v>
      </c>
      <c r="F778" s="86" t="s">
        <v>7967</v>
      </c>
      <c r="G778" s="117">
        <v>0</v>
      </c>
    </row>
    <row r="779" spans="1:7">
      <c r="A779" s="78" t="s">
        <v>7922</v>
      </c>
      <c r="B779" s="78">
        <v>772</v>
      </c>
      <c r="C779" s="79">
        <v>0</v>
      </c>
      <c r="D779" s="85" t="s">
        <v>3283</v>
      </c>
      <c r="E779" s="85" t="s">
        <v>3284</v>
      </c>
      <c r="F779" s="86" t="s">
        <v>7968</v>
      </c>
      <c r="G779" s="117">
        <v>0</v>
      </c>
    </row>
    <row r="780" spans="1:7">
      <c r="A780" s="78" t="s">
        <v>6743</v>
      </c>
      <c r="B780" s="78">
        <v>773</v>
      </c>
      <c r="C780" s="79">
        <v>0</v>
      </c>
      <c r="D780" s="85" t="s">
        <v>747</v>
      </c>
      <c r="E780" s="84" t="s">
        <v>7969</v>
      </c>
      <c r="F780" s="86" t="s">
        <v>5135</v>
      </c>
      <c r="G780" s="117">
        <v>0</v>
      </c>
    </row>
    <row r="781" spans="1:7">
      <c r="A781" s="78" t="s">
        <v>6743</v>
      </c>
      <c r="B781" s="78">
        <v>774</v>
      </c>
      <c r="C781" s="79">
        <v>0</v>
      </c>
      <c r="D781" s="85" t="s">
        <v>755</v>
      </c>
      <c r="E781" s="84" t="s">
        <v>7970</v>
      </c>
      <c r="F781" s="86" t="s">
        <v>119</v>
      </c>
      <c r="G781" s="117">
        <v>0</v>
      </c>
    </row>
    <row r="782" spans="1:7">
      <c r="A782" s="78" t="s">
        <v>7922</v>
      </c>
      <c r="B782" s="78">
        <v>775</v>
      </c>
      <c r="C782" s="79" t="s">
        <v>6782</v>
      </c>
      <c r="D782" s="85" t="s">
        <v>336</v>
      </c>
      <c r="E782" s="84" t="s">
        <v>337</v>
      </c>
      <c r="F782" s="86" t="s">
        <v>6058</v>
      </c>
      <c r="G782" s="117">
        <v>0</v>
      </c>
    </row>
    <row r="783" spans="1:7">
      <c r="A783" s="78" t="s">
        <v>7971</v>
      </c>
      <c r="B783" s="78">
        <v>776</v>
      </c>
      <c r="C783" s="79">
        <v>0</v>
      </c>
      <c r="D783" s="85" t="s">
        <v>35</v>
      </c>
      <c r="E783" s="85" t="s">
        <v>73</v>
      </c>
      <c r="F783" s="86" t="s">
        <v>104</v>
      </c>
      <c r="G783" s="117">
        <v>8148976</v>
      </c>
    </row>
    <row r="784" spans="1:7">
      <c r="A784" s="78" t="s">
        <v>7971</v>
      </c>
      <c r="B784" s="78">
        <v>777</v>
      </c>
      <c r="C784" s="79">
        <v>0</v>
      </c>
      <c r="D784" s="85" t="s">
        <v>3411</v>
      </c>
      <c r="E784" s="85" t="s">
        <v>3412</v>
      </c>
      <c r="F784" s="86" t="s">
        <v>7972</v>
      </c>
      <c r="G784" s="117">
        <v>7799120</v>
      </c>
    </row>
    <row r="785" spans="1:7">
      <c r="A785" s="78" t="s">
        <v>7971</v>
      </c>
      <c r="B785" s="78">
        <v>778</v>
      </c>
      <c r="C785" s="79"/>
      <c r="D785" s="85" t="s">
        <v>25</v>
      </c>
      <c r="E785" s="84" t="s">
        <v>63</v>
      </c>
      <c r="F785" s="86" t="s">
        <v>104</v>
      </c>
      <c r="G785" s="117">
        <v>6156288</v>
      </c>
    </row>
    <row r="786" spans="1:7">
      <c r="A786" s="78" t="s">
        <v>7971</v>
      </c>
      <c r="B786" s="78">
        <v>779</v>
      </c>
      <c r="C786" s="79">
        <v>0</v>
      </c>
      <c r="D786" s="85" t="s">
        <v>2907</v>
      </c>
      <c r="E786" s="85" t="s">
        <v>2908</v>
      </c>
      <c r="F786" s="86" t="s">
        <v>5943</v>
      </c>
      <c r="G786" s="117">
        <v>5167396</v>
      </c>
    </row>
    <row r="787" spans="1:7">
      <c r="A787" s="78" t="s">
        <v>7971</v>
      </c>
      <c r="B787" s="78">
        <v>780</v>
      </c>
      <c r="C787" s="79" t="s">
        <v>6782</v>
      </c>
      <c r="D787" s="85" t="s">
        <v>2978</v>
      </c>
      <c r="E787" s="84" t="s">
        <v>2979</v>
      </c>
      <c r="F787" s="86" t="s">
        <v>5701</v>
      </c>
      <c r="G787" s="117">
        <v>4963194</v>
      </c>
    </row>
    <row r="788" spans="1:7">
      <c r="A788" s="78" t="s">
        <v>7971</v>
      </c>
      <c r="B788" s="78">
        <v>781</v>
      </c>
      <c r="C788" s="79">
        <v>0</v>
      </c>
      <c r="D788" s="85" t="s">
        <v>2495</v>
      </c>
      <c r="E788" s="85" t="s">
        <v>2496</v>
      </c>
      <c r="F788" s="86" t="s">
        <v>5432</v>
      </c>
      <c r="G788" s="117">
        <v>3520736</v>
      </c>
    </row>
    <row r="789" spans="1:7">
      <c r="A789" s="78" t="s">
        <v>7971</v>
      </c>
      <c r="B789" s="78">
        <v>782</v>
      </c>
      <c r="C789" s="79" t="s">
        <v>6755</v>
      </c>
      <c r="D789" s="85" t="s">
        <v>689</v>
      </c>
      <c r="E789" s="84" t="s">
        <v>690</v>
      </c>
      <c r="F789" s="86" t="s">
        <v>5548</v>
      </c>
      <c r="G789" s="117">
        <v>3141031</v>
      </c>
    </row>
    <row r="790" spans="1:7">
      <c r="A790" s="78" t="s">
        <v>7971</v>
      </c>
      <c r="B790" s="78">
        <v>783</v>
      </c>
      <c r="C790" s="79">
        <v>0</v>
      </c>
      <c r="D790" s="85" t="s">
        <v>13</v>
      </c>
      <c r="E790" s="85" t="s">
        <v>51</v>
      </c>
      <c r="F790" s="86" t="s">
        <v>100</v>
      </c>
      <c r="G790" s="117">
        <v>3085732</v>
      </c>
    </row>
    <row r="791" spans="1:7">
      <c r="A791" s="78" t="s">
        <v>7971</v>
      </c>
      <c r="B791" s="78">
        <v>784</v>
      </c>
      <c r="C791" s="79">
        <v>0</v>
      </c>
      <c r="D791" s="85" t="s">
        <v>34</v>
      </c>
      <c r="E791" s="85" t="s">
        <v>72</v>
      </c>
      <c r="F791" s="86" t="s">
        <v>104</v>
      </c>
      <c r="G791" s="117">
        <v>2419155</v>
      </c>
    </row>
    <row r="792" spans="1:7">
      <c r="A792" s="78" t="s">
        <v>7971</v>
      </c>
      <c r="B792" s="78">
        <v>785</v>
      </c>
      <c r="C792" s="79" t="s">
        <v>6746</v>
      </c>
      <c r="D792" s="85" t="s">
        <v>3882</v>
      </c>
      <c r="E792" s="84" t="s">
        <v>3883</v>
      </c>
      <c r="F792" s="86" t="s">
        <v>5548</v>
      </c>
      <c r="G792" s="117">
        <v>2413534</v>
      </c>
    </row>
    <row r="793" spans="1:7">
      <c r="A793" s="78" t="s">
        <v>7971</v>
      </c>
      <c r="B793" s="78">
        <v>786</v>
      </c>
      <c r="C793" s="79"/>
      <c r="D793" s="85" t="s">
        <v>3281</v>
      </c>
      <c r="E793" s="84" t="s">
        <v>3282</v>
      </c>
      <c r="F793" s="86" t="s">
        <v>7973</v>
      </c>
      <c r="G793" s="117">
        <v>2245323</v>
      </c>
    </row>
    <row r="794" spans="1:7">
      <c r="A794" s="78" t="s">
        <v>7971</v>
      </c>
      <c r="B794" s="78">
        <v>787</v>
      </c>
      <c r="C794" s="79" t="s">
        <v>6745</v>
      </c>
      <c r="D794" s="151" t="s">
        <v>1423</v>
      </c>
      <c r="E794" s="150" t="s">
        <v>1424</v>
      </c>
      <c r="F794" s="152" t="s">
        <v>5233</v>
      </c>
      <c r="G794" s="117">
        <v>2222213</v>
      </c>
    </row>
    <row r="795" spans="1:7">
      <c r="A795" s="78" t="s">
        <v>7971</v>
      </c>
      <c r="B795" s="78">
        <v>788</v>
      </c>
      <c r="C795" s="79">
        <v>0</v>
      </c>
      <c r="D795" s="85" t="s">
        <v>3599</v>
      </c>
      <c r="E795" s="85" t="s">
        <v>3600</v>
      </c>
      <c r="F795" s="86" t="s">
        <v>4972</v>
      </c>
      <c r="G795" s="117">
        <v>2211965</v>
      </c>
    </row>
    <row r="796" spans="1:7">
      <c r="A796" s="78" t="s">
        <v>7971</v>
      </c>
      <c r="B796" s="78">
        <v>789</v>
      </c>
      <c r="C796" s="79">
        <v>0</v>
      </c>
      <c r="D796" s="85" t="s">
        <v>2652</v>
      </c>
      <c r="E796" s="85" t="s">
        <v>2653</v>
      </c>
      <c r="F796" s="86" t="s">
        <v>5700</v>
      </c>
      <c r="G796" s="117">
        <v>1579469</v>
      </c>
    </row>
    <row r="797" spans="1:7">
      <c r="A797" s="78" t="s">
        <v>7971</v>
      </c>
      <c r="B797" s="78">
        <v>790</v>
      </c>
      <c r="C797" s="79">
        <v>0</v>
      </c>
      <c r="D797" s="85" t="s">
        <v>2500</v>
      </c>
      <c r="E797" s="85" t="s">
        <v>2501</v>
      </c>
      <c r="F797" s="86" t="s">
        <v>5432</v>
      </c>
      <c r="G797" s="117">
        <v>1386674</v>
      </c>
    </row>
    <row r="798" spans="1:7">
      <c r="A798" s="78" t="s">
        <v>7971</v>
      </c>
      <c r="B798" s="78">
        <v>791</v>
      </c>
      <c r="C798" s="79">
        <v>0</v>
      </c>
      <c r="D798" s="85" t="s">
        <v>3840</v>
      </c>
      <c r="E798" s="85" t="s">
        <v>3841</v>
      </c>
      <c r="F798" s="86" t="s">
        <v>5691</v>
      </c>
      <c r="G798" s="117">
        <v>1260511</v>
      </c>
    </row>
    <row r="799" spans="1:7">
      <c r="A799" s="78" t="s">
        <v>7971</v>
      </c>
      <c r="B799" s="78">
        <v>792</v>
      </c>
      <c r="C799" s="79" t="s">
        <v>6745</v>
      </c>
      <c r="D799" s="151" t="s">
        <v>3462</v>
      </c>
      <c r="E799" s="150" t="s">
        <v>3463</v>
      </c>
      <c r="F799" s="152" t="s">
        <v>5549</v>
      </c>
      <c r="G799" s="117">
        <v>1254893</v>
      </c>
    </row>
    <row r="800" spans="1:7">
      <c r="A800" s="78" t="s">
        <v>7971</v>
      </c>
      <c r="B800" s="78">
        <v>793</v>
      </c>
      <c r="C800" s="79" t="s">
        <v>6745</v>
      </c>
      <c r="D800" s="151" t="s">
        <v>3476</v>
      </c>
      <c r="E800" s="150" t="s">
        <v>3477</v>
      </c>
      <c r="F800" s="152" t="s">
        <v>5550</v>
      </c>
      <c r="G800" s="117">
        <v>1252584</v>
      </c>
    </row>
    <row r="801" spans="1:7">
      <c r="A801" s="78" t="s">
        <v>7971</v>
      </c>
      <c r="B801" s="78">
        <v>794</v>
      </c>
      <c r="C801" s="79">
        <v>0</v>
      </c>
      <c r="D801" s="85" t="s">
        <v>2650</v>
      </c>
      <c r="E801" s="85" t="s">
        <v>2651</v>
      </c>
      <c r="F801" s="86" t="s">
        <v>5700</v>
      </c>
      <c r="G801" s="117">
        <v>1148795</v>
      </c>
    </row>
    <row r="802" spans="1:7">
      <c r="A802" s="78" t="s">
        <v>7971</v>
      </c>
      <c r="B802" s="78">
        <v>795</v>
      </c>
      <c r="C802" s="79">
        <v>0</v>
      </c>
      <c r="D802" s="85" t="s">
        <v>2224</v>
      </c>
      <c r="E802" s="85" t="s">
        <v>2225</v>
      </c>
      <c r="F802" s="86" t="s">
        <v>4976</v>
      </c>
      <c r="G802" s="117">
        <v>1068464</v>
      </c>
    </row>
    <row r="803" spans="1:7">
      <c r="A803" s="78" t="s">
        <v>7971</v>
      </c>
      <c r="B803" s="78">
        <v>796</v>
      </c>
      <c r="C803" s="79">
        <v>0</v>
      </c>
      <c r="D803" s="85" t="s">
        <v>2449</v>
      </c>
      <c r="E803" s="85" t="s">
        <v>2450</v>
      </c>
      <c r="F803" s="86" t="s">
        <v>7974</v>
      </c>
      <c r="G803" s="117">
        <v>1058378</v>
      </c>
    </row>
    <row r="804" spans="1:7">
      <c r="A804" s="78" t="s">
        <v>7971</v>
      </c>
      <c r="B804" s="78">
        <v>797</v>
      </c>
      <c r="C804" s="79">
        <v>0</v>
      </c>
      <c r="D804" s="85" t="s">
        <v>4010</v>
      </c>
      <c r="E804" s="85" t="s">
        <v>4011</v>
      </c>
      <c r="F804" s="86" t="s">
        <v>4979</v>
      </c>
      <c r="G804" s="117">
        <v>1058378</v>
      </c>
    </row>
    <row r="805" spans="1:7">
      <c r="A805" s="78" t="s">
        <v>7971</v>
      </c>
      <c r="B805" s="78">
        <v>798</v>
      </c>
      <c r="C805" s="79">
        <v>0</v>
      </c>
      <c r="D805" s="85" t="s">
        <v>2228</v>
      </c>
      <c r="E805" s="85" t="s">
        <v>2229</v>
      </c>
      <c r="F805" s="86" t="s">
        <v>4976</v>
      </c>
      <c r="G805" s="117">
        <v>1028140</v>
      </c>
    </row>
    <row r="806" spans="1:7">
      <c r="A806" s="78" t="s">
        <v>7971</v>
      </c>
      <c r="B806" s="78">
        <v>799</v>
      </c>
      <c r="C806" s="79">
        <v>0</v>
      </c>
      <c r="D806" s="85" t="s">
        <v>623</v>
      </c>
      <c r="E806" s="84" t="s">
        <v>624</v>
      </c>
      <c r="F806" s="86" t="s">
        <v>7975</v>
      </c>
      <c r="G806" s="117">
        <v>1023221</v>
      </c>
    </row>
    <row r="807" spans="1:7">
      <c r="A807" s="78" t="s">
        <v>7971</v>
      </c>
      <c r="B807" s="78">
        <v>800</v>
      </c>
      <c r="C807" s="79">
        <v>0</v>
      </c>
      <c r="D807" s="85" t="s">
        <v>1965</v>
      </c>
      <c r="E807" s="85" t="s">
        <v>1966</v>
      </c>
      <c r="F807" s="86" t="s">
        <v>117</v>
      </c>
      <c r="G807" s="117">
        <v>1013451</v>
      </c>
    </row>
    <row r="808" spans="1:7">
      <c r="A808" s="78" t="s">
        <v>7971</v>
      </c>
      <c r="B808" s="78">
        <v>801</v>
      </c>
      <c r="C808" s="79">
        <v>0</v>
      </c>
      <c r="D808" s="85" t="s">
        <v>685</v>
      </c>
      <c r="E808" s="85" t="s">
        <v>686</v>
      </c>
      <c r="F808" s="86" t="s">
        <v>5691</v>
      </c>
      <c r="G808" s="117">
        <v>865804</v>
      </c>
    </row>
    <row r="809" spans="1:7">
      <c r="A809" s="78" t="s">
        <v>7971</v>
      </c>
      <c r="B809" s="78">
        <v>802</v>
      </c>
      <c r="C809" s="79"/>
      <c r="D809" s="85" t="s">
        <v>26</v>
      </c>
      <c r="E809" s="84" t="s">
        <v>64</v>
      </c>
      <c r="F809" s="86" t="s">
        <v>104</v>
      </c>
      <c r="G809" s="117">
        <v>800820</v>
      </c>
    </row>
    <row r="810" spans="1:7">
      <c r="A810" s="78" t="s">
        <v>7971</v>
      </c>
      <c r="B810" s="78">
        <v>803</v>
      </c>
      <c r="C810" s="79"/>
      <c r="D810" s="85" t="s">
        <v>2451</v>
      </c>
      <c r="E810" s="84" t="s">
        <v>2452</v>
      </c>
      <c r="F810" s="86" t="s">
        <v>118</v>
      </c>
      <c r="G810" s="117">
        <v>715397</v>
      </c>
    </row>
    <row r="811" spans="1:7">
      <c r="A811" s="78" t="s">
        <v>7971</v>
      </c>
      <c r="B811" s="78">
        <v>804</v>
      </c>
      <c r="C811" s="79">
        <v>0</v>
      </c>
      <c r="D811" s="85" t="s">
        <v>2498</v>
      </c>
      <c r="E811" s="85" t="s">
        <v>2499</v>
      </c>
      <c r="F811" s="86" t="s">
        <v>5432</v>
      </c>
      <c r="G811" s="117">
        <v>703004</v>
      </c>
    </row>
    <row r="812" spans="1:7">
      <c r="A812" s="78" t="s">
        <v>7971</v>
      </c>
      <c r="B812" s="78">
        <v>805</v>
      </c>
      <c r="C812" s="79">
        <v>0</v>
      </c>
      <c r="D812" s="85" t="s">
        <v>3245</v>
      </c>
      <c r="E812" s="85" t="s">
        <v>3246</v>
      </c>
      <c r="F812" s="86" t="s">
        <v>5700</v>
      </c>
      <c r="G812" s="117">
        <v>691003</v>
      </c>
    </row>
    <row r="813" spans="1:7">
      <c r="A813" s="78" t="s">
        <v>7971</v>
      </c>
      <c r="B813" s="78">
        <v>806</v>
      </c>
      <c r="C813" s="79"/>
      <c r="D813" s="85" t="s">
        <v>2521</v>
      </c>
      <c r="E813" s="84" t="s">
        <v>2522</v>
      </c>
      <c r="F813" s="86" t="s">
        <v>5260</v>
      </c>
      <c r="G813" s="117">
        <v>641130</v>
      </c>
    </row>
    <row r="814" spans="1:7">
      <c r="A814" s="78" t="s">
        <v>7971</v>
      </c>
      <c r="B814" s="78">
        <v>807</v>
      </c>
      <c r="C814" s="79">
        <v>0</v>
      </c>
      <c r="D814" s="85" t="s">
        <v>2664</v>
      </c>
      <c r="E814" s="85" t="s">
        <v>2665</v>
      </c>
      <c r="F814" s="86" t="s">
        <v>5700</v>
      </c>
      <c r="G814" s="117">
        <v>604344</v>
      </c>
    </row>
    <row r="815" spans="1:7">
      <c r="A815" s="78" t="s">
        <v>7971</v>
      </c>
      <c r="B815" s="78">
        <v>808</v>
      </c>
      <c r="C815" s="79">
        <v>0</v>
      </c>
      <c r="D815" s="85" t="s">
        <v>3251</v>
      </c>
      <c r="E815" s="85" t="s">
        <v>3252</v>
      </c>
      <c r="F815" s="86" t="s">
        <v>5813</v>
      </c>
      <c r="G815" s="117">
        <v>601187</v>
      </c>
    </row>
    <row r="816" spans="1:7">
      <c r="A816" s="78" t="s">
        <v>7971</v>
      </c>
      <c r="B816" s="78">
        <v>809</v>
      </c>
      <c r="C816" s="79" t="s">
        <v>6782</v>
      </c>
      <c r="D816" s="85" t="s">
        <v>2363</v>
      </c>
      <c r="E816" s="84" t="s">
        <v>2364</v>
      </c>
      <c r="F816" s="86" t="s">
        <v>6219</v>
      </c>
      <c r="G816" s="117">
        <v>557800</v>
      </c>
    </row>
    <row r="817" spans="1:7">
      <c r="A817" s="78" t="s">
        <v>7971</v>
      </c>
      <c r="B817" s="78">
        <v>810</v>
      </c>
      <c r="C817" s="79">
        <v>0</v>
      </c>
      <c r="D817" s="85" t="s">
        <v>2948</v>
      </c>
      <c r="E817" s="84" t="s">
        <v>2949</v>
      </c>
      <c r="F817" s="86" t="s">
        <v>5640</v>
      </c>
      <c r="G817" s="117">
        <v>535544</v>
      </c>
    </row>
    <row r="818" spans="1:7">
      <c r="A818" s="78" t="s">
        <v>7971</v>
      </c>
      <c r="B818" s="78">
        <v>811</v>
      </c>
      <c r="C818" s="79">
        <v>0</v>
      </c>
      <c r="D818" s="85" t="s">
        <v>1927</v>
      </c>
      <c r="E818" s="85" t="s">
        <v>1928</v>
      </c>
      <c r="F818" s="86" t="s">
        <v>7976</v>
      </c>
      <c r="G818" s="117">
        <v>534230</v>
      </c>
    </row>
    <row r="819" spans="1:7">
      <c r="A819" s="78" t="s">
        <v>7971</v>
      </c>
      <c r="B819" s="78">
        <v>812</v>
      </c>
      <c r="C819" s="79">
        <v>0</v>
      </c>
      <c r="D819" s="85" t="s">
        <v>1971</v>
      </c>
      <c r="E819" s="85" t="s">
        <v>1972</v>
      </c>
      <c r="F819" s="86" t="s">
        <v>117</v>
      </c>
      <c r="G819" s="117">
        <v>532213</v>
      </c>
    </row>
    <row r="820" spans="1:7">
      <c r="A820" s="78" t="s">
        <v>7971</v>
      </c>
      <c r="B820" s="78">
        <v>813</v>
      </c>
      <c r="C820" s="79">
        <v>0</v>
      </c>
      <c r="D820" s="85" t="s">
        <v>2662</v>
      </c>
      <c r="E820" s="85" t="s">
        <v>2663</v>
      </c>
      <c r="F820" s="86" t="s">
        <v>5700</v>
      </c>
      <c r="G820" s="117">
        <v>519920</v>
      </c>
    </row>
    <row r="821" spans="1:7">
      <c r="A821" s="78" t="s">
        <v>7971</v>
      </c>
      <c r="B821" s="78">
        <v>814</v>
      </c>
      <c r="C821" s="79"/>
      <c r="D821" s="85" t="s">
        <v>2523</v>
      </c>
      <c r="E821" s="84" t="s">
        <v>2524</v>
      </c>
      <c r="F821" s="86" t="s">
        <v>5260</v>
      </c>
      <c r="G821" s="117">
        <v>463733</v>
      </c>
    </row>
    <row r="822" spans="1:7">
      <c r="A822" s="78" t="s">
        <v>7971</v>
      </c>
      <c r="B822" s="78">
        <v>815</v>
      </c>
      <c r="C822" s="79">
        <v>0</v>
      </c>
      <c r="D822" s="85" t="s">
        <v>3747</v>
      </c>
      <c r="E822" s="85" t="s">
        <v>3748</v>
      </c>
      <c r="F822" s="86" t="s">
        <v>5421</v>
      </c>
      <c r="G822" s="117">
        <v>450856</v>
      </c>
    </row>
    <row r="823" spans="1:7">
      <c r="A823" s="78" t="s">
        <v>7971</v>
      </c>
      <c r="B823" s="78">
        <v>816</v>
      </c>
      <c r="C823" s="79" t="s">
        <v>6782</v>
      </c>
      <c r="D823" s="85" t="s">
        <v>2389</v>
      </c>
      <c r="E823" s="84" t="s">
        <v>2390</v>
      </c>
      <c r="F823" s="86" t="s">
        <v>5495</v>
      </c>
      <c r="G823" s="117">
        <v>438614</v>
      </c>
    </row>
    <row r="824" spans="1:7">
      <c r="A824" s="78" t="s">
        <v>7971</v>
      </c>
      <c r="B824" s="78">
        <v>817</v>
      </c>
      <c r="C824" s="79">
        <v>0</v>
      </c>
      <c r="D824" s="85" t="s">
        <v>3253</v>
      </c>
      <c r="E824" s="85" t="s">
        <v>3254</v>
      </c>
      <c r="F824" s="86" t="s">
        <v>5847</v>
      </c>
      <c r="G824" s="117">
        <v>432726</v>
      </c>
    </row>
    <row r="825" spans="1:7">
      <c r="A825" s="78" t="s">
        <v>7971</v>
      </c>
      <c r="B825" s="78">
        <v>818</v>
      </c>
      <c r="C825" s="79"/>
      <c r="D825" s="85" t="s">
        <v>2242</v>
      </c>
      <c r="E825" s="84" t="s">
        <v>2243</v>
      </c>
      <c r="F825" s="86" t="s">
        <v>4839</v>
      </c>
      <c r="G825" s="117">
        <v>423098</v>
      </c>
    </row>
    <row r="826" spans="1:7">
      <c r="A826" s="78" t="s">
        <v>7971</v>
      </c>
      <c r="B826" s="78">
        <v>819</v>
      </c>
      <c r="C826" s="79"/>
      <c r="D826" s="85" t="s">
        <v>2257</v>
      </c>
      <c r="E826" s="84" t="s">
        <v>2258</v>
      </c>
      <c r="F826" s="86" t="s">
        <v>4840</v>
      </c>
      <c r="G826" s="117">
        <v>423098</v>
      </c>
    </row>
    <row r="827" spans="1:7">
      <c r="A827" s="78" t="s">
        <v>7971</v>
      </c>
      <c r="B827" s="78">
        <v>820</v>
      </c>
      <c r="C827" s="79"/>
      <c r="D827" s="85" t="s">
        <v>2674</v>
      </c>
      <c r="E827" s="84" t="s">
        <v>2675</v>
      </c>
      <c r="F827" s="86" t="s">
        <v>5700</v>
      </c>
      <c r="G827" s="117">
        <v>410423</v>
      </c>
    </row>
    <row r="828" spans="1:7">
      <c r="A828" s="78" t="s">
        <v>7971</v>
      </c>
      <c r="B828" s="78">
        <v>821</v>
      </c>
      <c r="C828" s="79">
        <v>0</v>
      </c>
      <c r="D828" s="85" t="s">
        <v>2287</v>
      </c>
      <c r="E828" s="85" t="s">
        <v>2288</v>
      </c>
      <c r="F828" s="86" t="s">
        <v>7977</v>
      </c>
      <c r="G828" s="117">
        <v>409558</v>
      </c>
    </row>
    <row r="829" spans="1:7">
      <c r="A829" s="78" t="s">
        <v>7971</v>
      </c>
      <c r="B829" s="78">
        <v>822</v>
      </c>
      <c r="C829" s="79">
        <v>0</v>
      </c>
      <c r="D829" s="85" t="s">
        <v>493</v>
      </c>
      <c r="E829" s="84" t="s">
        <v>494</v>
      </c>
      <c r="F829" s="86" t="s">
        <v>5535</v>
      </c>
      <c r="G829" s="117">
        <v>409040</v>
      </c>
    </row>
    <row r="830" spans="1:7">
      <c r="A830" s="78" t="s">
        <v>7971</v>
      </c>
      <c r="B830" s="78">
        <v>823</v>
      </c>
      <c r="C830" s="79">
        <v>0</v>
      </c>
      <c r="D830" s="85" t="s">
        <v>3149</v>
      </c>
      <c r="E830" s="84" t="s">
        <v>3150</v>
      </c>
      <c r="F830" s="86" t="s">
        <v>7978</v>
      </c>
      <c r="G830" s="117">
        <v>388964</v>
      </c>
    </row>
    <row r="831" spans="1:7">
      <c r="A831" s="78" t="s">
        <v>7971</v>
      </c>
      <c r="B831" s="78">
        <v>824</v>
      </c>
      <c r="C831" s="79">
        <v>0</v>
      </c>
      <c r="D831" s="85" t="s">
        <v>761</v>
      </c>
      <c r="E831" s="85" t="s">
        <v>762</v>
      </c>
      <c r="F831" s="86" t="s">
        <v>7979</v>
      </c>
      <c r="G831" s="117">
        <v>367616</v>
      </c>
    </row>
    <row r="832" spans="1:7">
      <c r="A832" s="78" t="s">
        <v>7971</v>
      </c>
      <c r="B832" s="78">
        <v>825</v>
      </c>
      <c r="C832" s="79" t="s">
        <v>6755</v>
      </c>
      <c r="D832" s="85" t="s">
        <v>2491</v>
      </c>
      <c r="E832" s="84" t="s">
        <v>2492</v>
      </c>
      <c r="F832" s="86" t="s">
        <v>6245</v>
      </c>
      <c r="G832" s="117">
        <v>360217</v>
      </c>
    </row>
    <row r="833" spans="1:7">
      <c r="A833" s="78" t="s">
        <v>7971</v>
      </c>
      <c r="B833" s="78">
        <v>826</v>
      </c>
      <c r="C833" s="79">
        <v>0</v>
      </c>
      <c r="D833" s="85" t="s">
        <v>3842</v>
      </c>
      <c r="E833" s="84" t="s">
        <v>3843</v>
      </c>
      <c r="F833" s="86" t="s">
        <v>5548</v>
      </c>
      <c r="G833" s="117">
        <v>341502</v>
      </c>
    </row>
    <row r="834" spans="1:7">
      <c r="A834" s="78" t="s">
        <v>7971</v>
      </c>
      <c r="B834" s="78">
        <v>827</v>
      </c>
      <c r="C834" s="79">
        <v>0</v>
      </c>
      <c r="D834" s="85" t="s">
        <v>1977</v>
      </c>
      <c r="E834" s="85" t="s">
        <v>1978</v>
      </c>
      <c r="F834" s="86" t="s">
        <v>7980</v>
      </c>
      <c r="G834" s="117">
        <v>339687</v>
      </c>
    </row>
    <row r="835" spans="1:7">
      <c r="A835" s="78" t="s">
        <v>7971</v>
      </c>
      <c r="B835" s="78">
        <v>828</v>
      </c>
      <c r="C835" s="79">
        <v>0</v>
      </c>
      <c r="D835" s="85" t="s">
        <v>2972</v>
      </c>
      <c r="E835" s="85" t="s">
        <v>2973</v>
      </c>
      <c r="F835" s="86" t="s">
        <v>5701</v>
      </c>
      <c r="G835" s="117">
        <v>290298</v>
      </c>
    </row>
    <row r="836" spans="1:7">
      <c r="A836" s="78" t="s">
        <v>7971</v>
      </c>
      <c r="B836" s="78">
        <v>829</v>
      </c>
      <c r="C836" s="79">
        <v>0</v>
      </c>
      <c r="D836" s="85" t="s">
        <v>2970</v>
      </c>
      <c r="E836" s="85" t="s">
        <v>2971</v>
      </c>
      <c r="F836" s="86" t="s">
        <v>5701</v>
      </c>
      <c r="G836" s="117">
        <v>287274</v>
      </c>
    </row>
    <row r="837" spans="1:7">
      <c r="A837" s="78" t="s">
        <v>7971</v>
      </c>
      <c r="B837" s="78">
        <v>830</v>
      </c>
      <c r="C837" s="79">
        <v>0</v>
      </c>
      <c r="D837" s="85" t="s">
        <v>3778</v>
      </c>
      <c r="E837" s="85" t="s">
        <v>3779</v>
      </c>
      <c r="F837" s="86" t="s">
        <v>100</v>
      </c>
      <c r="G837" s="117">
        <v>272154</v>
      </c>
    </row>
    <row r="838" spans="1:7">
      <c r="A838" s="78" t="s">
        <v>7971</v>
      </c>
      <c r="B838" s="78">
        <v>831</v>
      </c>
      <c r="C838" s="79">
        <v>0</v>
      </c>
      <c r="D838" s="85" t="s">
        <v>1783</v>
      </c>
      <c r="E838" s="85" t="s">
        <v>1784</v>
      </c>
      <c r="F838" s="86" t="s">
        <v>7981</v>
      </c>
      <c r="G838" s="117">
        <v>268126</v>
      </c>
    </row>
    <row r="839" spans="1:7">
      <c r="A839" s="78" t="s">
        <v>7971</v>
      </c>
      <c r="B839" s="78">
        <v>832</v>
      </c>
      <c r="C839" s="79">
        <v>0</v>
      </c>
      <c r="D839" s="85" t="s">
        <v>1850</v>
      </c>
      <c r="E839" s="85" t="s">
        <v>1851</v>
      </c>
      <c r="F839" s="86" t="s">
        <v>7982</v>
      </c>
      <c r="G839" s="117">
        <v>267723</v>
      </c>
    </row>
    <row r="840" spans="1:7">
      <c r="A840" s="78" t="s">
        <v>7971</v>
      </c>
      <c r="B840" s="78">
        <v>833</v>
      </c>
      <c r="C840" s="79">
        <v>0</v>
      </c>
      <c r="D840" s="85" t="s">
        <v>1856</v>
      </c>
      <c r="E840" s="85" t="s">
        <v>1857</v>
      </c>
      <c r="F840" s="86" t="s">
        <v>7983</v>
      </c>
      <c r="G840" s="117">
        <v>266914</v>
      </c>
    </row>
    <row r="841" spans="1:7">
      <c r="A841" s="78" t="s">
        <v>7971</v>
      </c>
      <c r="B841" s="78">
        <v>834</v>
      </c>
      <c r="C841" s="79">
        <v>0</v>
      </c>
      <c r="D841" s="85" t="s">
        <v>1800</v>
      </c>
      <c r="E841" s="85" t="s">
        <v>1801</v>
      </c>
      <c r="F841" s="86" t="s">
        <v>7981</v>
      </c>
      <c r="G841" s="117">
        <v>266712</v>
      </c>
    </row>
    <row r="842" spans="1:7">
      <c r="A842" s="78" t="s">
        <v>7971</v>
      </c>
      <c r="B842" s="78">
        <v>835</v>
      </c>
      <c r="C842" s="79"/>
      <c r="D842" s="85" t="s">
        <v>3474</v>
      </c>
      <c r="E842" s="84" t="s">
        <v>3475</v>
      </c>
      <c r="F842" s="86" t="s">
        <v>5550</v>
      </c>
      <c r="G842" s="117">
        <v>257946</v>
      </c>
    </row>
    <row r="843" spans="1:7">
      <c r="A843" s="78" t="s">
        <v>7971</v>
      </c>
      <c r="B843" s="78">
        <v>836</v>
      </c>
      <c r="C843" s="79"/>
      <c r="D843" s="85" t="s">
        <v>3460</v>
      </c>
      <c r="E843" s="84" t="s">
        <v>3461</v>
      </c>
      <c r="F843" s="86" t="s">
        <v>5549</v>
      </c>
      <c r="G843" s="117">
        <v>252111</v>
      </c>
    </row>
    <row r="844" spans="1:7">
      <c r="A844" s="78" t="s">
        <v>7971</v>
      </c>
      <c r="B844" s="78">
        <v>837</v>
      </c>
      <c r="C844" s="79"/>
      <c r="D844" s="85" t="s">
        <v>2453</v>
      </c>
      <c r="E844" s="84" t="s">
        <v>2454</v>
      </c>
      <c r="F844" s="86" t="s">
        <v>118</v>
      </c>
      <c r="G844" s="117">
        <v>240244</v>
      </c>
    </row>
    <row r="845" spans="1:7">
      <c r="A845" s="78" t="s">
        <v>7971</v>
      </c>
      <c r="B845" s="78">
        <v>838</v>
      </c>
      <c r="C845" s="79">
        <v>0</v>
      </c>
      <c r="D845" s="85" t="s">
        <v>2331</v>
      </c>
      <c r="E845" s="84" t="s">
        <v>2332</v>
      </c>
      <c r="F845" s="86" t="s">
        <v>5513</v>
      </c>
      <c r="G845" s="117">
        <v>237812</v>
      </c>
    </row>
    <row r="846" spans="1:7">
      <c r="A846" s="78" t="s">
        <v>7971</v>
      </c>
      <c r="B846" s="78">
        <v>839</v>
      </c>
      <c r="C846" s="79">
        <v>0</v>
      </c>
      <c r="D846" s="85" t="s">
        <v>3872</v>
      </c>
      <c r="E846" s="85" t="s">
        <v>3873</v>
      </c>
      <c r="F846" s="86" t="s">
        <v>5548</v>
      </c>
      <c r="G846" s="117">
        <v>233388</v>
      </c>
    </row>
    <row r="847" spans="1:7">
      <c r="A847" s="78" t="s">
        <v>7971</v>
      </c>
      <c r="B847" s="78">
        <v>840</v>
      </c>
      <c r="C847" s="79">
        <v>0</v>
      </c>
      <c r="D847" s="85" t="s">
        <v>4026</v>
      </c>
      <c r="E847" s="85" t="s">
        <v>4027</v>
      </c>
      <c r="F847" s="86" t="s">
        <v>5421</v>
      </c>
      <c r="G847" s="117">
        <v>211676</v>
      </c>
    </row>
    <row r="848" spans="1:7">
      <c r="A848" s="78" t="s">
        <v>7971</v>
      </c>
      <c r="B848" s="78">
        <v>841</v>
      </c>
      <c r="C848" s="79"/>
      <c r="D848" s="85" t="s">
        <v>3073</v>
      </c>
      <c r="E848" s="84" t="s">
        <v>3074</v>
      </c>
      <c r="F848" s="86" t="s">
        <v>7984</v>
      </c>
      <c r="G848" s="117">
        <v>211652</v>
      </c>
    </row>
    <row r="849" spans="1:7">
      <c r="A849" s="78" t="s">
        <v>7971</v>
      </c>
      <c r="B849" s="78">
        <v>842</v>
      </c>
      <c r="C849" s="79">
        <v>0</v>
      </c>
      <c r="D849" s="85" t="s">
        <v>2393</v>
      </c>
      <c r="E849" s="85" t="s">
        <v>2394</v>
      </c>
      <c r="F849" s="86" t="s">
        <v>118</v>
      </c>
      <c r="G849" s="117">
        <v>210716</v>
      </c>
    </row>
    <row r="850" spans="1:7">
      <c r="A850" s="78" t="s">
        <v>7971</v>
      </c>
      <c r="B850" s="78">
        <v>843</v>
      </c>
      <c r="C850" s="79">
        <v>0</v>
      </c>
      <c r="D850" s="85" t="s">
        <v>3421</v>
      </c>
      <c r="E850" s="85" t="s">
        <v>3422</v>
      </c>
      <c r="F850" s="86" t="s">
        <v>5456</v>
      </c>
      <c r="G850" s="117">
        <v>205887</v>
      </c>
    </row>
    <row r="851" spans="1:7">
      <c r="A851" s="78" t="s">
        <v>7971</v>
      </c>
      <c r="B851" s="78">
        <v>844</v>
      </c>
      <c r="C851" s="79">
        <v>0</v>
      </c>
      <c r="D851" s="85" t="s">
        <v>2403</v>
      </c>
      <c r="E851" s="85" t="s">
        <v>2404</v>
      </c>
      <c r="F851" s="86" t="s">
        <v>5492</v>
      </c>
      <c r="G851" s="117">
        <v>203692</v>
      </c>
    </row>
    <row r="852" spans="1:7">
      <c r="A852" s="78" t="s">
        <v>7971</v>
      </c>
      <c r="B852" s="78">
        <v>845</v>
      </c>
      <c r="C852" s="79">
        <v>0</v>
      </c>
      <c r="D852" s="85" t="s">
        <v>2395</v>
      </c>
      <c r="E852" s="85" t="s">
        <v>2396</v>
      </c>
      <c r="F852" s="86" t="s">
        <v>118</v>
      </c>
      <c r="G852" s="117">
        <v>195138</v>
      </c>
    </row>
    <row r="853" spans="1:7">
      <c r="A853" s="78" t="s">
        <v>7971</v>
      </c>
      <c r="B853" s="78">
        <v>846</v>
      </c>
      <c r="C853" s="79">
        <v>0</v>
      </c>
      <c r="D853" s="85" t="s">
        <v>2329</v>
      </c>
      <c r="E853" s="85" t="s">
        <v>2330</v>
      </c>
      <c r="F853" s="86" t="s">
        <v>5513</v>
      </c>
      <c r="G853" s="117">
        <v>194417</v>
      </c>
    </row>
    <row r="854" spans="1:7">
      <c r="A854" s="78" t="s">
        <v>7971</v>
      </c>
      <c r="B854" s="78">
        <v>847</v>
      </c>
      <c r="C854" s="79">
        <v>0</v>
      </c>
      <c r="D854" s="85" t="s">
        <v>2377</v>
      </c>
      <c r="E854" s="85" t="s">
        <v>2378</v>
      </c>
      <c r="F854" s="86" t="s">
        <v>7985</v>
      </c>
      <c r="G854" s="117">
        <v>192021</v>
      </c>
    </row>
    <row r="855" spans="1:7">
      <c r="A855" s="78" t="s">
        <v>7971</v>
      </c>
      <c r="B855" s="78">
        <v>848</v>
      </c>
      <c r="C855" s="79" t="s">
        <v>6755</v>
      </c>
      <c r="D855" s="85" t="s">
        <v>2672</v>
      </c>
      <c r="E855" s="84" t="s">
        <v>2673</v>
      </c>
      <c r="F855" s="86" t="s">
        <v>5700</v>
      </c>
      <c r="G855" s="117">
        <v>185933</v>
      </c>
    </row>
    <row r="856" spans="1:7">
      <c r="A856" s="78" t="s">
        <v>7971</v>
      </c>
      <c r="B856" s="78">
        <v>849</v>
      </c>
      <c r="C856" s="79">
        <v>0</v>
      </c>
      <c r="D856" s="85" t="s">
        <v>1427</v>
      </c>
      <c r="E856" s="84" t="s">
        <v>1428</v>
      </c>
      <c r="F856" s="86" t="s">
        <v>4924</v>
      </c>
      <c r="G856" s="117">
        <v>165308</v>
      </c>
    </row>
    <row r="857" spans="1:7">
      <c r="A857" s="78" t="s">
        <v>7971</v>
      </c>
      <c r="B857" s="78">
        <v>850</v>
      </c>
      <c r="C857" s="79">
        <v>0</v>
      </c>
      <c r="D857" s="85" t="s">
        <v>1614</v>
      </c>
      <c r="E857" s="84" t="s">
        <v>1615</v>
      </c>
      <c r="F857" s="86" t="s">
        <v>5358</v>
      </c>
      <c r="G857" s="117">
        <v>165308</v>
      </c>
    </row>
    <row r="858" spans="1:7">
      <c r="A858" s="78" t="s">
        <v>7971</v>
      </c>
      <c r="B858" s="78">
        <v>851</v>
      </c>
      <c r="C858" s="79">
        <v>0</v>
      </c>
      <c r="D858" s="85" t="s">
        <v>1961</v>
      </c>
      <c r="E858" s="84" t="s">
        <v>1962</v>
      </c>
      <c r="F858" s="86" t="s">
        <v>7986</v>
      </c>
      <c r="G858" s="117">
        <v>161276</v>
      </c>
    </row>
    <row r="859" spans="1:7">
      <c r="A859" s="78" t="s">
        <v>7971</v>
      </c>
      <c r="B859" s="78">
        <v>852</v>
      </c>
      <c r="C859" s="79"/>
      <c r="D859" s="85" t="s">
        <v>2844</v>
      </c>
      <c r="E859" s="84" t="s">
        <v>2845</v>
      </c>
      <c r="F859" s="86" t="s">
        <v>5689</v>
      </c>
      <c r="G859" s="117">
        <v>158526</v>
      </c>
    </row>
    <row r="860" spans="1:7">
      <c r="A860" s="78" t="s">
        <v>7971</v>
      </c>
      <c r="B860" s="78">
        <v>853</v>
      </c>
      <c r="C860" s="79"/>
      <c r="D860" s="85" t="s">
        <v>2820</v>
      </c>
      <c r="E860" s="84" t="s">
        <v>2821</v>
      </c>
      <c r="F860" s="86" t="s">
        <v>5761</v>
      </c>
      <c r="G860" s="117">
        <v>157059</v>
      </c>
    </row>
    <row r="861" spans="1:7">
      <c r="A861" s="78" t="s">
        <v>7971</v>
      </c>
      <c r="B861" s="78">
        <v>854</v>
      </c>
      <c r="C861" s="79">
        <v>0</v>
      </c>
      <c r="D861" s="85" t="s">
        <v>598</v>
      </c>
      <c r="E861" s="85" t="s">
        <v>599</v>
      </c>
      <c r="F861" s="86" t="s">
        <v>5850</v>
      </c>
      <c r="G861" s="117">
        <v>154761</v>
      </c>
    </row>
    <row r="862" spans="1:7">
      <c r="A862" s="78" t="s">
        <v>7971</v>
      </c>
      <c r="B862" s="78">
        <v>855</v>
      </c>
      <c r="C862" s="79">
        <v>0</v>
      </c>
      <c r="D862" s="85" t="s">
        <v>596</v>
      </c>
      <c r="E862" s="85" t="s">
        <v>597</v>
      </c>
      <c r="F862" s="86" t="s">
        <v>5850</v>
      </c>
      <c r="G862" s="117">
        <v>154052</v>
      </c>
    </row>
    <row r="863" spans="1:7">
      <c r="A863" s="78" t="s">
        <v>7971</v>
      </c>
      <c r="B863" s="78">
        <v>856</v>
      </c>
      <c r="C863" s="79">
        <v>0</v>
      </c>
      <c r="D863" s="85" t="s">
        <v>3573</v>
      </c>
      <c r="E863" s="85" t="s">
        <v>3574</v>
      </c>
      <c r="F863" s="86" t="s">
        <v>5851</v>
      </c>
      <c r="G863" s="117">
        <v>151796</v>
      </c>
    </row>
    <row r="864" spans="1:7" ht="15" thickBot="1">
      <c r="A864" s="146" t="s">
        <v>7971</v>
      </c>
      <c r="B864" s="146">
        <v>857</v>
      </c>
      <c r="C864" s="147">
        <v>0</v>
      </c>
      <c r="D864" s="153" t="s">
        <v>3571</v>
      </c>
      <c r="E864" s="153" t="s">
        <v>3572</v>
      </c>
      <c r="F864" s="154" t="s">
        <v>5851</v>
      </c>
      <c r="G864" s="117">
        <v>151183</v>
      </c>
    </row>
    <row r="865" spans="1:7">
      <c r="A865" s="126" t="s">
        <v>7971</v>
      </c>
      <c r="B865" s="126">
        <v>858</v>
      </c>
      <c r="C865" s="127">
        <v>0</v>
      </c>
      <c r="D865" s="128" t="s">
        <v>2630</v>
      </c>
      <c r="E865" s="128" t="s">
        <v>2631</v>
      </c>
      <c r="F865" s="129" t="s">
        <v>5729</v>
      </c>
      <c r="G865" s="77">
        <v>147161</v>
      </c>
    </row>
    <row r="866" spans="1:7">
      <c r="A866" s="78" t="s">
        <v>7971</v>
      </c>
      <c r="B866" s="78">
        <v>859</v>
      </c>
      <c r="C866" s="79" t="s">
        <v>6755</v>
      </c>
      <c r="D866" s="85" t="s">
        <v>2210</v>
      </c>
      <c r="E866" s="84" t="s">
        <v>2211</v>
      </c>
      <c r="F866" s="86" t="s">
        <v>7987</v>
      </c>
      <c r="G866" s="117">
        <v>145248</v>
      </c>
    </row>
    <row r="867" spans="1:7">
      <c r="A867" s="78" t="s">
        <v>7971</v>
      </c>
      <c r="B867" s="78">
        <v>860</v>
      </c>
      <c r="C867" s="79" t="s">
        <v>6755</v>
      </c>
      <c r="D867" s="85" t="s">
        <v>2154</v>
      </c>
      <c r="E867" s="84" t="s">
        <v>2155</v>
      </c>
      <c r="F867" s="86" t="s">
        <v>7988</v>
      </c>
      <c r="G867" s="117">
        <v>145248</v>
      </c>
    </row>
    <row r="868" spans="1:7">
      <c r="A868" s="78" t="s">
        <v>7971</v>
      </c>
      <c r="B868" s="78">
        <v>861</v>
      </c>
      <c r="C868" s="79">
        <v>0</v>
      </c>
      <c r="D868" s="85" t="s">
        <v>2636</v>
      </c>
      <c r="E868" s="85" t="s">
        <v>2637</v>
      </c>
      <c r="F868" s="86" t="s">
        <v>5699</v>
      </c>
      <c r="G868" s="117">
        <v>136079</v>
      </c>
    </row>
    <row r="869" spans="1:7">
      <c r="A869" s="78" t="s">
        <v>7971</v>
      </c>
      <c r="B869" s="78">
        <v>862</v>
      </c>
      <c r="C869" s="79">
        <v>0</v>
      </c>
      <c r="D869" s="85" t="s">
        <v>3876</v>
      </c>
      <c r="E869" s="85" t="s">
        <v>3877</v>
      </c>
      <c r="F869" s="86" t="s">
        <v>5548</v>
      </c>
      <c r="G869" s="117">
        <v>135040</v>
      </c>
    </row>
    <row r="870" spans="1:7" ht="15" thickBot="1">
      <c r="A870" s="121" t="s">
        <v>7971</v>
      </c>
      <c r="B870" s="121">
        <v>863</v>
      </c>
      <c r="C870" s="131">
        <v>0</v>
      </c>
      <c r="D870" s="123" t="s">
        <v>2666</v>
      </c>
      <c r="E870" s="123" t="s">
        <v>2667</v>
      </c>
      <c r="F870" s="124" t="s">
        <v>5700</v>
      </c>
      <c r="G870" s="125">
        <v>123542</v>
      </c>
    </row>
    <row r="871" spans="1:7">
      <c r="A871" s="78" t="s">
        <v>7971</v>
      </c>
      <c r="B871" s="78">
        <v>864</v>
      </c>
      <c r="C871" s="79">
        <v>0</v>
      </c>
      <c r="D871" s="85" t="s">
        <v>2854</v>
      </c>
      <c r="E871" s="85" t="s">
        <v>2855</v>
      </c>
      <c r="F871" s="86" t="s">
        <v>7989</v>
      </c>
      <c r="G871" s="117">
        <v>122546</v>
      </c>
    </row>
    <row r="872" spans="1:7">
      <c r="A872" s="78" t="s">
        <v>7971</v>
      </c>
      <c r="B872" s="78">
        <v>865</v>
      </c>
      <c r="C872" s="79">
        <v>0</v>
      </c>
      <c r="D872" s="85" t="s">
        <v>491</v>
      </c>
      <c r="E872" s="85" t="s">
        <v>492</v>
      </c>
      <c r="F872" s="86" t="s">
        <v>7990</v>
      </c>
      <c r="G872" s="117">
        <v>122111</v>
      </c>
    </row>
    <row r="873" spans="1:7">
      <c r="A873" s="78" t="s">
        <v>7971</v>
      </c>
      <c r="B873" s="78">
        <v>866</v>
      </c>
      <c r="C873" s="79">
        <v>0</v>
      </c>
      <c r="D873" s="85" t="s">
        <v>2668</v>
      </c>
      <c r="E873" s="85" t="s">
        <v>2669</v>
      </c>
      <c r="F873" s="86" t="s">
        <v>7991</v>
      </c>
      <c r="G873" s="117">
        <v>115387</v>
      </c>
    </row>
    <row r="874" spans="1:7">
      <c r="A874" s="78" t="s">
        <v>7971</v>
      </c>
      <c r="B874" s="78">
        <v>867</v>
      </c>
      <c r="C874" s="79">
        <v>0</v>
      </c>
      <c r="D874" s="85" t="s">
        <v>2371</v>
      </c>
      <c r="E874" s="84" t="s">
        <v>2372</v>
      </c>
      <c r="F874" s="86" t="s">
        <v>5514</v>
      </c>
      <c r="G874" s="117">
        <v>108204</v>
      </c>
    </row>
    <row r="875" spans="1:7">
      <c r="A875" s="78" t="s">
        <v>7971</v>
      </c>
      <c r="B875" s="78">
        <v>868</v>
      </c>
      <c r="C875" s="79"/>
      <c r="D875" s="85" t="s">
        <v>2253</v>
      </c>
      <c r="E875" s="84" t="s">
        <v>2254</v>
      </c>
      <c r="F875" s="86" t="s">
        <v>4840</v>
      </c>
      <c r="G875" s="117">
        <v>103368</v>
      </c>
    </row>
    <row r="876" spans="1:7">
      <c r="A876" s="78" t="s">
        <v>7971</v>
      </c>
      <c r="B876" s="78">
        <v>869</v>
      </c>
      <c r="C876" s="79">
        <v>0</v>
      </c>
      <c r="D876" s="85" t="s">
        <v>2411</v>
      </c>
      <c r="E876" s="85" t="s">
        <v>2412</v>
      </c>
      <c r="F876" s="86" t="s">
        <v>5448</v>
      </c>
      <c r="G876" s="117">
        <v>99872</v>
      </c>
    </row>
    <row r="877" spans="1:7">
      <c r="A877" s="78" t="s">
        <v>7971</v>
      </c>
      <c r="B877" s="78">
        <v>870</v>
      </c>
      <c r="C877" s="79">
        <v>0</v>
      </c>
      <c r="D877" s="85" t="s">
        <v>2277</v>
      </c>
      <c r="E877" s="85" t="s">
        <v>2278</v>
      </c>
      <c r="F877" s="86" t="s">
        <v>7992</v>
      </c>
      <c r="G877" s="117">
        <v>99239</v>
      </c>
    </row>
    <row r="878" spans="1:7">
      <c r="A878" s="78" t="s">
        <v>7971</v>
      </c>
      <c r="B878" s="78">
        <v>871</v>
      </c>
      <c r="C878" s="79"/>
      <c r="D878" s="85" t="s">
        <v>3381</v>
      </c>
      <c r="E878" s="84" t="s">
        <v>3382</v>
      </c>
      <c r="F878" s="86" t="s">
        <v>7993</v>
      </c>
      <c r="G878" s="117">
        <v>98154</v>
      </c>
    </row>
    <row r="879" spans="1:7">
      <c r="A879" s="78" t="s">
        <v>7971</v>
      </c>
      <c r="B879" s="78">
        <v>872</v>
      </c>
      <c r="C879" s="79">
        <v>0</v>
      </c>
      <c r="D879" s="85" t="s">
        <v>2938</v>
      </c>
      <c r="E879" s="85" t="s">
        <v>2939</v>
      </c>
      <c r="F879" s="86" t="s">
        <v>5791</v>
      </c>
      <c r="G879" s="117">
        <v>98127</v>
      </c>
    </row>
    <row r="880" spans="1:7">
      <c r="A880" s="78" t="s">
        <v>7971</v>
      </c>
      <c r="B880" s="78">
        <v>873</v>
      </c>
      <c r="C880" s="79"/>
      <c r="D880" s="85" t="s">
        <v>1468</v>
      </c>
      <c r="E880" s="84" t="s">
        <v>1469</v>
      </c>
      <c r="F880" s="86" t="s">
        <v>7994</v>
      </c>
      <c r="G880" s="117">
        <v>98098</v>
      </c>
    </row>
    <row r="881" spans="1:7">
      <c r="A881" s="78" t="s">
        <v>7971</v>
      </c>
      <c r="B881" s="78">
        <v>874</v>
      </c>
      <c r="C881" s="79">
        <v>0</v>
      </c>
      <c r="D881" s="85" t="s">
        <v>2944</v>
      </c>
      <c r="E881" s="85" t="s">
        <v>2945</v>
      </c>
      <c r="F881" s="86" t="s">
        <v>5791</v>
      </c>
      <c r="G881" s="117">
        <v>97037</v>
      </c>
    </row>
    <row r="882" spans="1:7">
      <c r="A882" s="78" t="s">
        <v>7971</v>
      </c>
      <c r="B882" s="78">
        <v>875</v>
      </c>
      <c r="C882" s="79">
        <v>0</v>
      </c>
      <c r="D882" s="85" t="s">
        <v>679</v>
      </c>
      <c r="E882" s="85" t="s">
        <v>680</v>
      </c>
      <c r="F882" s="86" t="s">
        <v>5849</v>
      </c>
      <c r="G882" s="117">
        <v>95939</v>
      </c>
    </row>
    <row r="883" spans="1:7">
      <c r="A883" s="78" t="s">
        <v>7971</v>
      </c>
      <c r="B883" s="78">
        <v>876</v>
      </c>
      <c r="C883" s="79">
        <v>0</v>
      </c>
      <c r="D883" s="85" t="s">
        <v>3874</v>
      </c>
      <c r="E883" s="85" t="s">
        <v>3875</v>
      </c>
      <c r="F883" s="86" t="s">
        <v>5548</v>
      </c>
      <c r="G883" s="117">
        <v>95701</v>
      </c>
    </row>
    <row r="884" spans="1:7">
      <c r="A884" s="78" t="s">
        <v>7971</v>
      </c>
      <c r="B884" s="78">
        <v>877</v>
      </c>
      <c r="C884" s="79">
        <v>0</v>
      </c>
      <c r="D884" s="85" t="s">
        <v>4070</v>
      </c>
      <c r="E884" s="85" t="s">
        <v>4071</v>
      </c>
      <c r="F884" s="86" t="s">
        <v>6221</v>
      </c>
      <c r="G884" s="117">
        <v>91344</v>
      </c>
    </row>
    <row r="885" spans="1:7">
      <c r="A885" s="78" t="s">
        <v>7971</v>
      </c>
      <c r="B885" s="78">
        <v>878</v>
      </c>
      <c r="C885" s="79"/>
      <c r="D885" s="85" t="s">
        <v>2238</v>
      </c>
      <c r="E885" s="84" t="s">
        <v>2239</v>
      </c>
      <c r="F885" s="86" t="s">
        <v>4839</v>
      </c>
      <c r="G885" s="117">
        <v>90836</v>
      </c>
    </row>
    <row r="886" spans="1:7">
      <c r="A886" s="78" t="s">
        <v>7971</v>
      </c>
      <c r="B886" s="78">
        <v>879</v>
      </c>
      <c r="C886" s="79">
        <v>0</v>
      </c>
      <c r="D886" s="85" t="s">
        <v>2942</v>
      </c>
      <c r="E886" s="85" t="s">
        <v>2943</v>
      </c>
      <c r="F886" s="86" t="s">
        <v>5791</v>
      </c>
      <c r="G886" s="117">
        <v>89701</v>
      </c>
    </row>
    <row r="887" spans="1:7">
      <c r="A887" s="78" t="s">
        <v>7971</v>
      </c>
      <c r="B887" s="78">
        <v>880</v>
      </c>
      <c r="C887" s="79">
        <v>0</v>
      </c>
      <c r="D887" s="85" t="s">
        <v>3249</v>
      </c>
      <c r="E887" s="85" t="s">
        <v>3250</v>
      </c>
      <c r="F887" s="86" t="s">
        <v>5813</v>
      </c>
      <c r="G887" s="117">
        <v>87662</v>
      </c>
    </row>
    <row r="888" spans="1:7">
      <c r="A888" s="78" t="s">
        <v>7971</v>
      </c>
      <c r="B888" s="78">
        <v>881</v>
      </c>
      <c r="C888" s="79" t="s">
        <v>6745</v>
      </c>
      <c r="D888" s="151" t="s">
        <v>2162</v>
      </c>
      <c r="E888" s="150" t="s">
        <v>2163</v>
      </c>
      <c r="F888" s="152" t="s">
        <v>7995</v>
      </c>
      <c r="G888" s="117">
        <v>77675</v>
      </c>
    </row>
    <row r="889" spans="1:7">
      <c r="A889" s="78" t="s">
        <v>7971</v>
      </c>
      <c r="B889" s="78">
        <v>882</v>
      </c>
      <c r="C889" s="79">
        <v>0</v>
      </c>
      <c r="D889" s="85" t="s">
        <v>3255</v>
      </c>
      <c r="E889" s="85" t="s">
        <v>3256</v>
      </c>
      <c r="F889" s="86" t="s">
        <v>5847</v>
      </c>
      <c r="G889" s="117">
        <v>75815</v>
      </c>
    </row>
    <row r="890" spans="1:7">
      <c r="A890" s="78" t="s">
        <v>7971</v>
      </c>
      <c r="B890" s="78">
        <v>883</v>
      </c>
      <c r="C890" s="79">
        <v>0</v>
      </c>
      <c r="D890" s="85" t="s">
        <v>3894</v>
      </c>
      <c r="E890" s="85" t="s">
        <v>3895</v>
      </c>
      <c r="F890" s="86" t="s">
        <v>5548</v>
      </c>
      <c r="G890" s="117">
        <v>73829</v>
      </c>
    </row>
    <row r="891" spans="1:7">
      <c r="A891" s="78" t="s">
        <v>7971</v>
      </c>
      <c r="B891" s="78">
        <v>884</v>
      </c>
      <c r="C891" s="79">
        <v>0</v>
      </c>
      <c r="D891" s="85" t="s">
        <v>2946</v>
      </c>
      <c r="E891" s="85" t="s">
        <v>2947</v>
      </c>
      <c r="F891" s="86" t="s">
        <v>5791</v>
      </c>
      <c r="G891" s="117">
        <v>70131</v>
      </c>
    </row>
    <row r="892" spans="1:7">
      <c r="A892" s="78" t="s">
        <v>7971</v>
      </c>
      <c r="B892" s="78">
        <v>885</v>
      </c>
      <c r="C892" s="79" t="s">
        <v>6755</v>
      </c>
      <c r="D892" s="85" t="s">
        <v>2214</v>
      </c>
      <c r="E892" s="84" t="s">
        <v>2215</v>
      </c>
      <c r="F892" s="86" t="s">
        <v>7996</v>
      </c>
      <c r="G892" s="117">
        <v>68392</v>
      </c>
    </row>
    <row r="893" spans="1:7">
      <c r="A893" s="78" t="s">
        <v>7971</v>
      </c>
      <c r="B893" s="78">
        <v>886</v>
      </c>
      <c r="C893" s="79" t="s">
        <v>6755</v>
      </c>
      <c r="D893" s="85" t="s">
        <v>2176</v>
      </c>
      <c r="E893" s="84" t="s">
        <v>2177</v>
      </c>
      <c r="F893" s="86" t="s">
        <v>7997</v>
      </c>
      <c r="G893" s="117">
        <v>68392</v>
      </c>
    </row>
    <row r="894" spans="1:7">
      <c r="A894" s="78" t="s">
        <v>7971</v>
      </c>
      <c r="B894" s="78">
        <v>887</v>
      </c>
      <c r="C894" s="79" t="s">
        <v>6768</v>
      </c>
      <c r="D894" s="85" t="s">
        <v>691</v>
      </c>
      <c r="E894" s="84" t="s">
        <v>692</v>
      </c>
      <c r="F894" s="86" t="s">
        <v>5548</v>
      </c>
      <c r="G894" s="117">
        <v>64317</v>
      </c>
    </row>
    <row r="895" spans="1:7">
      <c r="A895" s="78" t="s">
        <v>7971</v>
      </c>
      <c r="B895" s="78">
        <v>888</v>
      </c>
      <c r="C895" s="79">
        <v>0</v>
      </c>
      <c r="D895" s="85" t="s">
        <v>1973</v>
      </c>
      <c r="E895" s="85" t="s">
        <v>1974</v>
      </c>
      <c r="F895" s="86" t="s">
        <v>117</v>
      </c>
      <c r="G895" s="117">
        <v>63431</v>
      </c>
    </row>
    <row r="896" spans="1:7">
      <c r="A896" s="78" t="s">
        <v>7971</v>
      </c>
      <c r="B896" s="78">
        <v>889</v>
      </c>
      <c r="C896" s="79">
        <v>0</v>
      </c>
      <c r="D896" s="85" t="s">
        <v>4048</v>
      </c>
      <c r="E896" s="85" t="s">
        <v>4049</v>
      </c>
      <c r="F896" s="86" t="s">
        <v>5421</v>
      </c>
      <c r="G896" s="117">
        <v>61162</v>
      </c>
    </row>
    <row r="897" spans="1:7">
      <c r="A897" s="78" t="s">
        <v>7971</v>
      </c>
      <c r="B897" s="78">
        <v>890</v>
      </c>
      <c r="C897" s="79" t="s">
        <v>6755</v>
      </c>
      <c r="D897" s="85" t="s">
        <v>2158</v>
      </c>
      <c r="E897" s="84" t="s">
        <v>2159</v>
      </c>
      <c r="F897" s="86" t="s">
        <v>7998</v>
      </c>
      <c r="G897" s="117">
        <v>54066</v>
      </c>
    </row>
    <row r="898" spans="1:7">
      <c r="A898" s="78" t="s">
        <v>7971</v>
      </c>
      <c r="B898" s="78">
        <v>891</v>
      </c>
      <c r="C898" s="79">
        <v>0</v>
      </c>
      <c r="D898" s="85" t="s">
        <v>3864</v>
      </c>
      <c r="E898" s="84" t="s">
        <v>3865</v>
      </c>
      <c r="F898" s="86" t="s">
        <v>5548</v>
      </c>
      <c r="G898" s="117">
        <v>52675</v>
      </c>
    </row>
    <row r="899" spans="1:7">
      <c r="A899" s="78" t="s">
        <v>7971</v>
      </c>
      <c r="B899" s="78">
        <v>892</v>
      </c>
      <c r="C899" s="79" t="s">
        <v>6755</v>
      </c>
      <c r="D899" s="85" t="s">
        <v>2180</v>
      </c>
      <c r="E899" s="84" t="s">
        <v>2181</v>
      </c>
      <c r="F899" s="86" t="s">
        <v>7999</v>
      </c>
      <c r="G899" s="117">
        <v>51796</v>
      </c>
    </row>
    <row r="900" spans="1:7">
      <c r="A900" s="78" t="s">
        <v>7971</v>
      </c>
      <c r="B900" s="78">
        <v>893</v>
      </c>
      <c r="C900" s="79">
        <v>0</v>
      </c>
      <c r="D900" s="85" t="s">
        <v>2952</v>
      </c>
      <c r="E900" s="85" t="s">
        <v>2953</v>
      </c>
      <c r="F900" s="86" t="s">
        <v>8000</v>
      </c>
      <c r="G900" s="117">
        <v>50965</v>
      </c>
    </row>
    <row r="901" spans="1:7">
      <c r="A901" s="78" t="s">
        <v>7971</v>
      </c>
      <c r="B901" s="78">
        <v>894</v>
      </c>
      <c r="C901" s="79">
        <v>0</v>
      </c>
      <c r="D901" s="85" t="s">
        <v>2956</v>
      </c>
      <c r="E901" s="85" t="s">
        <v>2957</v>
      </c>
      <c r="F901" s="86" t="s">
        <v>5837</v>
      </c>
      <c r="G901" s="117">
        <v>48931</v>
      </c>
    </row>
    <row r="902" spans="1:7">
      <c r="A902" s="78" t="s">
        <v>7971</v>
      </c>
      <c r="B902" s="78">
        <v>895</v>
      </c>
      <c r="C902" s="79">
        <v>0</v>
      </c>
      <c r="D902" s="85" t="s">
        <v>3219</v>
      </c>
      <c r="E902" s="85" t="s">
        <v>3220</v>
      </c>
      <c r="F902" s="86" t="s">
        <v>5838</v>
      </c>
      <c r="G902" s="117">
        <v>48931</v>
      </c>
    </row>
    <row r="903" spans="1:7">
      <c r="A903" s="78" t="s">
        <v>7971</v>
      </c>
      <c r="B903" s="78">
        <v>896</v>
      </c>
      <c r="C903" s="79" t="s">
        <v>6755</v>
      </c>
      <c r="D903" s="85" t="s">
        <v>2279</v>
      </c>
      <c r="E903" s="84" t="s">
        <v>2280</v>
      </c>
      <c r="F903" s="86" t="s">
        <v>8001</v>
      </c>
      <c r="G903" s="117">
        <v>48655</v>
      </c>
    </row>
    <row r="904" spans="1:7">
      <c r="A904" s="78" t="s">
        <v>7971</v>
      </c>
      <c r="B904" s="78">
        <v>897</v>
      </c>
      <c r="C904" s="79">
        <v>0</v>
      </c>
      <c r="D904" s="85" t="s">
        <v>3287</v>
      </c>
      <c r="E904" s="85" t="s">
        <v>3288</v>
      </c>
      <c r="F904" s="86" t="s">
        <v>5865</v>
      </c>
      <c r="G904" s="117">
        <v>48444</v>
      </c>
    </row>
    <row r="905" spans="1:7">
      <c r="A905" s="78" t="s">
        <v>7971</v>
      </c>
      <c r="B905" s="78">
        <v>898</v>
      </c>
      <c r="C905" s="79">
        <v>0</v>
      </c>
      <c r="D905" s="85" t="s">
        <v>3579</v>
      </c>
      <c r="E905" s="85" t="s">
        <v>3580</v>
      </c>
      <c r="F905" s="86" t="s">
        <v>5867</v>
      </c>
      <c r="G905" s="117">
        <v>48444</v>
      </c>
    </row>
    <row r="906" spans="1:7">
      <c r="A906" s="78" t="s">
        <v>7971</v>
      </c>
      <c r="B906" s="78">
        <v>899</v>
      </c>
      <c r="C906" s="79">
        <v>0</v>
      </c>
      <c r="D906" s="85" t="s">
        <v>3577</v>
      </c>
      <c r="E906" s="85" t="s">
        <v>3578</v>
      </c>
      <c r="F906" s="86" t="s">
        <v>5852</v>
      </c>
      <c r="G906" s="117">
        <v>48444</v>
      </c>
    </row>
    <row r="907" spans="1:7">
      <c r="A907" s="78" t="s">
        <v>7971</v>
      </c>
      <c r="B907" s="78">
        <v>900</v>
      </c>
      <c r="C907" s="79">
        <v>0</v>
      </c>
      <c r="D907" s="85" t="s">
        <v>3285</v>
      </c>
      <c r="E907" s="85" t="s">
        <v>3286</v>
      </c>
      <c r="F907" s="86" t="s">
        <v>5848</v>
      </c>
      <c r="G907" s="117">
        <v>48317</v>
      </c>
    </row>
    <row r="908" spans="1:7">
      <c r="A908" s="78" t="s">
        <v>7971</v>
      </c>
      <c r="B908" s="78">
        <v>901</v>
      </c>
      <c r="C908" s="79">
        <v>0</v>
      </c>
      <c r="D908" s="85" t="s">
        <v>3217</v>
      </c>
      <c r="E908" s="85" t="s">
        <v>3218</v>
      </c>
      <c r="F908" s="86" t="s">
        <v>8002</v>
      </c>
      <c r="G908" s="117">
        <v>46481</v>
      </c>
    </row>
    <row r="909" spans="1:7">
      <c r="A909" s="78" t="s">
        <v>7971</v>
      </c>
      <c r="B909" s="78">
        <v>902</v>
      </c>
      <c r="C909" s="79">
        <v>0</v>
      </c>
      <c r="D909" s="85" t="s">
        <v>677</v>
      </c>
      <c r="E909" s="85" t="s">
        <v>678</v>
      </c>
      <c r="F909" s="86" t="s">
        <v>5874</v>
      </c>
      <c r="G909" s="117">
        <v>46346</v>
      </c>
    </row>
    <row r="910" spans="1:7">
      <c r="A910" s="78" t="s">
        <v>7971</v>
      </c>
      <c r="B910" s="78">
        <v>903</v>
      </c>
      <c r="C910" s="79">
        <v>0</v>
      </c>
      <c r="D910" s="85" t="s">
        <v>4062</v>
      </c>
      <c r="E910" s="84" t="s">
        <v>4063</v>
      </c>
      <c r="F910" s="86" t="s">
        <v>5456</v>
      </c>
      <c r="G910" s="117">
        <v>46304</v>
      </c>
    </row>
    <row r="911" spans="1:7">
      <c r="A911" s="78" t="s">
        <v>7971</v>
      </c>
      <c r="B911" s="78">
        <v>904</v>
      </c>
      <c r="C911" s="79">
        <v>0</v>
      </c>
      <c r="D911" s="85" t="s">
        <v>3878</v>
      </c>
      <c r="E911" s="85" t="s">
        <v>3879</v>
      </c>
      <c r="F911" s="86" t="s">
        <v>5548</v>
      </c>
      <c r="G911" s="117">
        <v>46090</v>
      </c>
    </row>
    <row r="912" spans="1:7">
      <c r="A912" s="78" t="s">
        <v>7971</v>
      </c>
      <c r="B912" s="78">
        <v>905</v>
      </c>
      <c r="C912" s="79">
        <v>0</v>
      </c>
      <c r="D912" s="85" t="s">
        <v>3621</v>
      </c>
      <c r="E912" s="85" t="s">
        <v>3622</v>
      </c>
      <c r="F912" s="86" t="s">
        <v>8003</v>
      </c>
      <c r="G912" s="117">
        <v>45501</v>
      </c>
    </row>
    <row r="913" spans="1:7">
      <c r="A913" s="78" t="s">
        <v>7971</v>
      </c>
      <c r="B913" s="78">
        <v>906</v>
      </c>
      <c r="C913" s="79" t="s">
        <v>6745</v>
      </c>
      <c r="D913" s="88" t="s">
        <v>2525</v>
      </c>
      <c r="E913" s="87" t="s">
        <v>2526</v>
      </c>
      <c r="F913" s="89" t="s">
        <v>5432</v>
      </c>
      <c r="G913" s="117">
        <v>44660</v>
      </c>
    </row>
    <row r="914" spans="1:7">
      <c r="A914" s="78" t="s">
        <v>7971</v>
      </c>
      <c r="B914" s="78">
        <v>907</v>
      </c>
      <c r="C914" s="79">
        <v>0</v>
      </c>
      <c r="D914" s="85" t="s">
        <v>3211</v>
      </c>
      <c r="E914" s="85" t="s">
        <v>3212</v>
      </c>
      <c r="F914" s="86" t="s">
        <v>8004</v>
      </c>
      <c r="G914" s="117">
        <v>44039</v>
      </c>
    </row>
    <row r="915" spans="1:7">
      <c r="A915" s="78" t="s">
        <v>7971</v>
      </c>
      <c r="B915" s="78">
        <v>908</v>
      </c>
      <c r="C915" s="79">
        <v>0</v>
      </c>
      <c r="D915" s="85" t="s">
        <v>2954</v>
      </c>
      <c r="E915" s="84" t="s">
        <v>2955</v>
      </c>
      <c r="F915" s="86" t="s">
        <v>8005</v>
      </c>
      <c r="G915" s="117">
        <v>44039</v>
      </c>
    </row>
    <row r="916" spans="1:7">
      <c r="A916" s="78" t="s">
        <v>7971</v>
      </c>
      <c r="B916" s="78">
        <v>909</v>
      </c>
      <c r="C916" s="79">
        <v>0</v>
      </c>
      <c r="D916" s="85" t="s">
        <v>2950</v>
      </c>
      <c r="E916" s="85" t="s">
        <v>2951</v>
      </c>
      <c r="F916" s="86" t="s">
        <v>5792</v>
      </c>
      <c r="G916" s="117">
        <v>42813</v>
      </c>
    </row>
    <row r="917" spans="1:7">
      <c r="A917" s="78" t="s">
        <v>7971</v>
      </c>
      <c r="B917" s="78">
        <v>910</v>
      </c>
      <c r="C917" s="79">
        <v>0</v>
      </c>
      <c r="D917" s="85" t="s">
        <v>3215</v>
      </c>
      <c r="E917" s="85" t="s">
        <v>3216</v>
      </c>
      <c r="F917" s="86" t="s">
        <v>5819</v>
      </c>
      <c r="G917" s="117">
        <v>42813</v>
      </c>
    </row>
    <row r="918" spans="1:7">
      <c r="A918" s="78" t="s">
        <v>7971</v>
      </c>
      <c r="B918" s="78">
        <v>911</v>
      </c>
      <c r="C918" s="79" t="s">
        <v>6782</v>
      </c>
      <c r="D918" s="85" t="s">
        <v>3880</v>
      </c>
      <c r="E918" s="84" t="s">
        <v>3881</v>
      </c>
      <c r="F918" s="86" t="s">
        <v>5548</v>
      </c>
      <c r="G918" s="117">
        <v>40852</v>
      </c>
    </row>
    <row r="919" spans="1:7">
      <c r="A919" s="78" t="s">
        <v>7971</v>
      </c>
      <c r="B919" s="78">
        <v>912</v>
      </c>
      <c r="C919" s="79">
        <v>0</v>
      </c>
      <c r="D919" s="85" t="s">
        <v>531</v>
      </c>
      <c r="E919" s="84" t="s">
        <v>532</v>
      </c>
      <c r="F919" s="86" t="s">
        <v>8006</v>
      </c>
      <c r="G919" s="117">
        <v>31871</v>
      </c>
    </row>
    <row r="920" spans="1:7">
      <c r="A920" s="78" t="s">
        <v>7971</v>
      </c>
      <c r="B920" s="78">
        <v>913</v>
      </c>
      <c r="C920" s="79">
        <v>0</v>
      </c>
      <c r="D920" s="85" t="s">
        <v>3607</v>
      </c>
      <c r="E920" s="85" t="s">
        <v>3608</v>
      </c>
      <c r="F920" s="86" t="s">
        <v>5614</v>
      </c>
      <c r="G920" s="117">
        <v>31321</v>
      </c>
    </row>
    <row r="921" spans="1:7">
      <c r="A921" s="78" t="s">
        <v>7971</v>
      </c>
      <c r="B921" s="78">
        <v>914</v>
      </c>
      <c r="C921" s="79">
        <v>0</v>
      </c>
      <c r="D921" s="85" t="s">
        <v>3237</v>
      </c>
      <c r="E921" s="85" t="s">
        <v>3238</v>
      </c>
      <c r="F921" s="86" t="s">
        <v>5813</v>
      </c>
      <c r="G921" s="117">
        <v>30540</v>
      </c>
    </row>
    <row r="922" spans="1:7">
      <c r="A922" s="78" t="s">
        <v>7971</v>
      </c>
      <c r="B922" s="78">
        <v>915</v>
      </c>
      <c r="C922" s="79">
        <v>0</v>
      </c>
      <c r="D922" s="85" t="s">
        <v>2924</v>
      </c>
      <c r="E922" s="85" t="s">
        <v>2925</v>
      </c>
      <c r="F922" s="86" t="s">
        <v>8007</v>
      </c>
      <c r="G922" s="117">
        <v>30540</v>
      </c>
    </row>
    <row r="923" spans="1:7">
      <c r="A923" s="78" t="s">
        <v>7971</v>
      </c>
      <c r="B923" s="78">
        <v>916</v>
      </c>
      <c r="C923" s="79">
        <v>0</v>
      </c>
      <c r="D923" s="85" t="s">
        <v>2928</v>
      </c>
      <c r="E923" s="85" t="s">
        <v>2929</v>
      </c>
      <c r="F923" s="86" t="s">
        <v>5791</v>
      </c>
      <c r="G923" s="117">
        <v>30540</v>
      </c>
    </row>
    <row r="924" spans="1:7">
      <c r="A924" s="146" t="s">
        <v>7971</v>
      </c>
      <c r="B924" s="146">
        <v>917</v>
      </c>
      <c r="C924" s="79">
        <v>0</v>
      </c>
      <c r="D924" s="153" t="s">
        <v>3038</v>
      </c>
      <c r="E924" s="153" t="s">
        <v>3039</v>
      </c>
      <c r="F924" s="86" t="s">
        <v>8008</v>
      </c>
      <c r="G924" s="83">
        <v>30072</v>
      </c>
    </row>
    <row r="925" spans="1:7">
      <c r="A925" s="146" t="s">
        <v>7971</v>
      </c>
      <c r="B925" s="146">
        <v>918</v>
      </c>
      <c r="C925" s="79">
        <v>0</v>
      </c>
      <c r="D925" s="153" t="s">
        <v>3751</v>
      </c>
      <c r="E925" s="153" t="s">
        <v>3752</v>
      </c>
      <c r="F925" s="86" t="s">
        <v>5734</v>
      </c>
      <c r="G925" s="83">
        <v>29753</v>
      </c>
    </row>
    <row r="926" spans="1:7">
      <c r="A926" s="146" t="s">
        <v>7971</v>
      </c>
      <c r="B926" s="146">
        <v>919</v>
      </c>
      <c r="C926" s="79">
        <v>0</v>
      </c>
      <c r="D926" s="153" t="s">
        <v>3749</v>
      </c>
      <c r="E926" s="153" t="s">
        <v>3750</v>
      </c>
      <c r="F926" s="86" t="s">
        <v>5734</v>
      </c>
      <c r="G926" s="83">
        <v>29753</v>
      </c>
    </row>
    <row r="927" spans="1:7">
      <c r="A927" s="146" t="s">
        <v>7971</v>
      </c>
      <c r="B927" s="146">
        <v>920</v>
      </c>
      <c r="C927" s="79">
        <v>0</v>
      </c>
      <c r="D927" s="153" t="s">
        <v>3207</v>
      </c>
      <c r="E927" s="153" t="s">
        <v>3208</v>
      </c>
      <c r="F927" s="86" t="s">
        <v>8004</v>
      </c>
      <c r="G927" s="83">
        <v>29367</v>
      </c>
    </row>
    <row r="928" spans="1:7">
      <c r="A928" s="146" t="s">
        <v>7971</v>
      </c>
      <c r="B928" s="146">
        <v>921</v>
      </c>
      <c r="C928" s="79"/>
      <c r="D928" s="153" t="s">
        <v>2628</v>
      </c>
      <c r="E928" s="155" t="s">
        <v>2629</v>
      </c>
      <c r="F928" s="86" t="s">
        <v>8009</v>
      </c>
      <c r="G928" s="83">
        <v>29367</v>
      </c>
    </row>
    <row r="929" spans="1:7">
      <c r="A929" s="146" t="s">
        <v>7971</v>
      </c>
      <c r="B929" s="146">
        <v>922</v>
      </c>
      <c r="C929" s="79">
        <v>0</v>
      </c>
      <c r="D929" s="153" t="s">
        <v>2984</v>
      </c>
      <c r="E929" s="153" t="s">
        <v>2985</v>
      </c>
      <c r="F929" s="86" t="s">
        <v>8010</v>
      </c>
      <c r="G929" s="83">
        <v>28970</v>
      </c>
    </row>
    <row r="930" spans="1:7">
      <c r="A930" s="146" t="s">
        <v>7971</v>
      </c>
      <c r="B930" s="146">
        <v>923</v>
      </c>
      <c r="C930" s="79">
        <v>0</v>
      </c>
      <c r="D930" s="153" t="s">
        <v>2930</v>
      </c>
      <c r="E930" s="153" t="s">
        <v>2931</v>
      </c>
      <c r="F930" s="86" t="s">
        <v>5791</v>
      </c>
      <c r="G930" s="83">
        <v>28191</v>
      </c>
    </row>
    <row r="931" spans="1:7">
      <c r="A931" s="146" t="s">
        <v>7971</v>
      </c>
      <c r="B931" s="146">
        <v>924</v>
      </c>
      <c r="C931" s="79">
        <v>0</v>
      </c>
      <c r="D931" s="153" t="s">
        <v>529</v>
      </c>
      <c r="E931" s="155" t="s">
        <v>530</v>
      </c>
      <c r="F931" s="86" t="s">
        <v>8006</v>
      </c>
      <c r="G931" s="83">
        <v>27886</v>
      </c>
    </row>
    <row r="932" spans="1:7">
      <c r="A932" s="146" t="s">
        <v>7971</v>
      </c>
      <c r="B932" s="146">
        <v>925</v>
      </c>
      <c r="C932" s="79">
        <v>0</v>
      </c>
      <c r="D932" s="153" t="s">
        <v>3862</v>
      </c>
      <c r="E932" s="155" t="s">
        <v>3863</v>
      </c>
      <c r="F932" s="86" t="s">
        <v>5548</v>
      </c>
      <c r="G932" s="83">
        <v>26624</v>
      </c>
    </row>
    <row r="933" spans="1:7">
      <c r="A933" s="146" t="s">
        <v>7971</v>
      </c>
      <c r="B933" s="146">
        <v>926</v>
      </c>
      <c r="C933" s="79" t="s">
        <v>6755</v>
      </c>
      <c r="D933" s="153" t="s">
        <v>3866</v>
      </c>
      <c r="E933" s="155" t="s">
        <v>3867</v>
      </c>
      <c r="F933" s="86" t="s">
        <v>5619</v>
      </c>
      <c r="G933" s="83">
        <v>25477</v>
      </c>
    </row>
    <row r="934" spans="1:7">
      <c r="A934" s="146" t="s">
        <v>7971</v>
      </c>
      <c r="B934" s="146">
        <v>927</v>
      </c>
      <c r="C934" s="79">
        <v>0</v>
      </c>
      <c r="D934" s="153" t="s">
        <v>4042</v>
      </c>
      <c r="E934" s="155" t="s">
        <v>4043</v>
      </c>
      <c r="F934" s="86" t="s">
        <v>5421</v>
      </c>
      <c r="G934" s="83">
        <v>20548</v>
      </c>
    </row>
    <row r="935" spans="1:7">
      <c r="A935" s="146" t="s">
        <v>7971</v>
      </c>
      <c r="B935" s="146">
        <v>928</v>
      </c>
      <c r="C935" s="79">
        <v>0</v>
      </c>
      <c r="D935" s="153" t="s">
        <v>3512</v>
      </c>
      <c r="E935" s="153" t="s">
        <v>3513</v>
      </c>
      <c r="F935" s="86" t="s">
        <v>8011</v>
      </c>
      <c r="G935" s="83">
        <v>15268</v>
      </c>
    </row>
    <row r="936" spans="1:7">
      <c r="A936" s="146" t="s">
        <v>7971</v>
      </c>
      <c r="B936" s="146">
        <v>929</v>
      </c>
      <c r="C936" s="79">
        <v>0</v>
      </c>
      <c r="D936" s="153" t="s">
        <v>3615</v>
      </c>
      <c r="E936" s="153" t="s">
        <v>3616</v>
      </c>
      <c r="F936" s="86" t="s">
        <v>8003</v>
      </c>
      <c r="G936" s="83">
        <v>15268</v>
      </c>
    </row>
    <row r="937" spans="1:7">
      <c r="A937" s="146" t="s">
        <v>7971</v>
      </c>
      <c r="B937" s="146">
        <v>930</v>
      </c>
      <c r="C937" s="79">
        <v>0</v>
      </c>
      <c r="D937" s="153" t="s">
        <v>3514</v>
      </c>
      <c r="E937" s="153" t="s">
        <v>3515</v>
      </c>
      <c r="F937" s="86" t="s">
        <v>8012</v>
      </c>
      <c r="G937" s="83">
        <v>15268</v>
      </c>
    </row>
    <row r="938" spans="1:7">
      <c r="A938" s="146" t="s">
        <v>7971</v>
      </c>
      <c r="B938" s="146">
        <v>931</v>
      </c>
      <c r="C938" s="79">
        <v>0</v>
      </c>
      <c r="D938" s="153" t="s">
        <v>3518</v>
      </c>
      <c r="E938" s="153" t="s">
        <v>3519</v>
      </c>
      <c r="F938" s="86" t="s">
        <v>8013</v>
      </c>
      <c r="G938" s="83">
        <v>15131</v>
      </c>
    </row>
    <row r="939" spans="1:7">
      <c r="A939" s="146" t="s">
        <v>7971</v>
      </c>
      <c r="B939" s="146">
        <v>932</v>
      </c>
      <c r="C939" s="79">
        <v>0</v>
      </c>
      <c r="D939" s="153" t="s">
        <v>3213</v>
      </c>
      <c r="E939" s="153" t="s">
        <v>3214</v>
      </c>
      <c r="F939" s="86" t="s">
        <v>5819</v>
      </c>
      <c r="G939" s="83">
        <v>15076</v>
      </c>
    </row>
    <row r="940" spans="1:7">
      <c r="A940" s="146" t="s">
        <v>7971</v>
      </c>
      <c r="B940" s="146">
        <v>933</v>
      </c>
      <c r="C940" s="79">
        <v>0</v>
      </c>
      <c r="D940" s="153" t="s">
        <v>3522</v>
      </c>
      <c r="E940" s="153" t="s">
        <v>3523</v>
      </c>
      <c r="F940" s="86" t="s">
        <v>8014</v>
      </c>
      <c r="G940" s="83">
        <v>15038</v>
      </c>
    </row>
    <row r="941" spans="1:7">
      <c r="A941" s="146" t="s">
        <v>7971</v>
      </c>
      <c r="B941" s="146">
        <v>934</v>
      </c>
      <c r="C941" s="79">
        <v>0</v>
      </c>
      <c r="D941" s="153" t="s">
        <v>3613</v>
      </c>
      <c r="E941" s="153" t="s">
        <v>3614</v>
      </c>
      <c r="F941" s="86" t="s">
        <v>8003</v>
      </c>
      <c r="G941" s="83">
        <v>14880</v>
      </c>
    </row>
    <row r="942" spans="1:7">
      <c r="A942" s="146" t="s">
        <v>7971</v>
      </c>
      <c r="B942" s="146">
        <v>935</v>
      </c>
      <c r="C942" s="79">
        <v>0</v>
      </c>
      <c r="D942" s="153" t="s">
        <v>3209</v>
      </c>
      <c r="E942" s="153" t="s">
        <v>3210</v>
      </c>
      <c r="F942" s="86" t="s">
        <v>5819</v>
      </c>
      <c r="G942" s="83">
        <v>14681</v>
      </c>
    </row>
    <row r="943" spans="1:7">
      <c r="A943" s="146" t="s">
        <v>7971</v>
      </c>
      <c r="B943" s="146">
        <v>936</v>
      </c>
      <c r="C943" s="79" t="s">
        <v>6755</v>
      </c>
      <c r="D943" s="153" t="s">
        <v>2212</v>
      </c>
      <c r="E943" s="155" t="s">
        <v>2213</v>
      </c>
      <c r="F943" s="86" t="s">
        <v>7987</v>
      </c>
      <c r="G943" s="83">
        <v>14170</v>
      </c>
    </row>
    <row r="944" spans="1:7">
      <c r="A944" s="146" t="s">
        <v>7971</v>
      </c>
      <c r="B944" s="146">
        <v>937</v>
      </c>
      <c r="C944" s="79" t="s">
        <v>6755</v>
      </c>
      <c r="D944" s="153" t="s">
        <v>2156</v>
      </c>
      <c r="E944" s="155" t="s">
        <v>2157</v>
      </c>
      <c r="F944" s="86" t="s">
        <v>7988</v>
      </c>
      <c r="G944" s="83">
        <v>14170</v>
      </c>
    </row>
    <row r="945" spans="1:7">
      <c r="A945" s="146" t="s">
        <v>7971</v>
      </c>
      <c r="B945" s="146">
        <v>938</v>
      </c>
      <c r="C945" s="79" t="s">
        <v>6755</v>
      </c>
      <c r="D945" s="153" t="s">
        <v>3478</v>
      </c>
      <c r="E945" s="155" t="s">
        <v>3479</v>
      </c>
      <c r="F945" s="86" t="s">
        <v>8015</v>
      </c>
      <c r="G945" s="83">
        <v>13889</v>
      </c>
    </row>
    <row r="946" spans="1:7">
      <c r="A946" s="146" t="s">
        <v>7971</v>
      </c>
      <c r="B946" s="146">
        <v>939</v>
      </c>
      <c r="C946" s="79" t="s">
        <v>6755</v>
      </c>
      <c r="D946" s="153" t="s">
        <v>3133</v>
      </c>
      <c r="E946" s="155" t="s">
        <v>3134</v>
      </c>
      <c r="F946" s="86" t="s">
        <v>5558</v>
      </c>
      <c r="G946" s="83">
        <v>13500</v>
      </c>
    </row>
    <row r="947" spans="1:7">
      <c r="A947" s="146" t="s">
        <v>7971</v>
      </c>
      <c r="B947" s="146">
        <v>940</v>
      </c>
      <c r="C947" s="79" t="s">
        <v>6755</v>
      </c>
      <c r="D947" s="153" t="s">
        <v>3139</v>
      </c>
      <c r="E947" s="155" t="s">
        <v>3140</v>
      </c>
      <c r="F947" s="86" t="s">
        <v>5559</v>
      </c>
      <c r="G947" s="83">
        <v>13119</v>
      </c>
    </row>
    <row r="948" spans="1:7">
      <c r="A948" s="146" t="s">
        <v>7971</v>
      </c>
      <c r="B948" s="146">
        <v>941</v>
      </c>
      <c r="C948" s="79" t="s">
        <v>6755</v>
      </c>
      <c r="D948" s="153" t="s">
        <v>3480</v>
      </c>
      <c r="E948" s="155" t="s">
        <v>3481</v>
      </c>
      <c r="F948" s="86" t="s">
        <v>5619</v>
      </c>
      <c r="G948" s="83">
        <v>13119</v>
      </c>
    </row>
    <row r="949" spans="1:7">
      <c r="A949" s="146" t="s">
        <v>7971</v>
      </c>
      <c r="B949" s="146">
        <v>942</v>
      </c>
      <c r="C949" s="79">
        <v>0</v>
      </c>
      <c r="D949" s="153" t="s">
        <v>3040</v>
      </c>
      <c r="E949" s="153" t="s">
        <v>3041</v>
      </c>
      <c r="F949" s="86" t="s">
        <v>8016</v>
      </c>
      <c r="G949" s="83">
        <v>12606</v>
      </c>
    </row>
    <row r="950" spans="1:7">
      <c r="A950" s="146" t="s">
        <v>7971</v>
      </c>
      <c r="B950" s="146">
        <v>943</v>
      </c>
      <c r="C950" s="79" t="s">
        <v>6776</v>
      </c>
      <c r="D950" s="153" t="s">
        <v>268</v>
      </c>
      <c r="E950" s="155" t="s">
        <v>269</v>
      </c>
      <c r="F950" s="86" t="s">
        <v>6123</v>
      </c>
      <c r="G950" s="83">
        <v>7012</v>
      </c>
    </row>
    <row r="951" spans="1:7">
      <c r="A951" s="146" t="s">
        <v>7971</v>
      </c>
      <c r="B951" s="146">
        <v>944</v>
      </c>
      <c r="C951" s="79"/>
      <c r="D951" s="153" t="s">
        <v>2656</v>
      </c>
      <c r="E951" s="155" t="s">
        <v>2657</v>
      </c>
      <c r="F951" s="86" t="s">
        <v>5700</v>
      </c>
      <c r="G951" s="83">
        <v>5660</v>
      </c>
    </row>
    <row r="952" spans="1:7">
      <c r="A952" s="146" t="s">
        <v>7971</v>
      </c>
      <c r="B952" s="146">
        <v>945</v>
      </c>
      <c r="C952" s="79" t="s">
        <v>6755</v>
      </c>
      <c r="D952" s="153" t="s">
        <v>2216</v>
      </c>
      <c r="E952" s="155" t="s">
        <v>2217</v>
      </c>
      <c r="F952" s="86" t="s">
        <v>7996</v>
      </c>
      <c r="G952" s="83">
        <v>5067</v>
      </c>
    </row>
    <row r="953" spans="1:7">
      <c r="A953" s="146" t="s">
        <v>7971</v>
      </c>
      <c r="B953" s="146">
        <v>946</v>
      </c>
      <c r="C953" s="79" t="s">
        <v>6755</v>
      </c>
      <c r="D953" s="153" t="s">
        <v>2178</v>
      </c>
      <c r="E953" s="155" t="s">
        <v>2179</v>
      </c>
      <c r="F953" s="86" t="s">
        <v>7997</v>
      </c>
      <c r="G953" s="83">
        <v>5067</v>
      </c>
    </row>
    <row r="954" spans="1:7">
      <c r="A954" s="146" t="s">
        <v>7971</v>
      </c>
      <c r="B954" s="146">
        <v>947</v>
      </c>
      <c r="C954" s="79">
        <v>0</v>
      </c>
      <c r="D954" s="153" t="s">
        <v>3247</v>
      </c>
      <c r="E954" s="153" t="s">
        <v>3248</v>
      </c>
      <c r="F954" s="86" t="s">
        <v>5700</v>
      </c>
      <c r="G954" s="83">
        <v>4569</v>
      </c>
    </row>
    <row r="955" spans="1:7">
      <c r="A955" s="146" t="s">
        <v>7971</v>
      </c>
      <c r="B955" s="146">
        <v>948</v>
      </c>
      <c r="C955" s="79">
        <v>0</v>
      </c>
      <c r="D955" s="153" t="s">
        <v>2269</v>
      </c>
      <c r="E955" s="155" t="s">
        <v>2270</v>
      </c>
      <c r="F955" s="86" t="s">
        <v>6209</v>
      </c>
      <c r="G955" s="83">
        <v>1185</v>
      </c>
    </row>
    <row r="956" spans="1:7">
      <c r="A956" s="146" t="s">
        <v>7971</v>
      </c>
      <c r="B956" s="146">
        <v>949</v>
      </c>
      <c r="C956" s="102" t="s">
        <v>6786</v>
      </c>
      <c r="D956" s="153" t="s">
        <v>3486</v>
      </c>
      <c r="E956" s="153" t="s">
        <v>8017</v>
      </c>
      <c r="F956" s="86" t="s">
        <v>8018</v>
      </c>
      <c r="G956" s="83" t="s">
        <v>6796</v>
      </c>
    </row>
    <row r="957" spans="1:7">
      <c r="A957" s="146" t="s">
        <v>7971</v>
      </c>
      <c r="B957" s="146">
        <v>950</v>
      </c>
      <c r="C957" s="102" t="s">
        <v>6786</v>
      </c>
      <c r="D957" s="153" t="s">
        <v>8020</v>
      </c>
      <c r="E957" s="153" t="s">
        <v>8019</v>
      </c>
      <c r="F957" s="86" t="s">
        <v>8018</v>
      </c>
      <c r="G957" s="83">
        <v>0</v>
      </c>
    </row>
    <row r="958" spans="1:7">
      <c r="A958" s="146" t="s">
        <v>7971</v>
      </c>
      <c r="B958" s="146">
        <v>951</v>
      </c>
      <c r="C958" s="79">
        <v>0</v>
      </c>
      <c r="D958" s="153" t="s">
        <v>3502</v>
      </c>
      <c r="E958" s="153" t="s">
        <v>8021</v>
      </c>
      <c r="F958" s="86" t="s">
        <v>8022</v>
      </c>
      <c r="G958" s="83" t="s">
        <v>6796</v>
      </c>
    </row>
    <row r="959" spans="1:7">
      <c r="A959" s="146" t="s">
        <v>7971</v>
      </c>
      <c r="B959" s="146">
        <v>952</v>
      </c>
      <c r="C959" s="79">
        <v>0</v>
      </c>
      <c r="D959" s="153" t="s">
        <v>3490</v>
      </c>
      <c r="E959" s="153" t="s">
        <v>8023</v>
      </c>
      <c r="F959" s="86" t="s">
        <v>8022</v>
      </c>
      <c r="G959" s="83" t="s">
        <v>6796</v>
      </c>
    </row>
    <row r="960" spans="1:7">
      <c r="A960" s="146" t="s">
        <v>7971</v>
      </c>
      <c r="B960" s="146">
        <v>953</v>
      </c>
      <c r="C960" s="79">
        <v>0</v>
      </c>
      <c r="D960" s="153" t="s">
        <v>3496</v>
      </c>
      <c r="E960" s="153" t="s">
        <v>8024</v>
      </c>
      <c r="F960" s="86" t="s">
        <v>8022</v>
      </c>
      <c r="G960" s="83" t="s">
        <v>6796</v>
      </c>
    </row>
    <row r="961" spans="1:7">
      <c r="A961" s="146" t="s">
        <v>7971</v>
      </c>
      <c r="B961" s="146">
        <v>954</v>
      </c>
      <c r="C961" s="79">
        <v>0</v>
      </c>
      <c r="D961" s="153" t="s">
        <v>3492</v>
      </c>
      <c r="E961" s="153" t="s">
        <v>8025</v>
      </c>
      <c r="F961" s="86" t="s">
        <v>8026</v>
      </c>
      <c r="G961" s="83" t="s">
        <v>6796</v>
      </c>
    </row>
    <row r="962" spans="1:7">
      <c r="A962" s="146" t="s">
        <v>7971</v>
      </c>
      <c r="B962" s="146">
        <v>955</v>
      </c>
      <c r="C962" s="79">
        <v>0</v>
      </c>
      <c r="D962" s="153" t="s">
        <v>3498</v>
      </c>
      <c r="E962" s="153" t="s">
        <v>8027</v>
      </c>
      <c r="F962" s="86" t="s">
        <v>8026</v>
      </c>
      <c r="G962" s="83" t="s">
        <v>6796</v>
      </c>
    </row>
    <row r="963" spans="1:7">
      <c r="A963" s="146" t="s">
        <v>7971</v>
      </c>
      <c r="B963" s="146">
        <v>956</v>
      </c>
      <c r="C963" s="79">
        <v>0</v>
      </c>
      <c r="D963" s="153" t="s">
        <v>3488</v>
      </c>
      <c r="E963" s="153" t="s">
        <v>8028</v>
      </c>
      <c r="F963" s="86" t="s">
        <v>8029</v>
      </c>
      <c r="G963" s="83">
        <v>0</v>
      </c>
    </row>
    <row r="964" spans="1:7">
      <c r="A964" s="146" t="s">
        <v>7971</v>
      </c>
      <c r="B964" s="146">
        <v>957</v>
      </c>
      <c r="C964" s="79">
        <v>0</v>
      </c>
      <c r="D964" s="153" t="s">
        <v>3494</v>
      </c>
      <c r="E964" s="153" t="s">
        <v>8030</v>
      </c>
      <c r="F964" s="86" t="s">
        <v>8029</v>
      </c>
      <c r="G964" s="83" t="s">
        <v>6796</v>
      </c>
    </row>
    <row r="965" spans="1:7">
      <c r="A965" s="146" t="s">
        <v>7971</v>
      </c>
      <c r="B965" s="146">
        <v>958</v>
      </c>
      <c r="C965" s="79">
        <v>0</v>
      </c>
      <c r="D965" s="153" t="s">
        <v>3500</v>
      </c>
      <c r="E965" s="153" t="s">
        <v>8031</v>
      </c>
      <c r="F965" s="86" t="s">
        <v>8029</v>
      </c>
      <c r="G965" s="83" t="s">
        <v>6796</v>
      </c>
    </row>
    <row r="966" spans="1:7">
      <c r="A966" s="146" t="s">
        <v>7971</v>
      </c>
      <c r="B966" s="146">
        <v>959</v>
      </c>
      <c r="C966" s="102" t="s">
        <v>8032</v>
      </c>
      <c r="D966" s="153" t="s">
        <v>3448</v>
      </c>
      <c r="E966" s="153" t="s">
        <v>8033</v>
      </c>
      <c r="F966" s="86" t="s">
        <v>8034</v>
      </c>
      <c r="G966" s="83">
        <v>0</v>
      </c>
    </row>
    <row r="967" spans="1:7">
      <c r="A967" s="146" t="s">
        <v>7971</v>
      </c>
      <c r="B967" s="146">
        <v>960</v>
      </c>
      <c r="C967" s="102" t="s">
        <v>8032</v>
      </c>
      <c r="D967" s="153" t="s">
        <v>3464</v>
      </c>
      <c r="E967" s="153" t="s">
        <v>8035</v>
      </c>
      <c r="F967" s="86" t="s">
        <v>8036</v>
      </c>
      <c r="G967" s="83">
        <v>0</v>
      </c>
    </row>
    <row r="968" spans="1:7">
      <c r="A968" s="146" t="s">
        <v>7971</v>
      </c>
      <c r="B968" s="146">
        <v>961</v>
      </c>
      <c r="C968" s="102" t="s">
        <v>8032</v>
      </c>
      <c r="D968" s="153" t="s">
        <v>2796</v>
      </c>
      <c r="E968" s="153" t="s">
        <v>8037</v>
      </c>
      <c r="F968" s="86" t="s">
        <v>8038</v>
      </c>
      <c r="G968" s="83">
        <v>0</v>
      </c>
    </row>
    <row r="969" spans="1:7">
      <c r="A969" s="146" t="s">
        <v>7971</v>
      </c>
      <c r="B969" s="146">
        <v>962</v>
      </c>
      <c r="C969" s="102" t="s">
        <v>8032</v>
      </c>
      <c r="D969" s="153" t="s">
        <v>2828</v>
      </c>
      <c r="E969" s="153" t="s">
        <v>8039</v>
      </c>
      <c r="F969" s="86" t="s">
        <v>8040</v>
      </c>
      <c r="G969" s="83">
        <v>0</v>
      </c>
    </row>
    <row r="970" spans="1:7">
      <c r="A970" s="146" t="s">
        <v>7971</v>
      </c>
      <c r="B970" s="146">
        <v>963</v>
      </c>
      <c r="C970" s="102" t="s">
        <v>8032</v>
      </c>
      <c r="D970" s="153" t="s">
        <v>8042</v>
      </c>
      <c r="E970" s="153" t="s">
        <v>8041</v>
      </c>
      <c r="F970" s="86" t="s">
        <v>4979</v>
      </c>
      <c r="G970" s="83">
        <v>0</v>
      </c>
    </row>
    <row r="971" spans="1:7">
      <c r="A971" s="146" t="s">
        <v>7971</v>
      </c>
      <c r="B971" s="146">
        <v>964</v>
      </c>
      <c r="C971" s="102" t="s">
        <v>8032</v>
      </c>
      <c r="D971" s="153" t="s">
        <v>1969</v>
      </c>
      <c r="E971" s="153" t="s">
        <v>8043</v>
      </c>
      <c r="F971" s="86" t="s">
        <v>117</v>
      </c>
      <c r="G971" s="83">
        <v>0</v>
      </c>
    </row>
    <row r="972" spans="1:7">
      <c r="A972" s="146" t="s">
        <v>7971</v>
      </c>
      <c r="B972" s="146">
        <v>965</v>
      </c>
      <c r="C972" s="102" t="s">
        <v>8032</v>
      </c>
      <c r="D972" s="153" t="s">
        <v>1933</v>
      </c>
      <c r="E972" s="153" t="s">
        <v>8044</v>
      </c>
      <c r="F972" s="86" t="s">
        <v>5647</v>
      </c>
      <c r="G972" s="83">
        <v>0</v>
      </c>
    </row>
    <row r="973" spans="1:7">
      <c r="A973" s="146" t="s">
        <v>7971</v>
      </c>
      <c r="B973" s="146">
        <v>966</v>
      </c>
      <c r="C973" s="102" t="s">
        <v>8032</v>
      </c>
      <c r="D973" s="153" t="s">
        <v>1935</v>
      </c>
      <c r="E973" s="153" t="s">
        <v>8045</v>
      </c>
      <c r="F973" s="86" t="s">
        <v>5647</v>
      </c>
      <c r="G973" s="83">
        <v>0</v>
      </c>
    </row>
    <row r="974" spans="1:7">
      <c r="A974" s="146" t="s">
        <v>7971</v>
      </c>
      <c r="B974" s="146">
        <v>967</v>
      </c>
      <c r="C974" s="102" t="s">
        <v>8032</v>
      </c>
      <c r="D974" s="153" t="s">
        <v>1939</v>
      </c>
      <c r="E974" s="153" t="s">
        <v>8046</v>
      </c>
      <c r="F974" s="86" t="s">
        <v>5648</v>
      </c>
      <c r="G974" s="83">
        <v>0</v>
      </c>
    </row>
    <row r="975" spans="1:7">
      <c r="A975" s="146" t="s">
        <v>7971</v>
      </c>
      <c r="B975" s="146">
        <v>968</v>
      </c>
      <c r="C975" s="102" t="s">
        <v>8032</v>
      </c>
      <c r="D975" s="153" t="s">
        <v>1941</v>
      </c>
      <c r="E975" s="153" t="s">
        <v>8047</v>
      </c>
      <c r="F975" s="86" t="s">
        <v>5648</v>
      </c>
      <c r="G975" s="83">
        <v>0</v>
      </c>
    </row>
    <row r="976" spans="1:7">
      <c r="A976" s="146" t="s">
        <v>7971</v>
      </c>
      <c r="B976" s="146">
        <v>969</v>
      </c>
      <c r="C976" s="79">
        <v>0</v>
      </c>
      <c r="D976" s="153" t="s">
        <v>2142</v>
      </c>
      <c r="E976" s="153" t="s">
        <v>2143</v>
      </c>
      <c r="F976" s="86" t="s">
        <v>8048</v>
      </c>
      <c r="G976" s="83">
        <v>0</v>
      </c>
    </row>
    <row r="977" spans="1:7">
      <c r="A977" s="146" t="s">
        <v>7971</v>
      </c>
      <c r="B977" s="146">
        <v>970</v>
      </c>
      <c r="C977" s="79">
        <v>0</v>
      </c>
      <c r="D977" s="153" t="s">
        <v>2144</v>
      </c>
      <c r="E977" s="153" t="s">
        <v>2145</v>
      </c>
      <c r="F977" s="86" t="s">
        <v>8048</v>
      </c>
      <c r="G977" s="83">
        <v>0</v>
      </c>
    </row>
    <row r="978" spans="1:7">
      <c r="A978" s="146" t="s">
        <v>7971</v>
      </c>
      <c r="B978" s="146">
        <v>971</v>
      </c>
      <c r="C978" s="79">
        <v>0</v>
      </c>
      <c r="D978" s="153" t="s">
        <v>2218</v>
      </c>
      <c r="E978" s="153" t="s">
        <v>2219</v>
      </c>
      <c r="F978" s="86" t="s">
        <v>8049</v>
      </c>
      <c r="G978" s="83">
        <v>0</v>
      </c>
    </row>
    <row r="979" spans="1:7">
      <c r="A979" s="146" t="s">
        <v>7971</v>
      </c>
      <c r="B979" s="146">
        <v>972</v>
      </c>
      <c r="C979" s="79">
        <v>0</v>
      </c>
      <c r="D979" s="153" t="s">
        <v>2220</v>
      </c>
      <c r="E979" s="153" t="s">
        <v>2221</v>
      </c>
      <c r="F979" s="86" t="s">
        <v>8049</v>
      </c>
      <c r="G979" s="83">
        <v>0</v>
      </c>
    </row>
    <row r="980" spans="1:7">
      <c r="A980" s="146" t="s">
        <v>7971</v>
      </c>
      <c r="B980" s="146">
        <v>973</v>
      </c>
      <c r="C980" s="79">
        <v>0</v>
      </c>
      <c r="D980" s="153" t="s">
        <v>3243</v>
      </c>
      <c r="E980" s="153" t="s">
        <v>3244</v>
      </c>
      <c r="F980" s="86" t="s">
        <v>5882</v>
      </c>
      <c r="G980" s="83" t="s">
        <v>6796</v>
      </c>
    </row>
    <row r="981" spans="1:7">
      <c r="A981" s="146" t="s">
        <v>7971</v>
      </c>
      <c r="B981" s="146">
        <v>974</v>
      </c>
      <c r="C981" s="79">
        <v>0</v>
      </c>
      <c r="D981" s="153" t="s">
        <v>2267</v>
      </c>
      <c r="E981" s="153" t="s">
        <v>2268</v>
      </c>
      <c r="F981" s="86" t="s">
        <v>8050</v>
      </c>
      <c r="G981" s="83">
        <v>0</v>
      </c>
    </row>
    <row r="982" spans="1:7">
      <c r="A982" s="146" t="s">
        <v>7971</v>
      </c>
      <c r="B982" s="146">
        <v>975</v>
      </c>
      <c r="C982" s="79">
        <v>0</v>
      </c>
      <c r="D982" s="153" t="s">
        <v>3048</v>
      </c>
      <c r="E982" s="153" t="s">
        <v>3049</v>
      </c>
      <c r="F982" s="86" t="s">
        <v>4979</v>
      </c>
      <c r="G982" s="83" t="s">
        <v>6796</v>
      </c>
    </row>
    <row r="983" spans="1:7">
      <c r="A983" s="146" t="s">
        <v>7971</v>
      </c>
      <c r="B983" s="146">
        <v>976</v>
      </c>
      <c r="C983" s="102" t="s">
        <v>8032</v>
      </c>
      <c r="D983" s="153" t="s">
        <v>8052</v>
      </c>
      <c r="E983" s="153" t="s">
        <v>8051</v>
      </c>
      <c r="F983" s="86" t="s">
        <v>4942</v>
      </c>
      <c r="G983" s="83">
        <v>0</v>
      </c>
    </row>
    <row r="984" spans="1:7">
      <c r="A984" s="146" t="s">
        <v>7971</v>
      </c>
      <c r="B984" s="146">
        <v>977</v>
      </c>
      <c r="C984" s="102" t="s">
        <v>8032</v>
      </c>
      <c r="D984" s="153" t="s">
        <v>8054</v>
      </c>
      <c r="E984" s="153" t="s">
        <v>8053</v>
      </c>
      <c r="F984" s="86" t="s">
        <v>8055</v>
      </c>
      <c r="G984" s="83">
        <v>0</v>
      </c>
    </row>
    <row r="985" spans="1:7">
      <c r="A985" s="146" t="s">
        <v>7971</v>
      </c>
      <c r="B985" s="146">
        <v>978</v>
      </c>
      <c r="C985" s="102" t="s">
        <v>8032</v>
      </c>
      <c r="D985" s="153" t="s">
        <v>677</v>
      </c>
      <c r="E985" s="153" t="s">
        <v>8056</v>
      </c>
      <c r="F985" s="86" t="s">
        <v>5874</v>
      </c>
      <c r="G985" s="83">
        <v>0</v>
      </c>
    </row>
    <row r="986" spans="1:7">
      <c r="A986" s="146" t="s">
        <v>7971</v>
      </c>
      <c r="B986" s="146">
        <v>979</v>
      </c>
      <c r="C986" s="102" t="s">
        <v>8032</v>
      </c>
      <c r="D986" s="153" t="s">
        <v>8058</v>
      </c>
      <c r="E986" s="153" t="s">
        <v>8057</v>
      </c>
      <c r="F986" s="86" t="s">
        <v>4952</v>
      </c>
      <c r="G986" s="83">
        <v>0</v>
      </c>
    </row>
    <row r="987" spans="1:7">
      <c r="A987" s="146" t="s">
        <v>7971</v>
      </c>
      <c r="B987" s="146">
        <v>980</v>
      </c>
      <c r="C987" s="102" t="s">
        <v>8032</v>
      </c>
      <c r="D987" s="153" t="s">
        <v>8060</v>
      </c>
      <c r="E987" s="153" t="s">
        <v>8059</v>
      </c>
      <c r="F987" s="86" t="s">
        <v>8061</v>
      </c>
      <c r="G987" s="83">
        <v>0</v>
      </c>
    </row>
    <row r="988" spans="1:7">
      <c r="A988" s="146" t="s">
        <v>7971</v>
      </c>
      <c r="B988" s="146">
        <v>981</v>
      </c>
      <c r="C988" s="79">
        <v>0</v>
      </c>
      <c r="D988" s="153" t="s">
        <v>8063</v>
      </c>
      <c r="E988" s="153" t="s">
        <v>8062</v>
      </c>
      <c r="F988" s="86" t="s">
        <v>8064</v>
      </c>
      <c r="G988" s="83">
        <v>0</v>
      </c>
    </row>
    <row r="989" spans="1:7">
      <c r="A989" s="146" t="s">
        <v>7971</v>
      </c>
      <c r="B989" s="146">
        <v>982</v>
      </c>
      <c r="C989" s="79">
        <v>0</v>
      </c>
      <c r="D989" s="153" t="s">
        <v>8066</v>
      </c>
      <c r="E989" s="153" t="s">
        <v>8065</v>
      </c>
      <c r="F989" s="86" t="s">
        <v>8064</v>
      </c>
      <c r="G989" s="83">
        <v>0</v>
      </c>
    </row>
    <row r="990" spans="1:7">
      <c r="A990" s="146" t="s">
        <v>7971</v>
      </c>
      <c r="B990" s="146">
        <v>983</v>
      </c>
      <c r="C990" s="79">
        <v>0</v>
      </c>
      <c r="D990" s="153" t="s">
        <v>3157</v>
      </c>
      <c r="E990" s="153" t="s">
        <v>3158</v>
      </c>
      <c r="F990" s="86" t="s">
        <v>8067</v>
      </c>
      <c r="G990" s="83">
        <v>0</v>
      </c>
    </row>
    <row r="991" spans="1:7">
      <c r="A991" s="146" t="s">
        <v>7971</v>
      </c>
      <c r="B991" s="146">
        <v>984</v>
      </c>
      <c r="C991" s="79">
        <v>0</v>
      </c>
      <c r="D991" s="153" t="s">
        <v>3159</v>
      </c>
      <c r="E991" s="153" t="s">
        <v>3160</v>
      </c>
      <c r="F991" s="86" t="s">
        <v>8067</v>
      </c>
      <c r="G991" s="83">
        <v>0</v>
      </c>
    </row>
    <row r="992" spans="1:7">
      <c r="A992" s="146" t="s">
        <v>7971</v>
      </c>
      <c r="B992" s="146">
        <v>985</v>
      </c>
      <c r="C992" s="79">
        <v>0</v>
      </c>
      <c r="D992" s="153" t="s">
        <v>3153</v>
      </c>
      <c r="E992" s="153" t="s">
        <v>3154</v>
      </c>
      <c r="F992" s="86" t="s">
        <v>8067</v>
      </c>
      <c r="G992" s="83">
        <v>0</v>
      </c>
    </row>
    <row r="993" spans="1:7">
      <c r="A993" s="146" t="s">
        <v>7971</v>
      </c>
      <c r="B993" s="146">
        <v>986</v>
      </c>
      <c r="C993" s="79">
        <v>0</v>
      </c>
      <c r="D993" s="153" t="s">
        <v>3155</v>
      </c>
      <c r="E993" s="153" t="s">
        <v>3156</v>
      </c>
      <c r="F993" s="86" t="s">
        <v>8067</v>
      </c>
      <c r="G993" s="83">
        <v>0</v>
      </c>
    </row>
    <row r="994" spans="1:7">
      <c r="A994" s="146" t="s">
        <v>7971</v>
      </c>
      <c r="B994" s="146">
        <v>987</v>
      </c>
      <c r="C994" s="79">
        <v>0</v>
      </c>
      <c r="D994" s="153" t="s">
        <v>3175</v>
      </c>
      <c r="E994" s="153" t="s">
        <v>3176</v>
      </c>
      <c r="F994" s="86" t="s">
        <v>5616</v>
      </c>
      <c r="G994" s="83">
        <v>0</v>
      </c>
    </row>
    <row r="995" spans="1:7">
      <c r="A995" s="146" t="s">
        <v>7971</v>
      </c>
      <c r="B995" s="146">
        <v>988</v>
      </c>
      <c r="C995" s="79">
        <v>0</v>
      </c>
      <c r="D995" s="153" t="s">
        <v>3177</v>
      </c>
      <c r="E995" s="153" t="s">
        <v>3178</v>
      </c>
      <c r="F995" s="86" t="s">
        <v>8068</v>
      </c>
      <c r="G995" s="83">
        <v>0</v>
      </c>
    </row>
    <row r="996" spans="1:7">
      <c r="A996" s="146" t="s">
        <v>7971</v>
      </c>
      <c r="B996" s="146">
        <v>989</v>
      </c>
      <c r="C996" s="79">
        <v>0</v>
      </c>
      <c r="D996" s="153" t="s">
        <v>3161</v>
      </c>
      <c r="E996" s="153" t="s">
        <v>3162</v>
      </c>
      <c r="F996" s="86" t="s">
        <v>5560</v>
      </c>
      <c r="G996" s="83">
        <v>0</v>
      </c>
    </row>
    <row r="997" spans="1:7">
      <c r="A997" s="146" t="s">
        <v>7971</v>
      </c>
      <c r="B997" s="146">
        <v>990</v>
      </c>
      <c r="C997" s="79">
        <v>0</v>
      </c>
      <c r="D997" s="153" t="s">
        <v>3163</v>
      </c>
      <c r="E997" s="153" t="s">
        <v>3164</v>
      </c>
      <c r="F997" s="86" t="s">
        <v>5560</v>
      </c>
      <c r="G997" s="83">
        <v>0</v>
      </c>
    </row>
    <row r="998" spans="1:7">
      <c r="A998" s="146" t="s">
        <v>7971</v>
      </c>
      <c r="B998" s="146">
        <v>991</v>
      </c>
      <c r="C998" s="79">
        <v>0</v>
      </c>
      <c r="D998" s="153" t="s">
        <v>3183</v>
      </c>
      <c r="E998" s="153" t="s">
        <v>3184</v>
      </c>
      <c r="F998" s="86" t="s">
        <v>8068</v>
      </c>
      <c r="G998" s="83">
        <v>0</v>
      </c>
    </row>
    <row r="999" spans="1:7">
      <c r="A999" s="146" t="s">
        <v>7971</v>
      </c>
      <c r="B999" s="146">
        <v>992</v>
      </c>
      <c r="C999" s="79">
        <v>0</v>
      </c>
      <c r="D999" s="153" t="s">
        <v>3185</v>
      </c>
      <c r="E999" s="153" t="s">
        <v>3186</v>
      </c>
      <c r="F999" s="86" t="s">
        <v>8068</v>
      </c>
      <c r="G999" s="83">
        <v>0</v>
      </c>
    </row>
    <row r="1000" spans="1:7">
      <c r="A1000" s="146" t="s">
        <v>7971</v>
      </c>
      <c r="B1000" s="146">
        <v>993</v>
      </c>
      <c r="C1000" s="79">
        <v>0</v>
      </c>
      <c r="D1000" s="153" t="s">
        <v>3179</v>
      </c>
      <c r="E1000" s="153" t="s">
        <v>3180</v>
      </c>
      <c r="F1000" s="86" t="s">
        <v>8068</v>
      </c>
      <c r="G1000" s="83">
        <v>0</v>
      </c>
    </row>
    <row r="1001" spans="1:7">
      <c r="A1001" s="146" t="s">
        <v>7971</v>
      </c>
      <c r="B1001" s="146">
        <v>994</v>
      </c>
      <c r="C1001" s="79">
        <v>0</v>
      </c>
      <c r="D1001" s="153" t="s">
        <v>3181</v>
      </c>
      <c r="E1001" s="153" t="s">
        <v>3182</v>
      </c>
      <c r="F1001" s="86" t="s">
        <v>8068</v>
      </c>
      <c r="G1001" s="83">
        <v>0</v>
      </c>
    </row>
    <row r="1002" spans="1:7">
      <c r="A1002" s="146" t="s">
        <v>7971</v>
      </c>
      <c r="B1002" s="146">
        <v>995</v>
      </c>
      <c r="C1002" s="102" t="s">
        <v>8032</v>
      </c>
      <c r="D1002" s="153" t="s">
        <v>497</v>
      </c>
      <c r="E1002" s="153" t="s">
        <v>8069</v>
      </c>
      <c r="F1002" s="86" t="s">
        <v>8070</v>
      </c>
      <c r="G1002" s="83">
        <v>0</v>
      </c>
    </row>
    <row r="1003" spans="1:7">
      <c r="A1003" s="146" t="s">
        <v>7971</v>
      </c>
      <c r="B1003" s="146">
        <v>996</v>
      </c>
      <c r="C1003" s="79">
        <v>0</v>
      </c>
      <c r="D1003" s="153" t="s">
        <v>3504</v>
      </c>
      <c r="E1003" s="153" t="s">
        <v>3505</v>
      </c>
      <c r="F1003" s="86" t="s">
        <v>8071</v>
      </c>
      <c r="G1003" s="83">
        <v>0</v>
      </c>
    </row>
    <row r="1004" spans="1:7">
      <c r="A1004" s="146" t="s">
        <v>7971</v>
      </c>
      <c r="B1004" s="146">
        <v>997</v>
      </c>
      <c r="C1004" s="102" t="s">
        <v>8032</v>
      </c>
      <c r="D1004" s="153" t="s">
        <v>1562</v>
      </c>
      <c r="E1004" s="153" t="s">
        <v>8072</v>
      </c>
      <c r="F1004" s="86" t="s">
        <v>4855</v>
      </c>
      <c r="G1004" s="83">
        <v>0</v>
      </c>
    </row>
    <row r="1005" spans="1:7">
      <c r="A1005" s="146" t="s">
        <v>7971</v>
      </c>
      <c r="B1005" s="146">
        <v>998</v>
      </c>
      <c r="C1005" s="102" t="s">
        <v>8032</v>
      </c>
      <c r="D1005" s="153" t="s">
        <v>1616</v>
      </c>
      <c r="E1005" s="153" t="s">
        <v>8073</v>
      </c>
      <c r="F1005" s="86" t="s">
        <v>8074</v>
      </c>
      <c r="G1005" s="83">
        <v>0</v>
      </c>
    </row>
    <row r="1006" spans="1:7">
      <c r="A1006" s="146" t="s">
        <v>7971</v>
      </c>
      <c r="B1006" s="146">
        <v>999</v>
      </c>
      <c r="C1006" s="102" t="s">
        <v>8032</v>
      </c>
      <c r="D1006" s="153" t="s">
        <v>1666</v>
      </c>
      <c r="E1006" s="153" t="s">
        <v>8075</v>
      </c>
      <c r="F1006" s="86" t="s">
        <v>4852</v>
      </c>
      <c r="G1006" s="83">
        <v>0</v>
      </c>
    </row>
    <row r="1007" spans="1:7">
      <c r="A1007" s="146" t="s">
        <v>7971</v>
      </c>
      <c r="B1007" s="146">
        <v>1000</v>
      </c>
      <c r="C1007" s="102" t="s">
        <v>8032</v>
      </c>
      <c r="D1007" s="153" t="s">
        <v>1700</v>
      </c>
      <c r="E1007" s="153" t="s">
        <v>8076</v>
      </c>
      <c r="F1007" s="86" t="s">
        <v>107</v>
      </c>
      <c r="G1007" s="83">
        <v>0</v>
      </c>
    </row>
    <row r="1008" spans="1:7">
      <c r="A1008" s="146" t="s">
        <v>7971</v>
      </c>
      <c r="B1008" s="146">
        <v>1001</v>
      </c>
      <c r="C1008" s="102" t="s">
        <v>8032</v>
      </c>
      <c r="D1008" s="153" t="s">
        <v>1727</v>
      </c>
      <c r="E1008" s="153" t="s">
        <v>8077</v>
      </c>
      <c r="F1008" s="86" t="s">
        <v>8078</v>
      </c>
      <c r="G1008" s="83">
        <v>0</v>
      </c>
    </row>
    <row r="1009" spans="1:7">
      <c r="A1009" s="146" t="s">
        <v>7971</v>
      </c>
      <c r="B1009" s="146">
        <v>1002</v>
      </c>
      <c r="C1009" s="79">
        <v>0</v>
      </c>
      <c r="D1009" s="153" t="s">
        <v>1852</v>
      </c>
      <c r="E1009" s="153" t="s">
        <v>1853</v>
      </c>
      <c r="F1009" s="86" t="s">
        <v>7982</v>
      </c>
      <c r="G1009" s="83">
        <v>0</v>
      </c>
    </row>
    <row r="1010" spans="1:7">
      <c r="A1010" s="146" t="s">
        <v>7971</v>
      </c>
      <c r="B1010" s="146">
        <v>1003</v>
      </c>
      <c r="C1010" s="79">
        <v>0</v>
      </c>
      <c r="D1010" s="153" t="s">
        <v>1858</v>
      </c>
      <c r="E1010" s="153" t="s">
        <v>1859</v>
      </c>
      <c r="F1010" s="86" t="s">
        <v>7983</v>
      </c>
      <c r="G1010" s="83">
        <v>0</v>
      </c>
    </row>
    <row r="1011" spans="1:7">
      <c r="A1011" s="146" t="s">
        <v>7971</v>
      </c>
      <c r="B1011" s="146">
        <v>1004</v>
      </c>
      <c r="C1011" s="79">
        <v>0</v>
      </c>
      <c r="D1011" s="153" t="s">
        <v>2658</v>
      </c>
      <c r="E1011" s="153" t="s">
        <v>2659</v>
      </c>
      <c r="F1011" s="86" t="s">
        <v>5700</v>
      </c>
      <c r="G1011" s="83">
        <v>0</v>
      </c>
    </row>
    <row r="1012" spans="1:7">
      <c r="A1012" s="146" t="s">
        <v>7971</v>
      </c>
      <c r="B1012" s="146">
        <v>1005</v>
      </c>
      <c r="C1012" s="79">
        <v>0</v>
      </c>
      <c r="D1012" s="153" t="s">
        <v>2333</v>
      </c>
      <c r="E1012" s="153" t="s">
        <v>2334</v>
      </c>
      <c r="F1012" s="86" t="s">
        <v>8079</v>
      </c>
      <c r="G1012" s="83">
        <v>0</v>
      </c>
    </row>
    <row r="1013" spans="1:7">
      <c r="A1013" s="146" t="s">
        <v>7971</v>
      </c>
      <c r="B1013" s="146">
        <v>1006</v>
      </c>
      <c r="C1013" s="79">
        <v>0</v>
      </c>
      <c r="D1013" s="153" t="s">
        <v>2335</v>
      </c>
      <c r="E1013" s="153" t="s">
        <v>2336</v>
      </c>
      <c r="F1013" s="86" t="s">
        <v>8079</v>
      </c>
      <c r="G1013" s="83">
        <v>0</v>
      </c>
    </row>
    <row r="1014" spans="1:7">
      <c r="A1014" s="146" t="s">
        <v>7971</v>
      </c>
      <c r="B1014" s="146">
        <v>1007</v>
      </c>
      <c r="C1014" s="102" t="s">
        <v>8032</v>
      </c>
      <c r="D1014" s="153" t="s">
        <v>2013</v>
      </c>
      <c r="E1014" s="153" t="s">
        <v>8080</v>
      </c>
      <c r="F1014" s="86" t="s">
        <v>8081</v>
      </c>
      <c r="G1014" s="83">
        <v>0</v>
      </c>
    </row>
    <row r="1015" spans="1:7">
      <c r="A1015" s="146" t="s">
        <v>7971</v>
      </c>
      <c r="B1015" s="146">
        <v>1008</v>
      </c>
      <c r="C1015" s="102" t="s">
        <v>8032</v>
      </c>
      <c r="D1015" s="153" t="s">
        <v>3450</v>
      </c>
      <c r="E1015" s="153" t="s">
        <v>8082</v>
      </c>
      <c r="F1015" s="86" t="s">
        <v>8083</v>
      </c>
      <c r="G1015" s="83">
        <v>0</v>
      </c>
    </row>
    <row r="1016" spans="1:7">
      <c r="A1016" s="146" t="s">
        <v>7971</v>
      </c>
      <c r="B1016" s="146">
        <v>1009</v>
      </c>
      <c r="C1016" s="102" t="s">
        <v>8032</v>
      </c>
      <c r="D1016" s="153" t="s">
        <v>3466</v>
      </c>
      <c r="E1016" s="153" t="s">
        <v>8084</v>
      </c>
      <c r="F1016" s="86" t="s">
        <v>8085</v>
      </c>
      <c r="G1016" s="83">
        <v>0</v>
      </c>
    </row>
    <row r="1017" spans="1:7">
      <c r="A1017" s="146" t="s">
        <v>7971</v>
      </c>
      <c r="B1017" s="146">
        <v>1010</v>
      </c>
      <c r="C1017" s="102" t="s">
        <v>8032</v>
      </c>
      <c r="D1017" s="153" t="s">
        <v>1765</v>
      </c>
      <c r="E1017" s="153" t="s">
        <v>8086</v>
      </c>
      <c r="F1017" s="86" t="s">
        <v>4860</v>
      </c>
      <c r="G1017" s="83">
        <v>0</v>
      </c>
    </row>
    <row r="1018" spans="1:7">
      <c r="A1018" s="146" t="s">
        <v>7971</v>
      </c>
      <c r="B1018" s="146">
        <v>1011</v>
      </c>
      <c r="C1018" s="102" t="s">
        <v>8032</v>
      </c>
      <c r="D1018" s="153" t="s">
        <v>3089</v>
      </c>
      <c r="E1018" s="153" t="s">
        <v>8087</v>
      </c>
      <c r="F1018" s="86" t="s">
        <v>8088</v>
      </c>
      <c r="G1018" s="83">
        <v>0</v>
      </c>
    </row>
    <row r="1019" spans="1:7">
      <c r="A1019" s="146" t="s">
        <v>7971</v>
      </c>
      <c r="B1019" s="146">
        <v>1012</v>
      </c>
      <c r="C1019" s="102" t="s">
        <v>8032</v>
      </c>
      <c r="D1019" s="153" t="s">
        <v>3091</v>
      </c>
      <c r="E1019" s="153" t="s">
        <v>8089</v>
      </c>
      <c r="F1019" s="86" t="s">
        <v>8088</v>
      </c>
      <c r="G1019" s="83">
        <v>0</v>
      </c>
    </row>
    <row r="1020" spans="1:7">
      <c r="A1020" s="146" t="s">
        <v>7971</v>
      </c>
      <c r="B1020" s="146">
        <v>1013</v>
      </c>
      <c r="C1020" s="79">
        <v>0</v>
      </c>
      <c r="D1020" s="153" t="s">
        <v>571</v>
      </c>
      <c r="E1020" s="153" t="s">
        <v>572</v>
      </c>
      <c r="F1020" s="86" t="s">
        <v>8090</v>
      </c>
      <c r="G1020" s="83">
        <v>0</v>
      </c>
    </row>
    <row r="1021" spans="1:7">
      <c r="A1021" s="146" t="s">
        <v>7971</v>
      </c>
      <c r="B1021" s="146">
        <v>1014</v>
      </c>
      <c r="C1021" s="79">
        <v>0</v>
      </c>
      <c r="D1021" s="153" t="s">
        <v>575</v>
      </c>
      <c r="E1021" s="153" t="s">
        <v>576</v>
      </c>
      <c r="F1021" s="86" t="s">
        <v>8090</v>
      </c>
      <c r="G1021" s="83">
        <v>0</v>
      </c>
    </row>
    <row r="1022" spans="1:7">
      <c r="A1022" s="146" t="s">
        <v>7971</v>
      </c>
      <c r="B1022" s="146">
        <v>1015</v>
      </c>
      <c r="C1022" s="79">
        <v>0</v>
      </c>
      <c r="D1022" s="153" t="s">
        <v>581</v>
      </c>
      <c r="E1022" s="153" t="s">
        <v>582</v>
      </c>
      <c r="F1022" s="86" t="s">
        <v>8091</v>
      </c>
      <c r="G1022" s="83">
        <v>0</v>
      </c>
    </row>
    <row r="1023" spans="1:7">
      <c r="A1023" s="146" t="s">
        <v>7971</v>
      </c>
      <c r="B1023" s="146">
        <v>1016</v>
      </c>
      <c r="C1023" s="79">
        <v>0</v>
      </c>
      <c r="D1023" s="153" t="s">
        <v>585</v>
      </c>
      <c r="E1023" s="153" t="s">
        <v>586</v>
      </c>
      <c r="F1023" s="86" t="s">
        <v>8091</v>
      </c>
      <c r="G1023" s="83">
        <v>0</v>
      </c>
    </row>
    <row r="1024" spans="1:7">
      <c r="A1024" s="146" t="s">
        <v>7971</v>
      </c>
      <c r="B1024" s="146">
        <v>1017</v>
      </c>
      <c r="C1024" s="79">
        <v>0</v>
      </c>
      <c r="D1024" s="153" t="s">
        <v>3189</v>
      </c>
      <c r="E1024" s="153" t="s">
        <v>3190</v>
      </c>
      <c r="F1024" s="86" t="s">
        <v>8092</v>
      </c>
      <c r="G1024" s="83">
        <v>0</v>
      </c>
    </row>
    <row r="1025" spans="1:7">
      <c r="A1025" s="146" t="s">
        <v>7971</v>
      </c>
      <c r="B1025" s="146">
        <v>1018</v>
      </c>
      <c r="C1025" s="79">
        <v>0</v>
      </c>
      <c r="D1025" s="153" t="s">
        <v>3191</v>
      </c>
      <c r="E1025" s="153" t="s">
        <v>3192</v>
      </c>
      <c r="F1025" s="86" t="s">
        <v>8092</v>
      </c>
      <c r="G1025" s="83">
        <v>0</v>
      </c>
    </row>
    <row r="1026" spans="1:7">
      <c r="A1026" s="146" t="s">
        <v>7971</v>
      </c>
      <c r="B1026" s="146">
        <v>1019</v>
      </c>
      <c r="C1026" s="79">
        <v>0</v>
      </c>
      <c r="D1026" s="153" t="s">
        <v>3193</v>
      </c>
      <c r="E1026" s="153" t="s">
        <v>3194</v>
      </c>
      <c r="F1026" s="86" t="s">
        <v>8092</v>
      </c>
      <c r="G1026" s="83">
        <v>0</v>
      </c>
    </row>
    <row r="1027" spans="1:7">
      <c r="A1027" s="146" t="s">
        <v>7971</v>
      </c>
      <c r="B1027" s="146">
        <v>1020</v>
      </c>
      <c r="C1027" s="79">
        <v>0</v>
      </c>
      <c r="D1027" s="153" t="s">
        <v>3293</v>
      </c>
      <c r="E1027" s="153" t="s">
        <v>3294</v>
      </c>
      <c r="F1027" s="86" t="s">
        <v>8093</v>
      </c>
      <c r="G1027" s="83">
        <v>0</v>
      </c>
    </row>
    <row r="1028" spans="1:7">
      <c r="A1028" s="146" t="s">
        <v>7971</v>
      </c>
      <c r="B1028" s="146">
        <v>1021</v>
      </c>
      <c r="C1028" s="79">
        <v>0</v>
      </c>
      <c r="D1028" s="153" t="s">
        <v>3301</v>
      </c>
      <c r="E1028" s="153" t="s">
        <v>3302</v>
      </c>
      <c r="F1028" s="86" t="s">
        <v>8094</v>
      </c>
      <c r="G1028" s="83">
        <v>0</v>
      </c>
    </row>
    <row r="1029" spans="1:7">
      <c r="A1029" s="146" t="s">
        <v>7971</v>
      </c>
      <c r="B1029" s="146">
        <v>1022</v>
      </c>
      <c r="C1029" s="102" t="s">
        <v>8032</v>
      </c>
      <c r="D1029" s="153" t="s">
        <v>3506</v>
      </c>
      <c r="E1029" s="153" t="s">
        <v>8095</v>
      </c>
      <c r="F1029" s="86" t="s">
        <v>8096</v>
      </c>
      <c r="G1029" s="83">
        <v>0</v>
      </c>
    </row>
    <row r="1030" spans="1:7">
      <c r="A1030" s="146" t="s">
        <v>7971</v>
      </c>
      <c r="B1030" s="146">
        <v>1023</v>
      </c>
      <c r="C1030" s="102" t="s">
        <v>8032</v>
      </c>
      <c r="D1030" s="153" t="s">
        <v>3508</v>
      </c>
      <c r="E1030" s="153" t="s">
        <v>8097</v>
      </c>
      <c r="F1030" s="86" t="s">
        <v>8096</v>
      </c>
      <c r="G1030" s="83">
        <v>0</v>
      </c>
    </row>
    <row r="1031" spans="1:7">
      <c r="A1031" s="146" t="s">
        <v>7971</v>
      </c>
      <c r="B1031" s="146">
        <v>1024</v>
      </c>
      <c r="C1031" s="79">
        <v>0</v>
      </c>
      <c r="D1031" s="153" t="s">
        <v>4050</v>
      </c>
      <c r="E1031" s="153" t="s">
        <v>4051</v>
      </c>
      <c r="F1031" s="86" t="s">
        <v>5562</v>
      </c>
      <c r="G1031" s="83">
        <v>0</v>
      </c>
    </row>
    <row r="1032" spans="1:7">
      <c r="A1032" s="146" t="s">
        <v>7971</v>
      </c>
      <c r="B1032" s="146">
        <v>1025</v>
      </c>
      <c r="C1032" s="79">
        <v>0</v>
      </c>
      <c r="D1032" s="153" t="s">
        <v>3052</v>
      </c>
      <c r="E1032" s="153" t="s">
        <v>3053</v>
      </c>
      <c r="F1032" s="86" t="s">
        <v>8098</v>
      </c>
      <c r="G1032" s="83">
        <v>0</v>
      </c>
    </row>
    <row r="1033" spans="1:7">
      <c r="A1033" s="146" t="s">
        <v>7971</v>
      </c>
      <c r="B1033" s="146">
        <v>1026</v>
      </c>
      <c r="C1033" s="79">
        <v>0</v>
      </c>
      <c r="D1033" s="153" t="s">
        <v>3055</v>
      </c>
      <c r="E1033" s="153" t="s">
        <v>3056</v>
      </c>
      <c r="F1033" s="86" t="s">
        <v>8098</v>
      </c>
      <c r="G1033" s="83">
        <v>0</v>
      </c>
    </row>
    <row r="1034" spans="1:7">
      <c r="A1034" s="146" t="s">
        <v>7971</v>
      </c>
      <c r="B1034" s="146">
        <v>1027</v>
      </c>
      <c r="C1034" s="79">
        <v>0</v>
      </c>
      <c r="D1034" s="153" t="s">
        <v>3057</v>
      </c>
      <c r="E1034" s="153" t="s">
        <v>3058</v>
      </c>
      <c r="F1034" s="86" t="s">
        <v>8098</v>
      </c>
      <c r="G1034" s="83">
        <v>0</v>
      </c>
    </row>
    <row r="1035" spans="1:7">
      <c r="A1035" s="146" t="s">
        <v>7971</v>
      </c>
      <c r="B1035" s="146">
        <v>1028</v>
      </c>
      <c r="C1035" s="79">
        <v>0</v>
      </c>
      <c r="D1035" s="153" t="s">
        <v>3115</v>
      </c>
      <c r="E1035" s="153" t="s">
        <v>3116</v>
      </c>
      <c r="F1035" s="86" t="s">
        <v>8099</v>
      </c>
      <c r="G1035" s="83">
        <v>0</v>
      </c>
    </row>
    <row r="1036" spans="1:7">
      <c r="A1036" s="146" t="s">
        <v>7971</v>
      </c>
      <c r="B1036" s="146">
        <v>1029</v>
      </c>
      <c r="C1036" s="79">
        <v>0</v>
      </c>
      <c r="D1036" s="153" t="s">
        <v>3117</v>
      </c>
      <c r="E1036" s="153" t="s">
        <v>3118</v>
      </c>
      <c r="F1036" s="86" t="s">
        <v>8100</v>
      </c>
      <c r="G1036" s="83">
        <v>0</v>
      </c>
    </row>
    <row r="1037" spans="1:7">
      <c r="A1037" s="146" t="s">
        <v>7971</v>
      </c>
      <c r="B1037" s="146">
        <v>1030</v>
      </c>
      <c r="C1037" s="102" t="s">
        <v>8032</v>
      </c>
      <c r="D1037" s="153" t="s">
        <v>3147</v>
      </c>
      <c r="E1037" s="153" t="s">
        <v>8101</v>
      </c>
      <c r="F1037" s="86" t="s">
        <v>8102</v>
      </c>
      <c r="G1037" s="83">
        <v>0</v>
      </c>
    </row>
    <row r="1038" spans="1:7">
      <c r="A1038" s="146" t="s">
        <v>7971</v>
      </c>
      <c r="B1038" s="146">
        <v>1031</v>
      </c>
      <c r="C1038" s="79">
        <v>0</v>
      </c>
      <c r="D1038" s="153" t="s">
        <v>8104</v>
      </c>
      <c r="E1038" s="153" t="s">
        <v>8103</v>
      </c>
      <c r="F1038" s="86" t="s">
        <v>8102</v>
      </c>
      <c r="G1038" s="83">
        <v>0</v>
      </c>
    </row>
    <row r="1039" spans="1:7">
      <c r="A1039" s="146" t="s">
        <v>7971</v>
      </c>
      <c r="B1039" s="146">
        <v>1032</v>
      </c>
      <c r="C1039" s="79">
        <v>0</v>
      </c>
      <c r="D1039" s="153" t="s">
        <v>763</v>
      </c>
      <c r="E1039" s="153" t="s">
        <v>764</v>
      </c>
      <c r="F1039" s="86" t="s">
        <v>8105</v>
      </c>
      <c r="G1039" s="83">
        <v>0</v>
      </c>
    </row>
    <row r="1040" spans="1:7">
      <c r="A1040" s="146" t="s">
        <v>7971</v>
      </c>
      <c r="B1040" s="146">
        <v>1033</v>
      </c>
      <c r="C1040" s="79">
        <v>0</v>
      </c>
      <c r="D1040" s="153" t="s">
        <v>765</v>
      </c>
      <c r="E1040" s="153" t="s">
        <v>766</v>
      </c>
      <c r="F1040" s="86" t="s">
        <v>8106</v>
      </c>
      <c r="G1040" s="83">
        <v>0</v>
      </c>
    </row>
    <row r="1041" spans="1:7">
      <c r="A1041" s="146" t="s">
        <v>7971</v>
      </c>
      <c r="B1041" s="146">
        <v>1034</v>
      </c>
      <c r="C1041" s="79">
        <v>0</v>
      </c>
      <c r="D1041" s="153" t="s">
        <v>3165</v>
      </c>
      <c r="E1041" s="153" t="s">
        <v>3166</v>
      </c>
      <c r="F1041" s="86" t="s">
        <v>8107</v>
      </c>
      <c r="G1041" s="83">
        <v>0</v>
      </c>
    </row>
    <row r="1042" spans="1:7">
      <c r="A1042" s="146" t="s">
        <v>7971</v>
      </c>
      <c r="B1042" s="146">
        <v>1035</v>
      </c>
      <c r="C1042" s="79">
        <v>0</v>
      </c>
      <c r="D1042" s="153" t="s">
        <v>769</v>
      </c>
      <c r="E1042" s="153" t="s">
        <v>770</v>
      </c>
      <c r="F1042" s="86" t="s">
        <v>8108</v>
      </c>
      <c r="G1042" s="83">
        <v>0</v>
      </c>
    </row>
    <row r="1043" spans="1:7">
      <c r="A1043" s="146" t="s">
        <v>7971</v>
      </c>
      <c r="B1043" s="146">
        <v>1036</v>
      </c>
      <c r="C1043" s="79">
        <v>0</v>
      </c>
      <c r="D1043" s="153" t="s">
        <v>776</v>
      </c>
      <c r="E1043" s="153" t="s">
        <v>777</v>
      </c>
      <c r="F1043" s="86" t="s">
        <v>8109</v>
      </c>
      <c r="G1043" s="83">
        <v>0</v>
      </c>
    </row>
    <row r="1044" spans="1:7">
      <c r="A1044" s="146" t="s">
        <v>7971</v>
      </c>
      <c r="B1044" s="146">
        <v>1037</v>
      </c>
      <c r="C1044" s="79">
        <v>0</v>
      </c>
      <c r="D1044" s="153" t="s">
        <v>3075</v>
      </c>
      <c r="E1044" s="153" t="s">
        <v>3076</v>
      </c>
      <c r="F1044" s="86" t="s">
        <v>8110</v>
      </c>
      <c r="G1044" s="83">
        <v>0</v>
      </c>
    </row>
    <row r="1045" spans="1:7">
      <c r="A1045" s="146" t="s">
        <v>7971</v>
      </c>
      <c r="B1045" s="146">
        <v>1038</v>
      </c>
      <c r="C1045" s="79">
        <v>0</v>
      </c>
      <c r="D1045" s="153" t="s">
        <v>3083</v>
      </c>
      <c r="E1045" s="153" t="s">
        <v>3084</v>
      </c>
      <c r="F1045" s="86" t="s">
        <v>8111</v>
      </c>
      <c r="G1045" s="83">
        <v>0</v>
      </c>
    </row>
    <row r="1046" spans="1:7">
      <c r="A1046" s="146" t="s">
        <v>7971</v>
      </c>
      <c r="B1046" s="146">
        <v>1039</v>
      </c>
      <c r="C1046" s="79">
        <v>0</v>
      </c>
      <c r="D1046" s="153" t="s">
        <v>3107</v>
      </c>
      <c r="E1046" s="153" t="s">
        <v>3108</v>
      </c>
      <c r="F1046" s="86" t="s">
        <v>8112</v>
      </c>
      <c r="G1046" s="83">
        <v>0</v>
      </c>
    </row>
    <row r="1047" spans="1:7">
      <c r="A1047" s="146" t="s">
        <v>7971</v>
      </c>
      <c r="B1047" s="146">
        <v>1040</v>
      </c>
      <c r="C1047" s="79">
        <v>0</v>
      </c>
      <c r="D1047" s="153" t="s">
        <v>3113</v>
      </c>
      <c r="E1047" s="153" t="s">
        <v>3114</v>
      </c>
      <c r="F1047" s="86" t="s">
        <v>8113</v>
      </c>
      <c r="G1047" s="83">
        <v>0</v>
      </c>
    </row>
    <row r="1048" spans="1:7">
      <c r="A1048" s="146" t="s">
        <v>7971</v>
      </c>
      <c r="B1048" s="146">
        <v>1041</v>
      </c>
      <c r="C1048" s="79">
        <v>0</v>
      </c>
      <c r="D1048" s="153" t="s">
        <v>3123</v>
      </c>
      <c r="E1048" s="153" t="s">
        <v>3124</v>
      </c>
      <c r="F1048" s="86" t="s">
        <v>8114</v>
      </c>
      <c r="G1048" s="83">
        <v>0</v>
      </c>
    </row>
    <row r="1049" spans="1:7">
      <c r="A1049" s="146" t="s">
        <v>7971</v>
      </c>
      <c r="B1049" s="146">
        <v>1042</v>
      </c>
      <c r="C1049" s="79">
        <v>0</v>
      </c>
      <c r="D1049" s="153" t="s">
        <v>3127</v>
      </c>
      <c r="E1049" s="153" t="s">
        <v>3128</v>
      </c>
      <c r="F1049" s="86" t="s">
        <v>8115</v>
      </c>
      <c r="G1049" s="83">
        <v>0</v>
      </c>
    </row>
    <row r="1050" spans="1:7">
      <c r="A1050" s="146" t="s">
        <v>7971</v>
      </c>
      <c r="B1050" s="146">
        <v>1043</v>
      </c>
      <c r="C1050" s="102" t="s">
        <v>8032</v>
      </c>
      <c r="D1050" s="153" t="s">
        <v>2992</v>
      </c>
      <c r="E1050" s="153" t="s">
        <v>8116</v>
      </c>
      <c r="F1050" s="86" t="s">
        <v>8117</v>
      </c>
      <c r="G1050" s="83">
        <v>0</v>
      </c>
    </row>
    <row r="1051" spans="1:7">
      <c r="A1051" s="146" t="s">
        <v>7971</v>
      </c>
      <c r="B1051" s="146">
        <v>1044</v>
      </c>
      <c r="C1051" s="102" t="s">
        <v>8032</v>
      </c>
      <c r="D1051" s="153" t="s">
        <v>2996</v>
      </c>
      <c r="E1051" s="153" t="s">
        <v>8118</v>
      </c>
      <c r="F1051" s="86" t="s">
        <v>8117</v>
      </c>
      <c r="G1051" s="83">
        <v>0</v>
      </c>
    </row>
    <row r="1052" spans="1:7">
      <c r="A1052" s="146" t="s">
        <v>7971</v>
      </c>
      <c r="B1052" s="146">
        <v>1045</v>
      </c>
      <c r="C1052" s="79">
        <v>0</v>
      </c>
      <c r="D1052" s="153" t="s">
        <v>2998</v>
      </c>
      <c r="E1052" s="153" t="s">
        <v>2999</v>
      </c>
      <c r="F1052" s="86" t="s">
        <v>8117</v>
      </c>
      <c r="G1052" s="83">
        <v>0</v>
      </c>
    </row>
    <row r="1053" spans="1:7">
      <c r="A1053" s="146" t="s">
        <v>7971</v>
      </c>
      <c r="B1053" s="146">
        <v>1046</v>
      </c>
      <c r="C1053" s="79">
        <v>0</v>
      </c>
      <c r="D1053" s="153" t="s">
        <v>3000</v>
      </c>
      <c r="E1053" s="153" t="s">
        <v>3001</v>
      </c>
      <c r="F1053" s="86" t="s">
        <v>8117</v>
      </c>
      <c r="G1053" s="83">
        <v>0</v>
      </c>
    </row>
    <row r="1054" spans="1:7">
      <c r="A1054" s="146" t="s">
        <v>7971</v>
      </c>
      <c r="B1054" s="146">
        <v>1047</v>
      </c>
      <c r="C1054" s="102" t="s">
        <v>8032</v>
      </c>
      <c r="D1054" s="153" t="s">
        <v>3010</v>
      </c>
      <c r="E1054" s="153" t="s">
        <v>8119</v>
      </c>
      <c r="F1054" s="86" t="s">
        <v>8120</v>
      </c>
      <c r="G1054" s="83">
        <v>0</v>
      </c>
    </row>
    <row r="1055" spans="1:7">
      <c r="A1055" s="146" t="s">
        <v>7971</v>
      </c>
      <c r="B1055" s="146">
        <v>1048</v>
      </c>
      <c r="C1055" s="102" t="s">
        <v>8032</v>
      </c>
      <c r="D1055" s="153" t="s">
        <v>3014</v>
      </c>
      <c r="E1055" s="153" t="s">
        <v>8121</v>
      </c>
      <c r="F1055" s="86" t="s">
        <v>8120</v>
      </c>
      <c r="G1055" s="83">
        <v>0</v>
      </c>
    </row>
    <row r="1056" spans="1:7">
      <c r="A1056" s="146" t="s">
        <v>7971</v>
      </c>
      <c r="B1056" s="146">
        <v>1049</v>
      </c>
      <c r="C1056" s="79">
        <v>0</v>
      </c>
      <c r="D1056" s="153" t="s">
        <v>3016</v>
      </c>
      <c r="E1056" s="153" t="s">
        <v>3017</v>
      </c>
      <c r="F1056" s="86" t="s">
        <v>8120</v>
      </c>
      <c r="G1056" s="83">
        <v>0</v>
      </c>
    </row>
    <row r="1057" spans="1:7">
      <c r="A1057" s="146" t="s">
        <v>7971</v>
      </c>
      <c r="B1057" s="146">
        <v>1050</v>
      </c>
      <c r="C1057" s="79">
        <v>0</v>
      </c>
      <c r="D1057" s="153" t="s">
        <v>3018</v>
      </c>
      <c r="E1057" s="153" t="s">
        <v>3019</v>
      </c>
      <c r="F1057" s="86" t="s">
        <v>8120</v>
      </c>
      <c r="G1057" s="83">
        <v>0</v>
      </c>
    </row>
    <row r="1058" spans="1:7">
      <c r="A1058" s="146" t="s">
        <v>7971</v>
      </c>
      <c r="B1058" s="146">
        <v>1051</v>
      </c>
      <c r="C1058" s="147">
        <v>0</v>
      </c>
      <c r="D1058" s="153" t="s">
        <v>3484</v>
      </c>
      <c r="E1058" s="153" t="s">
        <v>3485</v>
      </c>
      <c r="F1058" s="154" t="s">
        <v>8122</v>
      </c>
      <c r="G1058" s="137">
        <v>0</v>
      </c>
    </row>
    <row r="1059" spans="1:7">
      <c r="A1059" s="146" t="s">
        <v>7971</v>
      </c>
      <c r="B1059" s="146">
        <v>1052</v>
      </c>
      <c r="C1059" s="147">
        <v>0</v>
      </c>
      <c r="D1059" s="153" t="s">
        <v>3141</v>
      </c>
      <c r="E1059" s="153" t="s">
        <v>3142</v>
      </c>
      <c r="F1059" s="154" t="s">
        <v>8123</v>
      </c>
      <c r="G1059" s="137">
        <v>0</v>
      </c>
    </row>
    <row r="1060" spans="1:7">
      <c r="A1060" s="146" t="s">
        <v>7971</v>
      </c>
      <c r="B1060" s="146">
        <v>1053</v>
      </c>
      <c r="C1060" s="147">
        <v>0</v>
      </c>
      <c r="D1060" s="153" t="s">
        <v>2259</v>
      </c>
      <c r="E1060" s="153" t="s">
        <v>2260</v>
      </c>
      <c r="F1060" s="154" t="s">
        <v>8124</v>
      </c>
      <c r="G1060" s="83" t="s">
        <v>6796</v>
      </c>
    </row>
    <row r="1061" spans="1:7">
      <c r="A1061" s="146" t="s">
        <v>7971</v>
      </c>
      <c r="B1061" s="146">
        <v>1054</v>
      </c>
      <c r="C1061" s="147">
        <v>0</v>
      </c>
      <c r="D1061" s="153" t="s">
        <v>2244</v>
      </c>
      <c r="E1061" s="153" t="s">
        <v>2245</v>
      </c>
      <c r="F1061" s="154" t="s">
        <v>8124</v>
      </c>
      <c r="G1061" s="83" t="s">
        <v>6796</v>
      </c>
    </row>
    <row r="1062" spans="1:7">
      <c r="A1062" s="146" t="s">
        <v>7971</v>
      </c>
      <c r="B1062" s="146">
        <v>1055</v>
      </c>
      <c r="C1062" s="147">
        <v>0</v>
      </c>
      <c r="D1062" s="153" t="s">
        <v>2255</v>
      </c>
      <c r="E1062" s="153" t="s">
        <v>2256</v>
      </c>
      <c r="F1062" s="154" t="s">
        <v>8124</v>
      </c>
      <c r="G1062" s="137">
        <v>0</v>
      </c>
    </row>
    <row r="1063" spans="1:7">
      <c r="A1063" s="146" t="s">
        <v>7971</v>
      </c>
      <c r="B1063" s="146">
        <v>1056</v>
      </c>
      <c r="C1063" s="147">
        <v>0</v>
      </c>
      <c r="D1063" s="153" t="s">
        <v>2240</v>
      </c>
      <c r="E1063" s="153" t="s">
        <v>2241</v>
      </c>
      <c r="F1063" s="154" t="s">
        <v>8124</v>
      </c>
      <c r="G1063" s="137">
        <v>0</v>
      </c>
    </row>
    <row r="1064" spans="1:7">
      <c r="A1064" s="146" t="s">
        <v>7971</v>
      </c>
      <c r="B1064" s="146">
        <v>1057</v>
      </c>
      <c r="C1064" s="156" t="s">
        <v>8032</v>
      </c>
      <c r="D1064" s="153" t="s">
        <v>3898</v>
      </c>
      <c r="E1064" s="153" t="s">
        <v>8125</v>
      </c>
      <c r="F1064" s="154" t="s">
        <v>104</v>
      </c>
      <c r="G1064" s="137">
        <v>0</v>
      </c>
    </row>
    <row r="1065" spans="1:7">
      <c r="A1065" s="146" t="s">
        <v>7971</v>
      </c>
      <c r="B1065" s="146">
        <v>1058</v>
      </c>
      <c r="C1065" s="156" t="s">
        <v>8032</v>
      </c>
      <c r="D1065" s="153" t="s">
        <v>29</v>
      </c>
      <c r="E1065" s="153" t="s">
        <v>8126</v>
      </c>
      <c r="F1065" s="154" t="s">
        <v>104</v>
      </c>
      <c r="G1065" s="137">
        <v>0</v>
      </c>
    </row>
    <row r="1066" spans="1:7">
      <c r="A1066" s="146" t="s">
        <v>7971</v>
      </c>
      <c r="B1066" s="146">
        <v>1059</v>
      </c>
      <c r="C1066" s="156" t="s">
        <v>8032</v>
      </c>
      <c r="D1066" s="153" t="s">
        <v>30</v>
      </c>
      <c r="E1066" s="153" t="s">
        <v>8127</v>
      </c>
      <c r="F1066" s="154" t="s">
        <v>104</v>
      </c>
      <c r="G1066" s="137">
        <v>0</v>
      </c>
    </row>
    <row r="1067" spans="1:7">
      <c r="A1067" s="146" t="s">
        <v>7971</v>
      </c>
      <c r="B1067" s="146">
        <v>1060</v>
      </c>
      <c r="C1067" s="147">
        <v>0</v>
      </c>
      <c r="D1067" s="153" t="s">
        <v>31</v>
      </c>
      <c r="E1067" s="153" t="s">
        <v>69</v>
      </c>
      <c r="F1067" s="154" t="s">
        <v>104</v>
      </c>
      <c r="G1067" s="137">
        <v>0</v>
      </c>
    </row>
    <row r="1068" spans="1:7">
      <c r="A1068" s="146" t="s">
        <v>7971</v>
      </c>
      <c r="B1068" s="146">
        <v>1061</v>
      </c>
      <c r="C1068" s="147">
        <v>0</v>
      </c>
      <c r="D1068" s="153" t="s">
        <v>32</v>
      </c>
      <c r="E1068" s="153" t="s">
        <v>70</v>
      </c>
      <c r="F1068" s="154" t="s">
        <v>104</v>
      </c>
      <c r="G1068" s="137">
        <v>0</v>
      </c>
    </row>
    <row r="1069" spans="1:7">
      <c r="A1069" s="146" t="s">
        <v>7971</v>
      </c>
      <c r="B1069" s="146">
        <v>1062</v>
      </c>
      <c r="C1069" s="147">
        <v>0</v>
      </c>
      <c r="D1069" s="153" t="s">
        <v>33</v>
      </c>
      <c r="E1069" s="153" t="s">
        <v>71</v>
      </c>
      <c r="F1069" s="154" t="s">
        <v>104</v>
      </c>
      <c r="G1069" s="137">
        <v>0</v>
      </c>
    </row>
    <row r="1070" spans="1:7">
      <c r="A1070" s="146" t="s">
        <v>7971</v>
      </c>
      <c r="B1070" s="146">
        <v>1063</v>
      </c>
      <c r="C1070" s="147">
        <v>0</v>
      </c>
      <c r="D1070" s="153" t="s">
        <v>3900</v>
      </c>
      <c r="E1070" s="153" t="s">
        <v>3901</v>
      </c>
      <c r="F1070" s="154" t="s">
        <v>104</v>
      </c>
      <c r="G1070" s="137">
        <v>0</v>
      </c>
    </row>
    <row r="1071" spans="1:7">
      <c r="A1071" s="146" t="s">
        <v>7971</v>
      </c>
      <c r="B1071" s="146">
        <v>1064</v>
      </c>
      <c r="C1071" s="156" t="s">
        <v>8032</v>
      </c>
      <c r="D1071" s="153" t="s">
        <v>3902</v>
      </c>
      <c r="E1071" s="153" t="s">
        <v>8128</v>
      </c>
      <c r="F1071" s="154" t="s">
        <v>104</v>
      </c>
      <c r="G1071" s="137">
        <v>0</v>
      </c>
    </row>
    <row r="1072" spans="1:7">
      <c r="A1072" s="146" t="s">
        <v>7971</v>
      </c>
      <c r="B1072" s="146">
        <v>1065</v>
      </c>
      <c r="C1072" s="156" t="s">
        <v>8032</v>
      </c>
      <c r="D1072" s="153" t="s">
        <v>4024</v>
      </c>
      <c r="E1072" s="153" t="s">
        <v>8129</v>
      </c>
      <c r="F1072" s="154" t="s">
        <v>5562</v>
      </c>
      <c r="G1072" s="137">
        <v>0</v>
      </c>
    </row>
    <row r="1073" spans="1:7">
      <c r="A1073" s="146" t="s">
        <v>7971</v>
      </c>
      <c r="B1073" s="146">
        <v>1066</v>
      </c>
      <c r="C1073" s="147">
        <v>0</v>
      </c>
      <c r="D1073" s="153" t="s">
        <v>4072</v>
      </c>
      <c r="E1073" s="153" t="s">
        <v>4073</v>
      </c>
      <c r="F1073" s="154" t="s">
        <v>4838</v>
      </c>
      <c r="G1073" s="137">
        <v>0</v>
      </c>
    </row>
    <row r="1074" spans="1:7">
      <c r="A1074" s="146" t="s">
        <v>7971</v>
      </c>
      <c r="B1074" s="146">
        <v>1067</v>
      </c>
      <c r="C1074" s="147">
        <v>0</v>
      </c>
      <c r="D1074" s="153" t="s">
        <v>2121</v>
      </c>
      <c r="E1074" s="153" t="s">
        <v>2122</v>
      </c>
      <c r="F1074" s="154" t="s">
        <v>5452</v>
      </c>
      <c r="G1074" s="137">
        <v>0</v>
      </c>
    </row>
    <row r="1075" spans="1:7">
      <c r="A1075" s="146" t="s">
        <v>7971</v>
      </c>
      <c r="B1075" s="146">
        <v>1068</v>
      </c>
      <c r="C1075" s="147">
        <v>0</v>
      </c>
      <c r="D1075" s="153" t="s">
        <v>4828</v>
      </c>
      <c r="E1075" s="153" t="s">
        <v>4827</v>
      </c>
      <c r="F1075" s="154" t="s">
        <v>100</v>
      </c>
      <c r="G1075" s="137">
        <v>0</v>
      </c>
    </row>
    <row r="1076" spans="1:7">
      <c r="A1076" s="146" t="s">
        <v>7971</v>
      </c>
      <c r="B1076" s="146">
        <v>1069</v>
      </c>
      <c r="C1076" s="156" t="s">
        <v>8032</v>
      </c>
      <c r="D1076" s="153" t="s">
        <v>3581</v>
      </c>
      <c r="E1076" s="153" t="s">
        <v>8130</v>
      </c>
      <c r="F1076" s="154" t="s">
        <v>8131</v>
      </c>
      <c r="G1076" s="137">
        <v>0</v>
      </c>
    </row>
    <row r="1077" spans="1:7">
      <c r="A1077" s="146" t="s">
        <v>7971</v>
      </c>
      <c r="B1077" s="146">
        <v>1070</v>
      </c>
      <c r="C1077" s="147">
        <v>0</v>
      </c>
      <c r="D1077" s="153" t="s">
        <v>4074</v>
      </c>
      <c r="E1077" s="153" t="s">
        <v>4075</v>
      </c>
      <c r="F1077" s="154" t="s">
        <v>4991</v>
      </c>
      <c r="G1077" s="137">
        <v>0</v>
      </c>
    </row>
    <row r="1078" spans="1:7">
      <c r="A1078" s="146" t="s">
        <v>7971</v>
      </c>
      <c r="B1078" s="146">
        <v>1071</v>
      </c>
      <c r="C1078" s="147">
        <v>0</v>
      </c>
      <c r="D1078" s="153" t="s">
        <v>3896</v>
      </c>
      <c r="E1078" s="153" t="s">
        <v>3897</v>
      </c>
      <c r="F1078" s="154" t="s">
        <v>5691</v>
      </c>
      <c r="G1078" s="137">
        <v>0</v>
      </c>
    </row>
    <row r="1079" spans="1:7">
      <c r="A1079" s="146" t="s">
        <v>7971</v>
      </c>
      <c r="B1079" s="146">
        <v>1072</v>
      </c>
      <c r="C1079" s="147">
        <v>0</v>
      </c>
      <c r="D1079" s="153" t="s">
        <v>8133</v>
      </c>
      <c r="E1079" s="153" t="s">
        <v>8132</v>
      </c>
      <c r="F1079" s="154" t="s">
        <v>5847</v>
      </c>
      <c r="G1079" s="137">
        <v>0</v>
      </c>
    </row>
    <row r="1080" spans="1:7">
      <c r="A1080" s="146" t="s">
        <v>7971</v>
      </c>
      <c r="B1080" s="146">
        <v>1073</v>
      </c>
      <c r="C1080" s="147">
        <v>0</v>
      </c>
      <c r="D1080" s="153" t="s">
        <v>8135</v>
      </c>
      <c r="E1080" s="153" t="s">
        <v>8134</v>
      </c>
      <c r="F1080" s="154" t="s">
        <v>8136</v>
      </c>
      <c r="G1080" s="137">
        <v>0</v>
      </c>
    </row>
    <row r="1081" spans="1:7">
      <c r="A1081" s="146" t="s">
        <v>7971</v>
      </c>
      <c r="B1081" s="146">
        <v>1074</v>
      </c>
      <c r="C1081" s="156" t="s">
        <v>8032</v>
      </c>
      <c r="D1081" s="153" t="s">
        <v>8138</v>
      </c>
      <c r="E1081" s="153" t="s">
        <v>8137</v>
      </c>
      <c r="F1081" s="154" t="s">
        <v>8139</v>
      </c>
      <c r="G1081" s="137">
        <v>0</v>
      </c>
    </row>
    <row r="1082" spans="1:7">
      <c r="A1082" s="146" t="s">
        <v>7971</v>
      </c>
      <c r="B1082" s="146">
        <v>1075</v>
      </c>
      <c r="C1082" s="156" t="s">
        <v>8032</v>
      </c>
      <c r="D1082" s="153" t="s">
        <v>8141</v>
      </c>
      <c r="E1082" s="153" t="s">
        <v>8140</v>
      </c>
      <c r="F1082" s="154" t="s">
        <v>8139</v>
      </c>
      <c r="G1082" s="137">
        <v>0</v>
      </c>
    </row>
    <row r="1083" spans="1:7">
      <c r="A1083" s="146" t="s">
        <v>7971</v>
      </c>
      <c r="B1083" s="146">
        <v>1076</v>
      </c>
      <c r="C1083" s="147">
        <v>0</v>
      </c>
      <c r="D1083" s="153" t="s">
        <v>192</v>
      </c>
      <c r="E1083" s="153" t="s">
        <v>193</v>
      </c>
      <c r="F1083" s="154" t="s">
        <v>110</v>
      </c>
      <c r="G1083" s="137">
        <v>0</v>
      </c>
    </row>
    <row r="1084" spans="1:7">
      <c r="A1084" s="146" t="s">
        <v>7971</v>
      </c>
      <c r="B1084" s="146">
        <v>1077</v>
      </c>
      <c r="C1084" s="147">
        <v>0</v>
      </c>
      <c r="D1084" s="153" t="s">
        <v>6217</v>
      </c>
      <c r="E1084" s="153" t="s">
        <v>6216</v>
      </c>
      <c r="F1084" s="154" t="s">
        <v>100</v>
      </c>
      <c r="G1084" s="137">
        <v>0</v>
      </c>
    </row>
    <row r="1085" spans="1:7">
      <c r="A1085" s="146" t="s">
        <v>7971</v>
      </c>
      <c r="B1085" s="146">
        <v>1078</v>
      </c>
      <c r="C1085" s="147">
        <v>0</v>
      </c>
      <c r="D1085" s="153" t="s">
        <v>2168</v>
      </c>
      <c r="E1085" s="153" t="s">
        <v>2169</v>
      </c>
      <c r="F1085" s="154" t="s">
        <v>5453</v>
      </c>
      <c r="G1085" s="137">
        <v>0</v>
      </c>
    </row>
    <row r="1086" spans="1:7">
      <c r="A1086" s="146" t="s">
        <v>7971</v>
      </c>
      <c r="B1086" s="146">
        <v>1079</v>
      </c>
      <c r="C1086" s="147">
        <v>0</v>
      </c>
      <c r="D1086" s="153" t="s">
        <v>8143</v>
      </c>
      <c r="E1086" s="153" t="s">
        <v>8142</v>
      </c>
      <c r="F1086" s="154" t="s">
        <v>4898</v>
      </c>
      <c r="G1086" s="137">
        <v>0</v>
      </c>
    </row>
    <row r="1087" spans="1:7">
      <c r="A1087" s="146" t="s">
        <v>7971</v>
      </c>
      <c r="B1087" s="146">
        <v>1080</v>
      </c>
      <c r="C1087" s="147">
        <v>0</v>
      </c>
      <c r="D1087" s="153" t="s">
        <v>2628</v>
      </c>
      <c r="E1087" s="153" t="s">
        <v>8144</v>
      </c>
      <c r="F1087" s="154" t="s">
        <v>8009</v>
      </c>
      <c r="G1087" s="137">
        <v>0</v>
      </c>
    </row>
    <row r="1088" spans="1:7">
      <c r="A1088" s="146" t="s">
        <v>7971</v>
      </c>
      <c r="B1088" s="146">
        <v>1081</v>
      </c>
      <c r="C1088" s="147">
        <v>0</v>
      </c>
      <c r="D1088" s="153" t="s">
        <v>1929</v>
      </c>
      <c r="E1088" s="153" t="s">
        <v>1930</v>
      </c>
      <c r="F1088" s="154" t="s">
        <v>8145</v>
      </c>
      <c r="G1088" s="83" t="s">
        <v>6796</v>
      </c>
    </row>
    <row r="1089" spans="1:7">
      <c r="A1089" s="146" t="s">
        <v>7971</v>
      </c>
      <c r="B1089" s="146">
        <v>1082</v>
      </c>
      <c r="C1089" s="147">
        <v>0</v>
      </c>
      <c r="D1089" s="153" t="s">
        <v>1931</v>
      </c>
      <c r="E1089" s="153" t="s">
        <v>1932</v>
      </c>
      <c r="F1089" s="154" t="s">
        <v>8145</v>
      </c>
      <c r="G1089" s="83" t="s">
        <v>6796</v>
      </c>
    </row>
    <row r="1090" spans="1:7">
      <c r="A1090" s="146" t="s">
        <v>7971</v>
      </c>
      <c r="B1090" s="146">
        <v>1083</v>
      </c>
      <c r="C1090" s="147">
        <v>0</v>
      </c>
      <c r="D1090" s="153" t="s">
        <v>3036</v>
      </c>
      <c r="E1090" s="153" t="s">
        <v>3037</v>
      </c>
      <c r="F1090" s="154" t="s">
        <v>8146</v>
      </c>
      <c r="G1090" s="83" t="s">
        <v>6796</v>
      </c>
    </row>
    <row r="1091" spans="1:7">
      <c r="A1091" s="146" t="s">
        <v>7971</v>
      </c>
      <c r="B1091" s="146">
        <v>1084</v>
      </c>
      <c r="C1091" s="147">
        <v>0</v>
      </c>
      <c r="D1091" s="153" t="s">
        <v>3151</v>
      </c>
      <c r="E1091" s="153" t="s">
        <v>3152</v>
      </c>
      <c r="F1091" s="154" t="s">
        <v>8102</v>
      </c>
      <c r="G1091" s="137">
        <v>0</v>
      </c>
    </row>
    <row r="1092" spans="1:7">
      <c r="A1092" s="146" t="s">
        <v>7971</v>
      </c>
      <c r="B1092" s="146">
        <v>1085</v>
      </c>
      <c r="C1092" s="147">
        <v>0</v>
      </c>
      <c r="D1092" s="153" t="s">
        <v>4038</v>
      </c>
      <c r="E1092" s="153" t="s">
        <v>4039</v>
      </c>
      <c r="F1092" s="154" t="s">
        <v>4819</v>
      </c>
      <c r="G1092" s="137">
        <v>0</v>
      </c>
    </row>
    <row r="1093" spans="1:7">
      <c r="A1093" s="146" t="s">
        <v>7971</v>
      </c>
      <c r="B1093" s="146">
        <v>1086</v>
      </c>
      <c r="C1093" s="147">
        <v>0</v>
      </c>
      <c r="D1093" s="153" t="s">
        <v>587</v>
      </c>
      <c r="E1093" s="153" t="s">
        <v>588</v>
      </c>
      <c r="F1093" s="154" t="s">
        <v>116</v>
      </c>
      <c r="G1093" s="137">
        <v>0</v>
      </c>
    </row>
    <row r="1094" spans="1:7">
      <c r="A1094" s="146" t="s">
        <v>7971</v>
      </c>
      <c r="B1094" s="146">
        <v>1087</v>
      </c>
      <c r="C1094" s="147">
        <v>0</v>
      </c>
      <c r="D1094" s="153" t="s">
        <v>2273</v>
      </c>
      <c r="E1094" s="153" t="s">
        <v>2274</v>
      </c>
      <c r="F1094" s="154" t="s">
        <v>8001</v>
      </c>
      <c r="G1094" s="137">
        <v>0</v>
      </c>
    </row>
    <row r="1095" spans="1:7">
      <c r="A1095" s="146" t="s">
        <v>7971</v>
      </c>
      <c r="B1095" s="146">
        <v>1088</v>
      </c>
      <c r="C1095" s="147">
        <v>0</v>
      </c>
      <c r="D1095" s="153" t="s">
        <v>3886</v>
      </c>
      <c r="E1095" s="153" t="s">
        <v>3887</v>
      </c>
      <c r="F1095" s="154" t="s">
        <v>5548</v>
      </c>
      <c r="G1095" s="137">
        <v>0</v>
      </c>
    </row>
    <row r="1096" spans="1:7">
      <c r="A1096" s="146" t="s">
        <v>7971</v>
      </c>
      <c r="B1096" s="146">
        <v>1089</v>
      </c>
      <c r="C1096" s="147">
        <v>0</v>
      </c>
      <c r="D1096" s="153" t="s">
        <v>1771</v>
      </c>
      <c r="E1096" s="155" t="s">
        <v>1772</v>
      </c>
      <c r="F1096" s="154" t="s">
        <v>4860</v>
      </c>
      <c r="G1096" s="137">
        <v>0</v>
      </c>
    </row>
    <row r="1097" spans="1:7">
      <c r="A1097" s="146" t="s">
        <v>7971</v>
      </c>
      <c r="B1097" s="146">
        <v>1090</v>
      </c>
      <c r="C1097" s="147">
        <v>0</v>
      </c>
      <c r="D1097" s="153" t="s">
        <v>3423</v>
      </c>
      <c r="E1097" s="155" t="s">
        <v>3424</v>
      </c>
      <c r="F1097" s="154" t="s">
        <v>5456</v>
      </c>
      <c r="G1097" s="137">
        <v>0</v>
      </c>
    </row>
    <row r="1098" spans="1:7">
      <c r="A1098" s="146" t="s">
        <v>7971</v>
      </c>
      <c r="B1098" s="146">
        <v>1091</v>
      </c>
      <c r="C1098" s="147">
        <v>0</v>
      </c>
      <c r="D1098" s="153" t="s">
        <v>511</v>
      </c>
      <c r="E1098" s="155" t="s">
        <v>512</v>
      </c>
      <c r="F1098" s="154" t="s">
        <v>5535</v>
      </c>
      <c r="G1098" s="137">
        <v>0</v>
      </c>
    </row>
    <row r="1099" spans="1:7">
      <c r="A1099" s="146" t="s">
        <v>7971</v>
      </c>
      <c r="B1099" s="146">
        <v>1092</v>
      </c>
      <c r="C1099" s="147">
        <v>0</v>
      </c>
      <c r="D1099" s="153" t="s">
        <v>195</v>
      </c>
      <c r="E1099" s="155" t="s">
        <v>196</v>
      </c>
      <c r="F1099" s="154" t="s">
        <v>8147</v>
      </c>
      <c r="G1099" s="137">
        <v>0</v>
      </c>
    </row>
    <row r="1100" spans="1:7">
      <c r="A1100" s="146" t="s">
        <v>7971</v>
      </c>
      <c r="B1100" s="146">
        <v>1093</v>
      </c>
      <c r="C1100" s="147">
        <v>0</v>
      </c>
      <c r="D1100" s="153" t="s">
        <v>197</v>
      </c>
      <c r="E1100" s="155" t="s">
        <v>198</v>
      </c>
      <c r="F1100" s="154" t="s">
        <v>8148</v>
      </c>
      <c r="G1100" s="137">
        <v>0</v>
      </c>
    </row>
    <row r="1101" spans="1:7">
      <c r="A1101" s="146" t="s">
        <v>7971</v>
      </c>
      <c r="B1101" s="146">
        <v>1094</v>
      </c>
      <c r="C1101" s="147">
        <v>0</v>
      </c>
      <c r="D1101" s="153" t="s">
        <v>517</v>
      </c>
      <c r="E1101" s="155" t="s">
        <v>518</v>
      </c>
      <c r="F1101" s="154" t="s">
        <v>5596</v>
      </c>
      <c r="G1101" s="137">
        <v>0</v>
      </c>
    </row>
    <row r="1102" spans="1:7">
      <c r="A1102" s="146" t="s">
        <v>7971</v>
      </c>
      <c r="B1102" s="146">
        <v>1095</v>
      </c>
      <c r="C1102" s="147">
        <v>0</v>
      </c>
      <c r="D1102" s="153" t="s">
        <v>521</v>
      </c>
      <c r="E1102" s="155" t="s">
        <v>522</v>
      </c>
      <c r="F1102" s="154" t="s">
        <v>5596</v>
      </c>
      <c r="G1102" s="137">
        <v>0</v>
      </c>
    </row>
    <row r="1103" spans="1:7">
      <c r="A1103" s="146" t="s">
        <v>7971</v>
      </c>
      <c r="B1103" s="146">
        <v>1096</v>
      </c>
      <c r="C1103" s="147">
        <v>0</v>
      </c>
      <c r="D1103" s="153" t="s">
        <v>617</v>
      </c>
      <c r="E1103" s="155" t="s">
        <v>618</v>
      </c>
      <c r="F1103" s="154" t="s">
        <v>5598</v>
      </c>
      <c r="G1103" s="137">
        <v>0</v>
      </c>
    </row>
    <row r="1104" spans="1:7">
      <c r="A1104" s="146" t="s">
        <v>7971</v>
      </c>
      <c r="B1104" s="146">
        <v>1097</v>
      </c>
      <c r="C1104" s="147">
        <v>0</v>
      </c>
      <c r="D1104" s="153" t="s">
        <v>3625</v>
      </c>
      <c r="E1104" s="155" t="s">
        <v>3626</v>
      </c>
      <c r="F1104" s="154" t="s">
        <v>5599</v>
      </c>
      <c r="G1104" s="137">
        <v>0</v>
      </c>
    </row>
    <row r="1105" spans="1:7">
      <c r="A1105" s="146" t="s">
        <v>7971</v>
      </c>
      <c r="B1105" s="146">
        <v>1098</v>
      </c>
      <c r="C1105" s="147">
        <v>0</v>
      </c>
      <c r="D1105" s="153" t="s">
        <v>1830</v>
      </c>
      <c r="E1105" s="155" t="s">
        <v>1831</v>
      </c>
      <c r="F1105" s="154" t="s">
        <v>5641</v>
      </c>
      <c r="G1105" s="137">
        <v>0</v>
      </c>
    </row>
    <row r="1106" spans="1:7">
      <c r="A1106" s="146" t="s">
        <v>7971</v>
      </c>
      <c r="B1106" s="146">
        <v>1099</v>
      </c>
      <c r="C1106" s="147">
        <v>0</v>
      </c>
      <c r="D1106" s="153" t="s">
        <v>1933</v>
      </c>
      <c r="E1106" s="155" t="s">
        <v>1934</v>
      </c>
      <c r="F1106" s="154" t="s">
        <v>5647</v>
      </c>
      <c r="G1106" s="137">
        <v>0</v>
      </c>
    </row>
    <row r="1107" spans="1:7">
      <c r="A1107" s="146" t="s">
        <v>7971</v>
      </c>
      <c r="B1107" s="146">
        <v>1100</v>
      </c>
      <c r="C1107" s="147">
        <v>0</v>
      </c>
      <c r="D1107" s="153" t="s">
        <v>1935</v>
      </c>
      <c r="E1107" s="155" t="s">
        <v>1936</v>
      </c>
      <c r="F1107" s="154" t="s">
        <v>5647</v>
      </c>
      <c r="G1107" s="137">
        <v>0</v>
      </c>
    </row>
    <row r="1108" spans="1:7">
      <c r="A1108" s="146" t="s">
        <v>7971</v>
      </c>
      <c r="B1108" s="146">
        <v>1101</v>
      </c>
      <c r="C1108" s="147">
        <v>0</v>
      </c>
      <c r="D1108" s="153" t="s">
        <v>1939</v>
      </c>
      <c r="E1108" s="155" t="s">
        <v>1940</v>
      </c>
      <c r="F1108" s="154" t="s">
        <v>5648</v>
      </c>
      <c r="G1108" s="137">
        <v>0</v>
      </c>
    </row>
    <row r="1109" spans="1:7">
      <c r="A1109" s="146" t="s">
        <v>7971</v>
      </c>
      <c r="B1109" s="146">
        <v>1102</v>
      </c>
      <c r="C1109" s="147">
        <v>0</v>
      </c>
      <c r="D1109" s="153" t="s">
        <v>1941</v>
      </c>
      <c r="E1109" s="155" t="s">
        <v>1942</v>
      </c>
      <c r="F1109" s="154" t="s">
        <v>5648</v>
      </c>
      <c r="G1109" s="137">
        <v>0</v>
      </c>
    </row>
    <row r="1110" spans="1:7">
      <c r="A1110" s="146" t="s">
        <v>7971</v>
      </c>
      <c r="B1110" s="146">
        <v>1103</v>
      </c>
      <c r="C1110" s="147">
        <v>0</v>
      </c>
      <c r="D1110" s="153" t="s">
        <v>8058</v>
      </c>
      <c r="E1110" s="155" t="s">
        <v>3582</v>
      </c>
      <c r="F1110" s="154" t="s">
        <v>4952</v>
      </c>
      <c r="G1110" s="137">
        <v>0</v>
      </c>
    </row>
    <row r="1111" spans="1:7">
      <c r="A1111" s="146" t="s">
        <v>7971</v>
      </c>
      <c r="B1111" s="146">
        <v>1104</v>
      </c>
      <c r="C1111" s="147">
        <v>0</v>
      </c>
      <c r="D1111" s="153" t="s">
        <v>8060</v>
      </c>
      <c r="E1111" s="155" t="s">
        <v>8149</v>
      </c>
      <c r="F1111" s="154" t="s">
        <v>8061</v>
      </c>
      <c r="G1111" s="137">
        <v>0</v>
      </c>
    </row>
    <row r="1112" spans="1:7">
      <c r="A1112" s="146" t="s">
        <v>7971</v>
      </c>
      <c r="B1112" s="146">
        <v>1105</v>
      </c>
      <c r="C1112" s="147">
        <v>0</v>
      </c>
      <c r="D1112" s="153" t="s">
        <v>2013</v>
      </c>
      <c r="E1112" s="155" t="s">
        <v>2014</v>
      </c>
      <c r="F1112" s="154" t="s">
        <v>8081</v>
      </c>
      <c r="G1112" s="137">
        <v>0</v>
      </c>
    </row>
    <row r="1113" spans="1:7">
      <c r="A1113" s="146" t="s">
        <v>7971</v>
      </c>
      <c r="B1113" s="146">
        <v>1106</v>
      </c>
      <c r="C1113" s="147">
        <v>0</v>
      </c>
      <c r="D1113" s="153" t="s">
        <v>3450</v>
      </c>
      <c r="E1113" s="155" t="s">
        <v>3451</v>
      </c>
      <c r="F1113" s="154" t="s">
        <v>8083</v>
      </c>
      <c r="G1113" s="137">
        <v>0</v>
      </c>
    </row>
    <row r="1114" spans="1:7">
      <c r="A1114" s="146" t="s">
        <v>7971</v>
      </c>
      <c r="B1114" s="146">
        <v>1107</v>
      </c>
      <c r="C1114" s="147">
        <v>0</v>
      </c>
      <c r="D1114" s="153" t="s">
        <v>3466</v>
      </c>
      <c r="E1114" s="155" t="s">
        <v>3467</v>
      </c>
      <c r="F1114" s="154" t="s">
        <v>8085</v>
      </c>
      <c r="G1114" s="137">
        <v>0</v>
      </c>
    </row>
    <row r="1115" spans="1:7">
      <c r="A1115" s="146" t="s">
        <v>7971</v>
      </c>
      <c r="B1115" s="146">
        <v>1108</v>
      </c>
      <c r="C1115" s="147">
        <v>0</v>
      </c>
      <c r="D1115" s="153" t="s">
        <v>1765</v>
      </c>
      <c r="E1115" s="155" t="s">
        <v>1766</v>
      </c>
      <c r="F1115" s="154" t="s">
        <v>4860</v>
      </c>
      <c r="G1115" s="137">
        <v>0</v>
      </c>
    </row>
    <row r="1116" spans="1:7">
      <c r="A1116" s="146" t="s">
        <v>7971</v>
      </c>
      <c r="B1116" s="146">
        <v>1109</v>
      </c>
      <c r="C1116" s="147">
        <v>0</v>
      </c>
      <c r="D1116" s="153" t="s">
        <v>3089</v>
      </c>
      <c r="E1116" s="155" t="s">
        <v>3090</v>
      </c>
      <c r="F1116" s="154" t="s">
        <v>8088</v>
      </c>
      <c r="G1116" s="137">
        <v>0</v>
      </c>
    </row>
    <row r="1117" spans="1:7">
      <c r="A1117" s="146" t="s">
        <v>7971</v>
      </c>
      <c r="B1117" s="146">
        <v>1110</v>
      </c>
      <c r="C1117" s="147">
        <v>0</v>
      </c>
      <c r="D1117" s="153" t="s">
        <v>3091</v>
      </c>
      <c r="E1117" s="155" t="s">
        <v>3092</v>
      </c>
      <c r="F1117" s="154" t="s">
        <v>8088</v>
      </c>
      <c r="G1117" s="137">
        <v>0</v>
      </c>
    </row>
    <row r="1118" spans="1:7">
      <c r="A1118" s="146" t="s">
        <v>7971</v>
      </c>
      <c r="B1118" s="146">
        <v>1111</v>
      </c>
      <c r="C1118" s="147">
        <v>0</v>
      </c>
      <c r="D1118" s="153" t="s">
        <v>3506</v>
      </c>
      <c r="E1118" s="155" t="s">
        <v>3507</v>
      </c>
      <c r="F1118" s="154" t="s">
        <v>8096</v>
      </c>
      <c r="G1118" s="137">
        <v>0</v>
      </c>
    </row>
    <row r="1119" spans="1:7">
      <c r="A1119" s="146" t="s">
        <v>7971</v>
      </c>
      <c r="B1119" s="146">
        <v>1112</v>
      </c>
      <c r="C1119" s="147">
        <v>0</v>
      </c>
      <c r="D1119" s="153" t="s">
        <v>3508</v>
      </c>
      <c r="E1119" s="155" t="s">
        <v>3509</v>
      </c>
      <c r="F1119" s="154" t="s">
        <v>8096</v>
      </c>
      <c r="G1119" s="137">
        <v>0</v>
      </c>
    </row>
    <row r="1120" spans="1:7">
      <c r="A1120" s="146" t="s">
        <v>7971</v>
      </c>
      <c r="B1120" s="146">
        <v>1113</v>
      </c>
      <c r="C1120" s="147">
        <v>0</v>
      </c>
      <c r="D1120" s="153" t="s">
        <v>3147</v>
      </c>
      <c r="E1120" s="155" t="s">
        <v>3148</v>
      </c>
      <c r="F1120" s="154" t="s">
        <v>8102</v>
      </c>
      <c r="G1120" s="137">
        <v>0</v>
      </c>
    </row>
    <row r="1121" spans="1:7">
      <c r="A1121" s="146" t="s">
        <v>7971</v>
      </c>
      <c r="B1121" s="146">
        <v>1114</v>
      </c>
      <c r="C1121" s="147">
        <v>0</v>
      </c>
      <c r="D1121" s="153" t="s">
        <v>2992</v>
      </c>
      <c r="E1121" s="155" t="s">
        <v>2993</v>
      </c>
      <c r="F1121" s="154" t="s">
        <v>8117</v>
      </c>
      <c r="G1121" s="137">
        <v>0</v>
      </c>
    </row>
    <row r="1122" spans="1:7">
      <c r="A1122" s="146" t="s">
        <v>7971</v>
      </c>
      <c r="B1122" s="146">
        <v>1115</v>
      </c>
      <c r="C1122" s="147">
        <v>0</v>
      </c>
      <c r="D1122" s="153" t="s">
        <v>2996</v>
      </c>
      <c r="E1122" s="155" t="s">
        <v>2997</v>
      </c>
      <c r="F1122" s="154" t="s">
        <v>8117</v>
      </c>
      <c r="G1122" s="137">
        <v>0</v>
      </c>
    </row>
    <row r="1123" spans="1:7">
      <c r="A1123" s="146" t="s">
        <v>7971</v>
      </c>
      <c r="B1123" s="146">
        <v>1116</v>
      </c>
      <c r="C1123" s="147">
        <v>0</v>
      </c>
      <c r="D1123" s="153" t="s">
        <v>3010</v>
      </c>
      <c r="E1123" s="155" t="s">
        <v>3011</v>
      </c>
      <c r="F1123" s="154" t="s">
        <v>8120</v>
      </c>
      <c r="G1123" s="137">
        <v>0</v>
      </c>
    </row>
    <row r="1124" spans="1:7">
      <c r="A1124" s="146" t="s">
        <v>7971</v>
      </c>
      <c r="B1124" s="146">
        <v>1117</v>
      </c>
      <c r="C1124" s="147">
        <v>0</v>
      </c>
      <c r="D1124" s="153" t="s">
        <v>3014</v>
      </c>
      <c r="E1124" s="155" t="s">
        <v>3015</v>
      </c>
      <c r="F1124" s="154" t="s">
        <v>8120</v>
      </c>
      <c r="G1124" s="137">
        <v>0</v>
      </c>
    </row>
    <row r="1125" spans="1:7">
      <c r="A1125" s="146" t="s">
        <v>7971</v>
      </c>
      <c r="B1125" s="146">
        <v>1118</v>
      </c>
      <c r="C1125" s="147">
        <v>0</v>
      </c>
      <c r="D1125" s="153" t="s">
        <v>1969</v>
      </c>
      <c r="E1125" s="155" t="s">
        <v>1970</v>
      </c>
      <c r="F1125" s="154" t="s">
        <v>117</v>
      </c>
      <c r="G1125" s="137">
        <v>0</v>
      </c>
    </row>
    <row r="1126" spans="1:7">
      <c r="A1126" s="146" t="s">
        <v>7971</v>
      </c>
      <c r="B1126" s="146">
        <v>1119</v>
      </c>
      <c r="C1126" s="147">
        <v>0</v>
      </c>
      <c r="D1126" s="153" t="s">
        <v>3898</v>
      </c>
      <c r="E1126" s="155" t="s">
        <v>3899</v>
      </c>
      <c r="F1126" s="154" t="s">
        <v>104</v>
      </c>
      <c r="G1126" s="137">
        <v>0</v>
      </c>
    </row>
    <row r="1127" spans="1:7">
      <c r="A1127" s="146" t="s">
        <v>7971</v>
      </c>
      <c r="B1127" s="146">
        <v>1120</v>
      </c>
      <c r="C1127" s="147">
        <v>0</v>
      </c>
      <c r="D1127" s="153" t="s">
        <v>29</v>
      </c>
      <c r="E1127" s="155" t="s">
        <v>67</v>
      </c>
      <c r="F1127" s="154" t="s">
        <v>104</v>
      </c>
      <c r="G1127" s="137">
        <v>0</v>
      </c>
    </row>
    <row r="1128" spans="1:7">
      <c r="A1128" s="146" t="s">
        <v>7971</v>
      </c>
      <c r="B1128" s="146">
        <v>1121</v>
      </c>
      <c r="C1128" s="147">
        <v>0</v>
      </c>
      <c r="D1128" s="153" t="s">
        <v>30</v>
      </c>
      <c r="E1128" s="155" t="s">
        <v>68</v>
      </c>
      <c r="F1128" s="154" t="s">
        <v>104</v>
      </c>
      <c r="G1128" s="137">
        <v>0</v>
      </c>
    </row>
    <row r="1129" spans="1:7">
      <c r="A1129" s="146" t="s">
        <v>7971</v>
      </c>
      <c r="B1129" s="146">
        <v>1122</v>
      </c>
      <c r="C1129" s="147">
        <v>0</v>
      </c>
      <c r="D1129" s="153" t="s">
        <v>3902</v>
      </c>
      <c r="E1129" s="155" t="s">
        <v>3903</v>
      </c>
      <c r="F1129" s="154" t="s">
        <v>104</v>
      </c>
      <c r="G1129" s="137">
        <v>0</v>
      </c>
    </row>
    <row r="1130" spans="1:7">
      <c r="A1130" s="146" t="s">
        <v>7971</v>
      </c>
      <c r="B1130" s="146">
        <v>1123</v>
      </c>
      <c r="C1130" s="147">
        <v>0</v>
      </c>
      <c r="D1130" s="153" t="s">
        <v>4024</v>
      </c>
      <c r="E1130" s="155" t="s">
        <v>4025</v>
      </c>
      <c r="F1130" s="154" t="s">
        <v>5562</v>
      </c>
      <c r="G1130" s="137">
        <v>0</v>
      </c>
    </row>
    <row r="1131" spans="1:7">
      <c r="A1131" s="146" t="s">
        <v>7971</v>
      </c>
      <c r="B1131" s="146">
        <v>1124</v>
      </c>
      <c r="C1131" s="147">
        <v>0</v>
      </c>
      <c r="D1131" s="153" t="s">
        <v>2327</v>
      </c>
      <c r="E1131" s="155" t="s">
        <v>2328</v>
      </c>
      <c r="F1131" s="154" t="s">
        <v>8150</v>
      </c>
      <c r="G1131" s="137">
        <v>0</v>
      </c>
    </row>
    <row r="1132" spans="1:7">
      <c r="A1132" s="146" t="s">
        <v>7971</v>
      </c>
      <c r="B1132" s="146">
        <v>1125</v>
      </c>
      <c r="C1132" s="147"/>
      <c r="D1132" s="153" t="s">
        <v>3171</v>
      </c>
      <c r="E1132" s="155" t="s">
        <v>3172</v>
      </c>
      <c r="F1132" s="154" t="s">
        <v>5560</v>
      </c>
      <c r="G1132" s="137">
        <v>0</v>
      </c>
    </row>
    <row r="1133" spans="1:7">
      <c r="A1133" s="146" t="s">
        <v>7971</v>
      </c>
      <c r="B1133" s="146">
        <v>1126</v>
      </c>
      <c r="C1133" s="147"/>
      <c r="D1133" s="153" t="s">
        <v>2502</v>
      </c>
      <c r="E1133" s="155" t="s">
        <v>2503</v>
      </c>
      <c r="F1133" s="154" t="s">
        <v>5432</v>
      </c>
      <c r="G1133" s="137">
        <v>0</v>
      </c>
    </row>
    <row r="1134" spans="1:7">
      <c r="A1134" s="146" t="s">
        <v>7971</v>
      </c>
      <c r="B1134" s="146">
        <v>1127</v>
      </c>
      <c r="C1134" s="147"/>
      <c r="D1134" s="153" t="s">
        <v>19</v>
      </c>
      <c r="E1134" s="155" t="s">
        <v>57</v>
      </c>
      <c r="F1134" s="154" t="s">
        <v>104</v>
      </c>
      <c r="G1134" s="137">
        <v>0</v>
      </c>
    </row>
    <row r="1135" spans="1:7">
      <c r="A1135" s="146" t="s">
        <v>7971</v>
      </c>
      <c r="B1135" s="146">
        <v>1128</v>
      </c>
      <c r="C1135" s="147"/>
      <c r="D1135" s="153" t="s">
        <v>20</v>
      </c>
      <c r="E1135" s="155" t="s">
        <v>58</v>
      </c>
      <c r="F1135" s="154" t="s">
        <v>104</v>
      </c>
      <c r="G1135" s="137">
        <v>0</v>
      </c>
    </row>
    <row r="1136" spans="1:7">
      <c r="A1136" s="146" t="s">
        <v>7971</v>
      </c>
      <c r="B1136" s="146">
        <v>1129</v>
      </c>
      <c r="C1136" s="147"/>
      <c r="D1136" s="153" t="s">
        <v>21</v>
      </c>
      <c r="E1136" s="155" t="s">
        <v>59</v>
      </c>
      <c r="F1136" s="154" t="s">
        <v>104</v>
      </c>
      <c r="G1136" s="137">
        <v>0</v>
      </c>
    </row>
    <row r="1137" spans="1:7">
      <c r="A1137" s="146" t="s">
        <v>7971</v>
      </c>
      <c r="B1137" s="146">
        <v>1130</v>
      </c>
      <c r="C1137" s="147"/>
      <c r="D1137" s="153" t="s">
        <v>22</v>
      </c>
      <c r="E1137" s="155" t="s">
        <v>60</v>
      </c>
      <c r="F1137" s="154" t="s">
        <v>104</v>
      </c>
      <c r="G1137" s="137">
        <v>0</v>
      </c>
    </row>
    <row r="1138" spans="1:7">
      <c r="A1138" s="146" t="s">
        <v>7971</v>
      </c>
      <c r="B1138" s="146">
        <v>1131</v>
      </c>
      <c r="C1138" s="147"/>
      <c r="D1138" s="153" t="s">
        <v>23</v>
      </c>
      <c r="E1138" s="155" t="s">
        <v>61</v>
      </c>
      <c r="F1138" s="154" t="s">
        <v>104</v>
      </c>
      <c r="G1138" s="137">
        <v>0</v>
      </c>
    </row>
    <row r="1139" spans="1:7">
      <c r="A1139" s="146" t="s">
        <v>7971</v>
      </c>
      <c r="B1139" s="146">
        <v>1132</v>
      </c>
      <c r="C1139" s="147"/>
      <c r="D1139" s="153" t="s">
        <v>24</v>
      </c>
      <c r="E1139" s="155" t="s">
        <v>62</v>
      </c>
      <c r="F1139" s="154" t="s">
        <v>104</v>
      </c>
      <c r="G1139" s="137">
        <v>0</v>
      </c>
    </row>
    <row r="1140" spans="1:7">
      <c r="A1140" s="146" t="s">
        <v>7971</v>
      </c>
      <c r="B1140" s="146">
        <v>1133</v>
      </c>
      <c r="C1140" s="147"/>
      <c r="D1140" s="153" t="s">
        <v>27</v>
      </c>
      <c r="E1140" s="155" t="s">
        <v>65</v>
      </c>
      <c r="F1140" s="154" t="s">
        <v>104</v>
      </c>
      <c r="G1140" s="137">
        <v>0</v>
      </c>
    </row>
    <row r="1141" spans="1:7">
      <c r="A1141" s="146" t="s">
        <v>7971</v>
      </c>
      <c r="B1141" s="146">
        <v>1134</v>
      </c>
      <c r="C1141" s="147"/>
      <c r="D1141" s="153" t="s">
        <v>28</v>
      </c>
      <c r="E1141" s="155" t="s">
        <v>66</v>
      </c>
      <c r="F1141" s="154" t="s">
        <v>104</v>
      </c>
      <c r="G1141" s="137">
        <v>0</v>
      </c>
    </row>
    <row r="1142" spans="1:7">
      <c r="A1142" s="146" t="s">
        <v>7971</v>
      </c>
      <c r="B1142" s="146">
        <v>1135</v>
      </c>
      <c r="C1142" s="147"/>
      <c r="D1142" s="153" t="s">
        <v>2305</v>
      </c>
      <c r="E1142" s="155" t="s">
        <v>2306</v>
      </c>
      <c r="F1142" s="154" t="s">
        <v>5398</v>
      </c>
      <c r="G1142" s="137">
        <v>0</v>
      </c>
    </row>
    <row r="1143" spans="1:7">
      <c r="A1143" s="146" t="s">
        <v>7971</v>
      </c>
      <c r="B1143" s="146">
        <v>1136</v>
      </c>
      <c r="C1143" s="147"/>
      <c r="D1143" s="153" t="s">
        <v>2361</v>
      </c>
      <c r="E1143" s="155" t="s">
        <v>2362</v>
      </c>
      <c r="F1143" s="154" t="s">
        <v>5397</v>
      </c>
      <c r="G1143" s="137">
        <v>0</v>
      </c>
    </row>
    <row r="1144" spans="1:7">
      <c r="A1144" s="146" t="s">
        <v>7971</v>
      </c>
      <c r="B1144" s="146">
        <v>1137</v>
      </c>
      <c r="C1144" s="147" t="s">
        <v>6755</v>
      </c>
      <c r="D1144" s="153" t="s">
        <v>2160</v>
      </c>
      <c r="E1144" s="155" t="s">
        <v>2161</v>
      </c>
      <c r="F1144" s="154" t="s">
        <v>7998</v>
      </c>
      <c r="G1144" s="83" t="s">
        <v>6796</v>
      </c>
    </row>
    <row r="1145" spans="1:7">
      <c r="A1145" s="146" t="s">
        <v>7971</v>
      </c>
      <c r="B1145" s="146">
        <v>1138</v>
      </c>
      <c r="C1145" s="147" t="s">
        <v>6755</v>
      </c>
      <c r="D1145" s="153" t="s">
        <v>2182</v>
      </c>
      <c r="E1145" s="155" t="s">
        <v>2183</v>
      </c>
      <c r="F1145" s="154" t="s">
        <v>7999</v>
      </c>
      <c r="G1145" s="83" t="s">
        <v>6796</v>
      </c>
    </row>
    <row r="1146" spans="1:7">
      <c r="A1146" s="146" t="s">
        <v>7971</v>
      </c>
      <c r="B1146" s="146">
        <v>1139</v>
      </c>
      <c r="C1146" s="147" t="s">
        <v>6755</v>
      </c>
      <c r="D1146" s="153" t="s">
        <v>3028</v>
      </c>
      <c r="E1146" s="155" t="s">
        <v>3029</v>
      </c>
      <c r="F1146" s="154" t="s">
        <v>5406</v>
      </c>
      <c r="G1146" s="137">
        <v>0</v>
      </c>
    </row>
    <row r="1147" spans="1:7">
      <c r="A1147" s="146" t="s">
        <v>7971</v>
      </c>
      <c r="B1147" s="146">
        <v>1140</v>
      </c>
      <c r="C1147" s="147" t="s">
        <v>6755</v>
      </c>
      <c r="D1147" s="153" t="s">
        <v>3044</v>
      </c>
      <c r="E1147" s="155" t="s">
        <v>3045</v>
      </c>
      <c r="F1147" s="154" t="s">
        <v>5403</v>
      </c>
      <c r="G1147" s="137">
        <v>0</v>
      </c>
    </row>
    <row r="1148" spans="1:7">
      <c r="A1148" s="146" t="s">
        <v>7971</v>
      </c>
      <c r="B1148" s="146">
        <v>1141</v>
      </c>
      <c r="C1148" s="147" t="s">
        <v>6755</v>
      </c>
      <c r="D1148" s="153" t="s">
        <v>519</v>
      </c>
      <c r="E1148" s="155" t="s">
        <v>520</v>
      </c>
      <c r="F1148" s="154" t="s">
        <v>8151</v>
      </c>
      <c r="G1148" s="137">
        <v>0</v>
      </c>
    </row>
    <row r="1149" spans="1:7">
      <c r="A1149" s="146" t="s">
        <v>7971</v>
      </c>
      <c r="B1149" s="146">
        <v>1142</v>
      </c>
      <c r="C1149" s="147" t="s">
        <v>6755</v>
      </c>
      <c r="D1149" s="153" t="s">
        <v>3069</v>
      </c>
      <c r="E1149" s="155" t="s">
        <v>3070</v>
      </c>
      <c r="F1149" s="154" t="s">
        <v>8152</v>
      </c>
      <c r="G1149" s="137">
        <v>0</v>
      </c>
    </row>
    <row r="1150" spans="1:7">
      <c r="A1150" s="146" t="s">
        <v>7971</v>
      </c>
      <c r="B1150" s="146">
        <v>1143</v>
      </c>
      <c r="C1150" s="147" t="s">
        <v>6755</v>
      </c>
      <c r="D1150" s="153" t="s">
        <v>3109</v>
      </c>
      <c r="E1150" s="155" t="s">
        <v>3112</v>
      </c>
      <c r="F1150" s="154" t="s">
        <v>8153</v>
      </c>
      <c r="G1150" s="137">
        <v>0</v>
      </c>
    </row>
    <row r="1151" spans="1:7">
      <c r="A1151" s="146" t="s">
        <v>7971</v>
      </c>
      <c r="B1151" s="146">
        <v>1144</v>
      </c>
      <c r="C1151" s="147" t="s">
        <v>6755</v>
      </c>
      <c r="D1151" s="153" t="s">
        <v>3770</v>
      </c>
      <c r="E1151" s="155" t="s">
        <v>3771</v>
      </c>
      <c r="F1151" s="154" t="s">
        <v>5614</v>
      </c>
      <c r="G1151" s="137">
        <v>0</v>
      </c>
    </row>
    <row r="1152" spans="1:7">
      <c r="A1152" s="146" t="s">
        <v>7971</v>
      </c>
      <c r="B1152" s="146">
        <v>1145</v>
      </c>
      <c r="C1152" s="147"/>
      <c r="D1152" s="153" t="s">
        <v>3030</v>
      </c>
      <c r="E1152" s="155" t="s">
        <v>3031</v>
      </c>
      <c r="F1152" s="154" t="s">
        <v>5406</v>
      </c>
      <c r="G1152" s="137">
        <v>0</v>
      </c>
    </row>
    <row r="1153" spans="1:7">
      <c r="A1153" s="146" t="s">
        <v>7971</v>
      </c>
      <c r="B1153" s="146">
        <v>1146</v>
      </c>
      <c r="C1153" s="147"/>
      <c r="D1153" s="153" t="s">
        <v>3046</v>
      </c>
      <c r="E1153" s="155" t="s">
        <v>3047</v>
      </c>
      <c r="F1153" s="154" t="s">
        <v>5403</v>
      </c>
      <c r="G1153" s="137">
        <v>0</v>
      </c>
    </row>
    <row r="1154" spans="1:7">
      <c r="A1154" s="146" t="s">
        <v>7971</v>
      </c>
      <c r="B1154" s="146">
        <v>1147</v>
      </c>
      <c r="C1154" s="147"/>
      <c r="D1154" s="153" t="s">
        <v>4034</v>
      </c>
      <c r="E1154" s="155" t="s">
        <v>4035</v>
      </c>
      <c r="F1154" s="154" t="s">
        <v>6221</v>
      </c>
      <c r="G1154" s="137">
        <v>0</v>
      </c>
    </row>
    <row r="1155" spans="1:7">
      <c r="A1155" s="146" t="s">
        <v>7971</v>
      </c>
      <c r="B1155" s="146">
        <v>1148</v>
      </c>
      <c r="C1155" s="147"/>
      <c r="D1155" s="153" t="s">
        <v>3819</v>
      </c>
      <c r="E1155" s="155" t="s">
        <v>3820</v>
      </c>
      <c r="F1155" s="154" t="s">
        <v>5614</v>
      </c>
      <c r="G1155" s="137">
        <v>0</v>
      </c>
    </row>
    <row r="1156" spans="1:7" ht="15" thickBot="1">
      <c r="A1156" s="121"/>
      <c r="B1156" s="121"/>
      <c r="C1156" s="131"/>
      <c r="D1156" s="123"/>
      <c r="E1156" s="132"/>
      <c r="F1156" s="124"/>
      <c r="G1156" s="125"/>
    </row>
  </sheetData>
  <conditionalFormatting sqref="A1:G1156">
    <cfRule type="cellIs" dxfId="30" priority="1" stopIfTrue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2D330-41DD-40CE-A5E8-F279B52C972B}">
  <dimension ref="A1:BM249"/>
  <sheetViews>
    <sheetView topLeftCell="A8" zoomScale="70" zoomScaleNormal="70" workbookViewId="0">
      <pane xSplit="15" ySplit="8" topLeftCell="P16" activePane="bottomRight" state="frozen"/>
      <selection activeCell="A8" sqref="A8"/>
      <selection pane="topRight" activeCell="P8" sqref="P8"/>
      <selection pane="bottomLeft" activeCell="A16" sqref="A16"/>
      <selection pane="bottomRight" activeCell="AR16" sqref="AR16:AR230"/>
    </sheetView>
  </sheetViews>
  <sheetFormatPr defaultColWidth="9.08984375" defaultRowHeight="11.5"/>
  <cols>
    <col min="1" max="1" width="12.08984375" style="163" hidden="1" customWidth="1"/>
    <col min="2" max="2" width="6.6328125" style="163" hidden="1" customWidth="1"/>
    <col min="3" max="3" width="7.08984375" style="164" hidden="1" customWidth="1"/>
    <col min="4" max="4" width="8.08984375" style="165" customWidth="1"/>
    <col min="5" max="5" width="10.36328125" style="166" customWidth="1"/>
    <col min="6" max="6" width="9.453125" style="165" bestFit="1" customWidth="1"/>
    <col min="7" max="9" width="4.54296875" style="165" customWidth="1"/>
    <col min="10" max="10" width="10.08984375" style="165" customWidth="1"/>
    <col min="11" max="11" width="19.453125" style="165" customWidth="1"/>
    <col min="12" max="12" width="46" style="168" customWidth="1"/>
    <col min="13" max="14" width="10.08984375" style="165" customWidth="1"/>
    <col min="15" max="15" width="8" style="167" customWidth="1"/>
    <col min="16" max="16" width="10.6328125" style="167" customWidth="1"/>
    <col min="17" max="17" width="8.453125" style="165" customWidth="1"/>
    <col min="18" max="18" width="11.36328125" style="165" customWidth="1"/>
    <col min="19" max="19" width="14" style="165" customWidth="1"/>
    <col min="20" max="20" width="13.90625" style="165" customWidth="1"/>
    <col min="21" max="21" width="16.36328125" style="165" customWidth="1"/>
    <col min="22" max="22" width="17.08984375" style="165" customWidth="1"/>
    <col min="23" max="23" width="15.90625" style="165" customWidth="1"/>
    <col min="24" max="24" width="11.6328125" style="167" customWidth="1"/>
    <col min="25" max="25" width="5.453125" style="167" customWidth="1"/>
    <col min="26" max="26" width="10.453125" style="167" customWidth="1"/>
    <col min="27" max="27" width="7.6328125" style="167" customWidth="1"/>
    <col min="28" max="28" width="10.6328125" style="167" customWidth="1"/>
    <col min="29" max="30" width="8.90625" style="167" customWidth="1"/>
    <col min="31" max="31" width="12.54296875" style="163" customWidth="1"/>
    <col min="32" max="32" width="13.6328125" style="163" customWidth="1"/>
    <col min="33" max="33" width="12.6328125" style="167" customWidth="1"/>
    <col min="34" max="34" width="12.90625" style="163" customWidth="1"/>
    <col min="35" max="35" width="8.54296875" style="163" customWidth="1"/>
    <col min="36" max="36" width="20.6328125" style="167" customWidth="1"/>
    <col min="37" max="37" width="10.90625" style="167" customWidth="1"/>
    <col min="38" max="38" width="8.54296875" style="167" customWidth="1"/>
    <col min="39" max="39" width="11" style="167" customWidth="1"/>
    <col min="40" max="40" width="12.90625" style="170" customWidth="1"/>
    <col min="41" max="43" width="5.453125" style="167" customWidth="1"/>
    <col min="44" max="44" width="9.36328125" style="167" customWidth="1"/>
    <col min="45" max="46" width="7.36328125" style="167" customWidth="1"/>
    <col min="47" max="47" width="7.54296875" style="167" customWidth="1"/>
    <col min="48" max="48" width="8.08984375" style="165" bestFit="1" customWidth="1"/>
    <col min="49" max="49" width="7.36328125" style="165" customWidth="1"/>
    <col min="50" max="52" width="7" style="165" customWidth="1"/>
    <col min="53" max="53" width="8.90625" style="165" customWidth="1"/>
    <col min="54" max="54" width="8.6328125" style="165" customWidth="1"/>
    <col min="55" max="55" width="7.36328125" style="165" customWidth="1"/>
    <col min="56" max="56" width="10" style="165" customWidth="1"/>
    <col min="57" max="57" width="9" style="169" customWidth="1"/>
    <col min="58" max="58" width="10.08984375" style="165" customWidth="1"/>
    <col min="59" max="59" width="19.54296875" style="163" customWidth="1"/>
    <col min="60" max="64" width="9.08984375" style="163"/>
    <col min="65" max="65" width="19.54296875" style="163" customWidth="1"/>
    <col min="66" max="16384" width="9.08984375" style="163"/>
  </cols>
  <sheetData>
    <row r="1" spans="1:65" ht="14.15" customHeight="1">
      <c r="L1"/>
      <c r="M1"/>
      <c r="N1"/>
      <c r="O1" s="165"/>
      <c r="P1" s="165"/>
      <c r="Q1"/>
      <c r="R1"/>
      <c r="S1" s="1381">
        <v>11</v>
      </c>
      <c r="X1" s="165"/>
      <c r="Y1" s="165"/>
      <c r="Z1" s="165"/>
      <c r="AA1" s="165"/>
      <c r="AB1" s="165"/>
      <c r="AC1" s="165"/>
      <c r="AD1" s="165"/>
      <c r="AG1" s="165"/>
      <c r="AJ1" s="165"/>
      <c r="AL1" s="165"/>
      <c r="AM1" s="165"/>
      <c r="AN1" s="168"/>
      <c r="AO1" s="165"/>
      <c r="AP1" s="165"/>
      <c r="AQ1" s="165"/>
      <c r="AR1" s="165"/>
      <c r="AS1" s="165"/>
      <c r="AT1" s="165"/>
      <c r="AU1" s="165"/>
    </row>
    <row r="2" spans="1:65" ht="28.5" customHeight="1">
      <c r="S2" s="1382"/>
    </row>
    <row r="3" spans="1:65" ht="14.15" customHeight="1">
      <c r="E3" s="1383" t="s">
        <v>8830</v>
      </c>
      <c r="F3" s="1383"/>
      <c r="G3" s="1383"/>
      <c r="H3" s="1383"/>
      <c r="I3" s="1383"/>
      <c r="J3" s="1383"/>
      <c r="K3" s="1383"/>
      <c r="L3" s="1383"/>
      <c r="M3" s="171"/>
      <c r="N3" s="171"/>
      <c r="Q3" s="171"/>
      <c r="R3" s="171"/>
      <c r="AV3" s="171"/>
      <c r="AW3" s="171"/>
      <c r="AX3" s="171"/>
      <c r="AY3" s="171"/>
      <c r="AZ3" s="171"/>
      <c r="BA3" s="171"/>
      <c r="BB3" s="171"/>
      <c r="BC3" s="171"/>
    </row>
    <row r="4" spans="1:65" ht="14.15" customHeight="1">
      <c r="E4" s="1383"/>
      <c r="F4" s="1383"/>
      <c r="G4" s="1383"/>
      <c r="H4" s="1383"/>
      <c r="I4" s="1383"/>
      <c r="J4" s="1383"/>
      <c r="K4" s="1383"/>
      <c r="L4" s="1383"/>
      <c r="M4" s="171"/>
      <c r="N4" s="171"/>
      <c r="O4" s="172"/>
      <c r="P4" s="172"/>
      <c r="Q4" s="173"/>
      <c r="R4" s="173"/>
      <c r="S4" s="174"/>
      <c r="T4" s="174"/>
      <c r="U4" s="174"/>
      <c r="V4" s="174"/>
      <c r="W4" s="174"/>
      <c r="AV4" s="171"/>
      <c r="AW4" s="171"/>
      <c r="AX4" s="171"/>
      <c r="AY4" s="171"/>
      <c r="AZ4" s="171"/>
      <c r="BA4" s="171"/>
      <c r="BB4" s="171"/>
      <c r="BC4" s="171"/>
    </row>
    <row r="5" spans="1:65" ht="14.15" customHeight="1">
      <c r="E5" s="1384">
        <v>45748</v>
      </c>
      <c r="F5" s="1384"/>
      <c r="G5" s="1384"/>
      <c r="H5" s="1384"/>
      <c r="I5" s="1384"/>
      <c r="J5" s="1384"/>
      <c r="K5" s="171"/>
      <c r="L5" s="175"/>
      <c r="M5" s="171"/>
      <c r="N5" s="171"/>
      <c r="O5" s="172"/>
      <c r="P5" s="172"/>
      <c r="Q5" s="173"/>
      <c r="R5" s="173"/>
      <c r="S5" s="174"/>
      <c r="T5" s="174"/>
      <c r="U5" s="174"/>
      <c r="V5" s="174"/>
      <c r="W5" s="174"/>
      <c r="AV5" s="171"/>
      <c r="AW5" s="171"/>
      <c r="AX5" s="171"/>
      <c r="AY5" s="171"/>
      <c r="AZ5" s="171"/>
      <c r="BA5" s="171"/>
      <c r="BB5" s="171"/>
      <c r="BC5" s="171"/>
    </row>
    <row r="6" spans="1:65" ht="14.15" customHeight="1">
      <c r="E6" s="1384"/>
      <c r="F6" s="1384"/>
      <c r="G6" s="1384"/>
      <c r="H6" s="1384"/>
      <c r="I6" s="1384"/>
      <c r="J6" s="1384"/>
      <c r="K6" s="171"/>
      <c r="L6" s="175"/>
      <c r="M6" s="171"/>
      <c r="N6" s="171"/>
      <c r="O6" s="172"/>
      <c r="P6" s="172"/>
      <c r="Q6" s="173"/>
      <c r="R6" s="173"/>
      <c r="S6" s="174"/>
      <c r="T6" s="174"/>
      <c r="U6" s="174"/>
      <c r="V6" s="174"/>
      <c r="W6" s="174"/>
      <c r="AV6" s="171"/>
      <c r="AW6" s="171"/>
      <c r="AX6" s="171"/>
      <c r="AY6" s="171"/>
      <c r="AZ6" s="171"/>
      <c r="BA6" s="171"/>
      <c r="BB6" s="171"/>
      <c r="BC6" s="171"/>
    </row>
    <row r="7" spans="1:65" ht="14.15" customHeight="1">
      <c r="E7" s="171"/>
      <c r="F7" s="171"/>
      <c r="G7" s="171"/>
      <c r="H7" s="171"/>
      <c r="I7" s="171"/>
      <c r="J7" s="171"/>
      <c r="K7" s="171"/>
      <c r="L7" s="175"/>
      <c r="N7" s="171"/>
      <c r="O7" s="172"/>
      <c r="P7" s="172"/>
      <c r="Q7" s="173"/>
      <c r="R7" s="176"/>
      <c r="S7" s="174"/>
      <c r="T7" s="174"/>
      <c r="U7" s="174"/>
      <c r="V7" s="174"/>
      <c r="W7" s="174"/>
      <c r="AV7" s="171"/>
      <c r="AW7" s="171"/>
      <c r="AX7" s="171"/>
      <c r="AY7" s="171"/>
      <c r="AZ7" s="171"/>
      <c r="BA7" s="171"/>
      <c r="BB7" s="171"/>
      <c r="BC7" s="171"/>
    </row>
    <row r="8" spans="1:65" ht="40.5" customHeight="1" thickBot="1">
      <c r="E8" s="1385" t="s">
        <v>8831</v>
      </c>
      <c r="F8" s="1385"/>
      <c r="O8" s="172"/>
      <c r="P8" s="172"/>
      <c r="Q8" s="174"/>
      <c r="R8" s="174"/>
      <c r="S8" s="177" t="s">
        <v>8832</v>
      </c>
      <c r="T8" s="177"/>
      <c r="U8" s="177"/>
      <c r="V8" s="177"/>
      <c r="W8" s="177"/>
    </row>
    <row r="9" spans="1:65" ht="27.75" customHeight="1" thickBot="1">
      <c r="E9" s="178"/>
      <c r="O9" s="174"/>
      <c r="P9" s="174"/>
      <c r="Q9" s="174"/>
      <c r="R9" s="174"/>
      <c r="S9" s="179">
        <v>18</v>
      </c>
      <c r="T9" s="180"/>
      <c r="U9" s="180"/>
      <c r="V9" s="180"/>
      <c r="W9" s="180"/>
      <c r="AL9" s="1386" t="s">
        <v>8833</v>
      </c>
      <c r="AM9" s="1387"/>
      <c r="AN9" s="1387"/>
      <c r="AO9" s="1387"/>
      <c r="AP9" s="1387"/>
      <c r="AQ9" s="1387"/>
      <c r="AR9" s="1387"/>
      <c r="AS9" s="1387"/>
      <c r="AT9" s="1387"/>
      <c r="AU9" s="1388"/>
      <c r="AV9" s="1389" t="s">
        <v>8834</v>
      </c>
      <c r="AW9" s="1390"/>
      <c r="AX9" s="1390"/>
      <c r="AY9" s="1390"/>
      <c r="AZ9" s="1390"/>
      <c r="BA9" s="1390"/>
      <c r="BB9" s="1391"/>
      <c r="BC9" s="1386" t="s">
        <v>8835</v>
      </c>
      <c r="BD9" s="1387"/>
      <c r="BE9" s="1387"/>
      <c r="BF9" s="1388"/>
    </row>
    <row r="10" spans="1:65" ht="29.25" customHeight="1" thickBot="1">
      <c r="C10" s="181"/>
      <c r="D10" s="1392" t="s">
        <v>8836</v>
      </c>
      <c r="E10" s="1395" t="s">
        <v>8837</v>
      </c>
      <c r="F10" s="1398" t="s">
        <v>8838</v>
      </c>
      <c r="G10" s="1401" t="s">
        <v>8839</v>
      </c>
      <c r="H10" s="1404" t="s">
        <v>8840</v>
      </c>
      <c r="I10" s="1407" t="s">
        <v>8841</v>
      </c>
      <c r="J10" s="1410" t="s">
        <v>8842</v>
      </c>
      <c r="K10" s="1413" t="s">
        <v>8843</v>
      </c>
      <c r="L10" s="1416" t="s">
        <v>3</v>
      </c>
      <c r="M10" s="1433" t="s">
        <v>8844</v>
      </c>
      <c r="N10" s="1469" t="s">
        <v>8845</v>
      </c>
      <c r="O10" s="1472" t="s">
        <v>8842</v>
      </c>
      <c r="P10" s="1474" t="s">
        <v>8846</v>
      </c>
      <c r="Q10" s="1433" t="s">
        <v>8847</v>
      </c>
      <c r="R10" s="1433" t="s">
        <v>8848</v>
      </c>
      <c r="S10" s="1419" t="s">
        <v>8849</v>
      </c>
      <c r="T10" s="1420"/>
      <c r="U10" s="1420"/>
      <c r="V10" s="1420"/>
      <c r="W10" s="1421"/>
      <c r="X10" s="1425" t="s">
        <v>8850</v>
      </c>
      <c r="Y10" s="1426"/>
      <c r="Z10" s="1426"/>
      <c r="AA10" s="1426"/>
      <c r="AB10" s="1427"/>
      <c r="AC10" s="1425" t="s">
        <v>8851</v>
      </c>
      <c r="AD10" s="1427"/>
      <c r="AE10" s="183"/>
      <c r="AF10" s="184"/>
      <c r="AG10" s="1428" t="s">
        <v>8852</v>
      </c>
      <c r="AH10" s="1429"/>
      <c r="AI10" s="1430"/>
      <c r="AJ10" s="185" t="s">
        <v>8853</v>
      </c>
      <c r="AL10" s="1431" t="s">
        <v>8842</v>
      </c>
      <c r="AM10" s="1433" t="s">
        <v>8854</v>
      </c>
      <c r="AN10" s="1416" t="s">
        <v>8855</v>
      </c>
      <c r="AO10" s="1413" t="s">
        <v>8856</v>
      </c>
      <c r="AP10" s="1413" t="s">
        <v>8857</v>
      </c>
      <c r="AQ10" s="1413" t="s">
        <v>8858</v>
      </c>
      <c r="AR10" s="1413" t="s">
        <v>8859</v>
      </c>
      <c r="AS10" s="1416" t="s">
        <v>8860</v>
      </c>
      <c r="AT10" s="1416" t="s">
        <v>8861</v>
      </c>
      <c r="AU10" s="1440" t="s">
        <v>8862</v>
      </c>
      <c r="AV10" s="186" t="s">
        <v>8847</v>
      </c>
      <c r="AW10" s="1443" t="s">
        <v>8863</v>
      </c>
      <c r="AX10" s="1444"/>
      <c r="AY10" s="1444"/>
      <c r="AZ10" s="1444"/>
      <c r="BA10" s="1445"/>
      <c r="BB10" s="187" t="s">
        <v>8864</v>
      </c>
      <c r="BC10" s="188"/>
      <c r="BD10" s="1416" t="s">
        <v>8865</v>
      </c>
      <c r="BE10" s="1446" t="s">
        <v>8866</v>
      </c>
      <c r="BF10" s="182" t="s">
        <v>8867</v>
      </c>
    </row>
    <row r="11" spans="1:65" ht="29.25" customHeight="1" thickBot="1">
      <c r="D11" s="1393"/>
      <c r="E11" s="1396"/>
      <c r="F11" s="1399"/>
      <c r="G11" s="1402"/>
      <c r="H11" s="1405"/>
      <c r="I11" s="1408"/>
      <c r="J11" s="1411"/>
      <c r="K11" s="1414"/>
      <c r="L11" s="1417"/>
      <c r="M11" s="1434"/>
      <c r="N11" s="1470"/>
      <c r="O11" s="1473"/>
      <c r="P11" s="1475"/>
      <c r="Q11" s="1434"/>
      <c r="R11" s="1434"/>
      <c r="S11" s="1422"/>
      <c r="T11" s="1423"/>
      <c r="U11" s="1423"/>
      <c r="V11" s="1423"/>
      <c r="W11" s="1424"/>
      <c r="X11" s="1449" t="s">
        <v>8868</v>
      </c>
      <c r="Y11" s="1450"/>
      <c r="Z11" s="1450"/>
      <c r="AA11" s="1450"/>
      <c r="AB11" s="191"/>
      <c r="AC11" s="192"/>
      <c r="AD11" s="192"/>
      <c r="AE11" s="193" t="s">
        <v>8869</v>
      </c>
      <c r="AF11" s="185" t="s">
        <v>8870</v>
      </c>
      <c r="AG11" s="194" t="s">
        <v>8871</v>
      </c>
      <c r="AH11" s="193" t="s">
        <v>8869</v>
      </c>
      <c r="AI11" s="185" t="s">
        <v>8870</v>
      </c>
      <c r="AJ11" s="195"/>
      <c r="AL11" s="1432"/>
      <c r="AM11" s="1434"/>
      <c r="AN11" s="1417"/>
      <c r="AO11" s="1414"/>
      <c r="AP11" s="1414"/>
      <c r="AQ11" s="1414"/>
      <c r="AR11" s="1414"/>
      <c r="AS11" s="1417"/>
      <c r="AT11" s="1417"/>
      <c r="AU11" s="1441"/>
      <c r="AV11" s="197"/>
      <c r="AW11" s="198"/>
      <c r="AX11" s="199"/>
      <c r="AY11" s="190"/>
      <c r="AZ11" s="200"/>
      <c r="BA11" s="196"/>
      <c r="BB11" s="201"/>
      <c r="BC11" s="202" t="s">
        <v>8845</v>
      </c>
      <c r="BD11" s="1417"/>
      <c r="BE11" s="1447"/>
      <c r="BF11" s="189" t="s">
        <v>6741</v>
      </c>
    </row>
    <row r="12" spans="1:65" ht="18.75" customHeight="1">
      <c r="C12" s="181"/>
      <c r="D12" s="1393"/>
      <c r="E12" s="1396"/>
      <c r="F12" s="1399"/>
      <c r="G12" s="1402"/>
      <c r="H12" s="1405"/>
      <c r="I12" s="1408"/>
      <c r="J12" s="1411"/>
      <c r="K12" s="1414"/>
      <c r="L12" s="1417"/>
      <c r="M12" s="1434"/>
      <c r="N12" s="1470"/>
      <c r="O12" s="1477" t="s">
        <v>8872</v>
      </c>
      <c r="P12" s="1475"/>
      <c r="Q12" s="1434"/>
      <c r="R12" s="1434"/>
      <c r="S12" s="1436" t="s">
        <v>8873</v>
      </c>
      <c r="T12" s="1438" t="s">
        <v>8874</v>
      </c>
      <c r="U12" s="1436" t="s">
        <v>8875</v>
      </c>
      <c r="V12" s="1436" t="s">
        <v>8876</v>
      </c>
      <c r="W12" s="1436" t="s">
        <v>8877</v>
      </c>
      <c r="X12" s="203" t="s">
        <v>8878</v>
      </c>
      <c r="Y12" s="1459" t="s">
        <v>8879</v>
      </c>
      <c r="Z12" s="1460"/>
      <c r="AA12" s="189" t="s">
        <v>8880</v>
      </c>
      <c r="AB12" s="204" t="s">
        <v>8881</v>
      </c>
      <c r="AC12" s="1461" t="s">
        <v>8882</v>
      </c>
      <c r="AD12" s="1411"/>
      <c r="AE12" s="205"/>
      <c r="AF12" s="205"/>
      <c r="AG12" s="194"/>
      <c r="AH12" s="205"/>
      <c r="AI12" s="206"/>
      <c r="AJ12" s="207"/>
      <c r="AL12" s="1462" t="s">
        <v>8872</v>
      </c>
      <c r="AM12" s="1434"/>
      <c r="AN12" s="1417"/>
      <c r="AO12" s="1414"/>
      <c r="AP12" s="1414"/>
      <c r="AQ12" s="1414"/>
      <c r="AR12" s="1414"/>
      <c r="AS12" s="1417"/>
      <c r="AT12" s="1417"/>
      <c r="AU12" s="1441"/>
      <c r="AV12" s="208"/>
      <c r="AW12" s="209" t="s">
        <v>8883</v>
      </c>
      <c r="AX12" s="190" t="s">
        <v>8857</v>
      </c>
      <c r="AY12" s="190" t="s">
        <v>8884</v>
      </c>
      <c r="AZ12" s="200" t="s">
        <v>8885</v>
      </c>
      <c r="BA12" s="196" t="s">
        <v>8834</v>
      </c>
      <c r="BB12" s="201" t="s">
        <v>8886</v>
      </c>
      <c r="BC12" s="202"/>
      <c r="BD12" s="1417"/>
      <c r="BE12" s="1447"/>
      <c r="BF12" s="189"/>
    </row>
    <row r="13" spans="1:65" ht="25.5" customHeight="1" thickBot="1">
      <c r="D13" s="1394"/>
      <c r="E13" s="1397"/>
      <c r="F13" s="1400"/>
      <c r="G13" s="1403"/>
      <c r="H13" s="1406"/>
      <c r="I13" s="1409"/>
      <c r="J13" s="1412"/>
      <c r="K13" s="1415"/>
      <c r="L13" s="1418"/>
      <c r="M13" s="1435"/>
      <c r="N13" s="1471"/>
      <c r="O13" s="1478"/>
      <c r="P13" s="1476"/>
      <c r="Q13" s="1435"/>
      <c r="R13" s="1435"/>
      <c r="S13" s="1437"/>
      <c r="T13" s="1439"/>
      <c r="U13" s="1437"/>
      <c r="V13" s="1437"/>
      <c r="W13" s="1437"/>
      <c r="X13" s="212" t="s">
        <v>8887</v>
      </c>
      <c r="Y13" s="213" t="s">
        <v>8888</v>
      </c>
      <c r="Z13" s="214" t="s">
        <v>8889</v>
      </c>
      <c r="AA13" s="210" t="s">
        <v>8890</v>
      </c>
      <c r="AB13" s="215" t="s">
        <v>8871</v>
      </c>
      <c r="AC13" s="213" t="s">
        <v>8888</v>
      </c>
      <c r="AD13" s="214" t="s">
        <v>8889</v>
      </c>
      <c r="AE13" s="216"/>
      <c r="AF13" s="216"/>
      <c r="AG13" s="217" t="s">
        <v>8891</v>
      </c>
      <c r="AH13" s="216"/>
      <c r="AI13" s="218"/>
      <c r="AJ13" s="219"/>
      <c r="AL13" s="1463"/>
      <c r="AM13" s="1435"/>
      <c r="AN13" s="1418"/>
      <c r="AO13" s="1415"/>
      <c r="AP13" s="1415"/>
      <c r="AQ13" s="1415"/>
      <c r="AR13" s="1415"/>
      <c r="AS13" s="1418"/>
      <c r="AT13" s="1418"/>
      <c r="AU13" s="1442"/>
      <c r="AV13" s="221"/>
      <c r="AW13" s="222" t="s">
        <v>8892</v>
      </c>
      <c r="AX13" s="211" t="s">
        <v>8893</v>
      </c>
      <c r="AY13" s="211" t="s">
        <v>8893</v>
      </c>
      <c r="AZ13" s="223" t="s">
        <v>8893</v>
      </c>
      <c r="BA13" s="220" t="s">
        <v>8894</v>
      </c>
      <c r="BB13" s="224" t="s">
        <v>8895</v>
      </c>
      <c r="BC13" s="225"/>
      <c r="BD13" s="1418"/>
      <c r="BE13" s="1448"/>
      <c r="BF13" s="210"/>
    </row>
    <row r="14" spans="1:65" ht="36.75" hidden="1" customHeight="1">
      <c r="A14" s="163" t="s">
        <v>8896</v>
      </c>
      <c r="B14" s="163" t="s">
        <v>297</v>
      </c>
      <c r="C14" s="226" t="s">
        <v>8897</v>
      </c>
      <c r="D14" s="1496" t="s">
        <v>8897</v>
      </c>
      <c r="E14" s="227"/>
      <c r="F14" s="228">
        <v>1</v>
      </c>
      <c r="G14" s="229"/>
      <c r="H14" s="230"/>
      <c r="I14" s="231"/>
      <c r="J14" s="232" t="s">
        <v>297</v>
      </c>
      <c r="K14" s="233" t="s">
        <v>296</v>
      </c>
      <c r="L14" s="234" t="s">
        <v>5708</v>
      </c>
      <c r="M14" s="233">
        <v>1</v>
      </c>
      <c r="N14" s="235">
        <v>54</v>
      </c>
      <c r="O14" s="236" t="s">
        <v>4580</v>
      </c>
      <c r="P14" s="236">
        <v>3705</v>
      </c>
      <c r="Q14" s="233">
        <v>20</v>
      </c>
      <c r="R14" s="237">
        <v>0</v>
      </c>
      <c r="S14" s="238">
        <v>0</v>
      </c>
      <c r="T14" s="239">
        <v>0</v>
      </c>
      <c r="U14" s="240">
        <v>0</v>
      </c>
      <c r="V14" s="241">
        <v>0</v>
      </c>
      <c r="W14" s="242">
        <v>0</v>
      </c>
      <c r="X14" s="243">
        <v>0</v>
      </c>
      <c r="Y14" s="244">
        <v>4</v>
      </c>
      <c r="Z14" s="245">
        <v>0</v>
      </c>
      <c r="AA14" s="246">
        <v>0</v>
      </c>
      <c r="AB14" s="240">
        <v>1</v>
      </c>
      <c r="AC14" s="247" t="s">
        <v>8898</v>
      </c>
      <c r="AD14" s="248" t="s">
        <v>8898</v>
      </c>
      <c r="AE14" s="238">
        <v>1</v>
      </c>
      <c r="AF14" s="238">
        <v>0</v>
      </c>
      <c r="AG14" s="249">
        <v>0</v>
      </c>
      <c r="AH14" s="250">
        <v>0</v>
      </c>
      <c r="AI14" s="251">
        <v>0</v>
      </c>
      <c r="AJ14" s="252" t="s">
        <v>6786</v>
      </c>
      <c r="AK14" s="253"/>
      <c r="AL14" s="254" t="str">
        <f>O14</f>
        <v>HAN004</v>
      </c>
      <c r="AM14" s="255">
        <v>1</v>
      </c>
      <c r="AN14" s="256" t="s">
        <v>8899</v>
      </c>
      <c r="AO14" s="257">
        <v>1.4</v>
      </c>
      <c r="AP14" s="255">
        <v>556</v>
      </c>
      <c r="AQ14" s="255">
        <v>144</v>
      </c>
      <c r="AR14" s="258">
        <f>(AO14*AP14*AQ14)*7.85/1000000</f>
        <v>0.87990335999999991</v>
      </c>
      <c r="AS14" s="259">
        <v>1156.7072032095393</v>
      </c>
      <c r="AT14" s="255">
        <v>508</v>
      </c>
      <c r="AU14" s="260">
        <v>0.62506864390198502</v>
      </c>
      <c r="AV14" s="254">
        <v>20</v>
      </c>
      <c r="AW14" s="261">
        <v>2546</v>
      </c>
      <c r="AX14" s="255">
        <v>370</v>
      </c>
      <c r="AY14" s="262">
        <v>570</v>
      </c>
      <c r="AZ14" s="262">
        <v>200</v>
      </c>
      <c r="BA14" s="263">
        <v>4.2200000000000001E-2</v>
      </c>
      <c r="BB14" s="263">
        <v>2.085</v>
      </c>
      <c r="BC14" s="264">
        <v>56</v>
      </c>
      <c r="BD14" s="265">
        <v>0.55000000000000004</v>
      </c>
      <c r="BE14" s="266">
        <v>0.55000000000000004</v>
      </c>
      <c r="BF14" s="255">
        <v>1</v>
      </c>
    </row>
    <row r="15" spans="1:65" ht="35.25" hidden="1" customHeight="1">
      <c r="A15" s="163" t="s">
        <v>8900</v>
      </c>
      <c r="B15" s="163" t="s">
        <v>321</v>
      </c>
      <c r="C15" s="226" t="s">
        <v>8897</v>
      </c>
      <c r="D15" s="1497"/>
      <c r="E15" s="267"/>
      <c r="F15" s="268">
        <v>2</v>
      </c>
      <c r="G15" s="269"/>
      <c r="H15" s="270"/>
      <c r="I15" s="271"/>
      <c r="J15" s="272" t="s">
        <v>321</v>
      </c>
      <c r="K15" s="273" t="s">
        <v>320</v>
      </c>
      <c r="L15" s="274" t="s">
        <v>5709</v>
      </c>
      <c r="M15" s="273">
        <v>1</v>
      </c>
      <c r="N15" s="235">
        <v>54</v>
      </c>
      <c r="O15" s="275" t="s">
        <v>4580</v>
      </c>
      <c r="P15" s="236">
        <v>3705</v>
      </c>
      <c r="Q15" s="273">
        <v>20</v>
      </c>
      <c r="R15" s="237">
        <v>0</v>
      </c>
      <c r="S15" s="276">
        <v>0</v>
      </c>
      <c r="T15" s="239">
        <v>0</v>
      </c>
      <c r="U15" s="240">
        <v>0</v>
      </c>
      <c r="V15" s="241">
        <v>0</v>
      </c>
      <c r="W15" s="277">
        <v>0</v>
      </c>
      <c r="X15" s="243">
        <v>0</v>
      </c>
      <c r="Y15" s="244">
        <v>4</v>
      </c>
      <c r="Z15" s="245">
        <v>0</v>
      </c>
      <c r="AA15" s="246">
        <v>0</v>
      </c>
      <c r="AB15" s="240">
        <v>1</v>
      </c>
      <c r="AC15" s="247" t="s">
        <v>8898</v>
      </c>
      <c r="AD15" s="248" t="s">
        <v>8898</v>
      </c>
      <c r="AE15" s="276">
        <v>1</v>
      </c>
      <c r="AF15" s="238">
        <v>0</v>
      </c>
      <c r="AG15" s="249">
        <v>0</v>
      </c>
      <c r="AH15" s="278">
        <v>0</v>
      </c>
      <c r="AI15" s="279">
        <v>0</v>
      </c>
      <c r="AJ15" s="252" t="s">
        <v>6786</v>
      </c>
      <c r="AK15" s="253"/>
      <c r="AL15" s="254" t="str">
        <f t="shared" ref="AL15:AM78" si="0">O15</f>
        <v>HAN004</v>
      </c>
      <c r="AM15" s="255">
        <v>1</v>
      </c>
      <c r="AN15" s="280" t="s">
        <v>8899</v>
      </c>
      <c r="AO15" s="281">
        <v>1.4</v>
      </c>
      <c r="AP15" s="282">
        <v>556</v>
      </c>
      <c r="AQ15" s="282">
        <v>144</v>
      </c>
      <c r="AR15" s="283">
        <f t="shared" ref="AR15" si="1">(AO15*AP15*AQ15)*7.85/1000000</f>
        <v>0.87990335999999991</v>
      </c>
      <c r="AS15" s="284">
        <v>1156.7072032095393</v>
      </c>
      <c r="AT15" s="282">
        <v>508</v>
      </c>
      <c r="AU15" s="285">
        <v>0.62506864390198502</v>
      </c>
      <c r="AV15" s="286">
        <v>20</v>
      </c>
      <c r="AW15" s="287">
        <v>2546</v>
      </c>
      <c r="AX15" s="282">
        <v>370</v>
      </c>
      <c r="AY15" s="288">
        <v>570</v>
      </c>
      <c r="AZ15" s="288">
        <v>200</v>
      </c>
      <c r="BA15" s="289">
        <v>4.2200000000000001E-2</v>
      </c>
      <c r="BB15" s="289">
        <v>2.085</v>
      </c>
      <c r="BC15" s="290">
        <v>56</v>
      </c>
      <c r="BD15" s="291">
        <v>0.55000000000000004</v>
      </c>
      <c r="BE15" s="292">
        <v>0.55000000000000004</v>
      </c>
      <c r="BF15" s="282">
        <v>1</v>
      </c>
    </row>
    <row r="16" spans="1:65" ht="35.25" customHeight="1">
      <c r="A16" s="163" t="s">
        <v>8901</v>
      </c>
      <c r="B16" s="163" t="s">
        <v>424</v>
      </c>
      <c r="C16" s="226" t="s">
        <v>8897</v>
      </c>
      <c r="D16" s="1497"/>
      <c r="E16" s="1464" t="s">
        <v>8902</v>
      </c>
      <c r="F16" s="293">
        <v>3</v>
      </c>
      <c r="G16" s="294"/>
      <c r="H16" s="294"/>
      <c r="I16" s="295"/>
      <c r="J16" s="296" t="s">
        <v>424</v>
      </c>
      <c r="K16" s="297" t="s">
        <v>423</v>
      </c>
      <c r="L16" s="298" t="s">
        <v>5816</v>
      </c>
      <c r="M16" s="297">
        <v>1</v>
      </c>
      <c r="N16" s="299">
        <v>54</v>
      </c>
      <c r="O16" s="300" t="s">
        <v>4578</v>
      </c>
      <c r="P16" s="301">
        <v>1500</v>
      </c>
      <c r="Q16" s="297">
        <v>20</v>
      </c>
      <c r="R16" s="237">
        <v>23660</v>
      </c>
      <c r="S16" s="302">
        <v>1314.4444444444443</v>
      </c>
      <c r="T16" s="303">
        <v>65.722222222222214</v>
      </c>
      <c r="U16" s="304">
        <v>1314.4444444444443</v>
      </c>
      <c r="V16" s="305">
        <v>0.62405615999999997</v>
      </c>
      <c r="W16" s="306">
        <v>1.9519499999999999</v>
      </c>
      <c r="X16" s="307">
        <v>80.693693693693689</v>
      </c>
      <c r="Y16" s="308">
        <v>4</v>
      </c>
      <c r="Z16" s="309">
        <v>17</v>
      </c>
      <c r="AA16" s="297">
        <v>16</v>
      </c>
      <c r="AB16" s="310">
        <v>114</v>
      </c>
      <c r="AC16" s="311" t="s">
        <v>8898</v>
      </c>
      <c r="AD16" s="311" t="s">
        <v>8898</v>
      </c>
      <c r="AE16" s="312">
        <v>107</v>
      </c>
      <c r="AF16" s="250">
        <v>7</v>
      </c>
      <c r="AG16" s="313">
        <v>80</v>
      </c>
      <c r="AH16" s="314">
        <v>80</v>
      </c>
      <c r="AI16" s="315">
        <v>0</v>
      </c>
      <c r="AJ16" s="1467" t="s">
        <v>8903</v>
      </c>
      <c r="AK16" s="253" t="s">
        <v>424</v>
      </c>
      <c r="AL16" s="254" t="str">
        <f t="shared" si="0"/>
        <v>TTC003</v>
      </c>
      <c r="AM16" s="255">
        <f t="shared" si="0"/>
        <v>1500</v>
      </c>
      <c r="AN16" s="316" t="s">
        <v>8899</v>
      </c>
      <c r="AO16" s="317">
        <v>1.4</v>
      </c>
      <c r="AP16" s="300">
        <v>432</v>
      </c>
      <c r="AQ16" s="300">
        <v>150</v>
      </c>
      <c r="AR16" s="318">
        <f>((AO16*AP16*AQ16)*7.85/1000000)/M16</f>
        <v>0.71215200000000001</v>
      </c>
      <c r="AS16" s="319">
        <v>966.55177478153405</v>
      </c>
      <c r="AT16" s="300">
        <v>508</v>
      </c>
      <c r="AU16" s="320">
        <v>0.65997146676552187</v>
      </c>
      <c r="AV16" s="321">
        <v>20</v>
      </c>
      <c r="AW16" s="322">
        <v>1026</v>
      </c>
      <c r="AX16" s="300">
        <v>330</v>
      </c>
      <c r="AY16" s="323">
        <v>500</v>
      </c>
      <c r="AZ16" s="323">
        <v>180</v>
      </c>
      <c r="BA16" s="324">
        <v>2.9700000000000001E-2</v>
      </c>
      <c r="BB16" s="324">
        <v>1.885</v>
      </c>
      <c r="BC16" s="325">
        <v>60</v>
      </c>
      <c r="BD16" s="326">
        <v>0.47</v>
      </c>
      <c r="BE16" s="327">
        <v>0.47</v>
      </c>
      <c r="BF16" s="300">
        <v>3</v>
      </c>
      <c r="BG16" s="163" t="s">
        <v>8904</v>
      </c>
      <c r="BH16" s="163">
        <v>1</v>
      </c>
      <c r="BK16" s="163">
        <v>0</v>
      </c>
      <c r="BM16" s="163" t="s">
        <v>8905</v>
      </c>
    </row>
    <row r="17" spans="1:65" ht="35.25" customHeight="1">
      <c r="A17" s="163" t="s">
        <v>8906</v>
      </c>
      <c r="B17" s="163" t="s">
        <v>426</v>
      </c>
      <c r="C17" s="226" t="s">
        <v>8907</v>
      </c>
      <c r="D17" s="1497"/>
      <c r="E17" s="1465">
        <v>0</v>
      </c>
      <c r="F17" s="293">
        <v>3</v>
      </c>
      <c r="G17" s="328"/>
      <c r="H17" s="328"/>
      <c r="I17" s="329"/>
      <c r="J17" s="330" t="s">
        <v>426</v>
      </c>
      <c r="K17" s="331" t="s">
        <v>425</v>
      </c>
      <c r="L17" s="332" t="s">
        <v>8908</v>
      </c>
      <c r="M17" s="331">
        <v>1</v>
      </c>
      <c r="N17" s="299">
        <v>54</v>
      </c>
      <c r="O17" s="333" t="s">
        <v>4578</v>
      </c>
      <c r="P17" s="334">
        <v>1500</v>
      </c>
      <c r="Q17" s="331">
        <v>20</v>
      </c>
      <c r="R17" s="237">
        <v>7420</v>
      </c>
      <c r="S17" s="302">
        <v>412.22222222222223</v>
      </c>
      <c r="T17" s="335">
        <v>20.611111111111111</v>
      </c>
      <c r="U17" s="336">
        <v>412.22222222222223</v>
      </c>
      <c r="V17" s="305">
        <v>0.19570992000000001</v>
      </c>
      <c r="W17" s="337">
        <v>0.61214999999999997</v>
      </c>
      <c r="X17" s="307">
        <v>50.612612612612615</v>
      </c>
      <c r="Y17" s="338">
        <v>4</v>
      </c>
      <c r="Z17" s="339">
        <v>6</v>
      </c>
      <c r="AA17" s="297">
        <v>5</v>
      </c>
      <c r="AB17" s="310">
        <v>62</v>
      </c>
      <c r="AC17" s="340" t="s">
        <v>8898</v>
      </c>
      <c r="AD17" s="340" t="s">
        <v>8898</v>
      </c>
      <c r="AE17" s="341">
        <v>60</v>
      </c>
      <c r="AF17" s="250">
        <v>2</v>
      </c>
      <c r="AG17" s="313">
        <v>50</v>
      </c>
      <c r="AH17" s="341">
        <v>50</v>
      </c>
      <c r="AI17" s="342">
        <v>0</v>
      </c>
      <c r="AJ17" s="1468"/>
      <c r="AK17" s="253" t="s">
        <v>426</v>
      </c>
      <c r="AL17" s="254" t="str">
        <f t="shared" si="0"/>
        <v>TTC003</v>
      </c>
      <c r="AM17" s="255">
        <f t="shared" si="0"/>
        <v>1500</v>
      </c>
      <c r="AN17" s="343" t="s">
        <v>8899</v>
      </c>
      <c r="AO17" s="344">
        <v>1.4</v>
      </c>
      <c r="AP17" s="333">
        <v>432</v>
      </c>
      <c r="AQ17" s="333">
        <v>150</v>
      </c>
      <c r="AR17" s="345">
        <f t="shared" ref="AR17:AR80" si="2">((AO17*AP17*AQ17)*7.85/1000000)/M17</f>
        <v>0.71215200000000001</v>
      </c>
      <c r="AS17" s="346">
        <v>966.55177478153405</v>
      </c>
      <c r="AT17" s="333">
        <v>508</v>
      </c>
      <c r="AU17" s="347">
        <v>0.65997146676552187</v>
      </c>
      <c r="AV17" s="348">
        <v>20</v>
      </c>
      <c r="AW17" s="349">
        <v>1026</v>
      </c>
      <c r="AX17" s="333">
        <v>330</v>
      </c>
      <c r="AY17" s="350">
        <v>500</v>
      </c>
      <c r="AZ17" s="350">
        <v>180</v>
      </c>
      <c r="BA17" s="351">
        <v>2.9700000000000001E-2</v>
      </c>
      <c r="BB17" s="351">
        <v>1.885</v>
      </c>
      <c r="BC17" s="352">
        <v>0</v>
      </c>
      <c r="BD17" s="353">
        <v>0.47</v>
      </c>
      <c r="BE17" s="354">
        <v>0.47</v>
      </c>
      <c r="BF17" s="333">
        <v>3</v>
      </c>
      <c r="BG17" s="163" t="s">
        <v>8904</v>
      </c>
      <c r="BH17" s="163">
        <v>1</v>
      </c>
      <c r="BK17" s="163">
        <v>0</v>
      </c>
      <c r="BM17" s="163" t="s">
        <v>8905</v>
      </c>
    </row>
    <row r="18" spans="1:65" ht="35.25" hidden="1" customHeight="1">
      <c r="A18" s="163" t="s">
        <v>8909</v>
      </c>
      <c r="B18" s="163" t="s">
        <v>422</v>
      </c>
      <c r="C18" s="226" t="s">
        <v>8897</v>
      </c>
      <c r="D18" s="1497"/>
      <c r="E18" s="1466">
        <v>0</v>
      </c>
      <c r="F18" s="293">
        <v>0</v>
      </c>
      <c r="G18" s="355"/>
      <c r="H18" s="231"/>
      <c r="I18" s="231"/>
      <c r="J18" s="356" t="s">
        <v>422</v>
      </c>
      <c r="K18" s="357" t="s">
        <v>421</v>
      </c>
      <c r="L18" s="358" t="s">
        <v>5816</v>
      </c>
      <c r="M18" s="357">
        <v>1</v>
      </c>
      <c r="N18" s="359">
        <v>54</v>
      </c>
      <c r="O18" s="360" t="s">
        <v>4578</v>
      </c>
      <c r="P18" s="361">
        <v>1500</v>
      </c>
      <c r="Q18" s="357">
        <v>20</v>
      </c>
      <c r="R18" s="237">
        <v>0</v>
      </c>
      <c r="S18" s="302">
        <v>0</v>
      </c>
      <c r="T18" s="362">
        <v>0</v>
      </c>
      <c r="U18" s="363">
        <v>0</v>
      </c>
      <c r="V18" s="305">
        <v>0</v>
      </c>
      <c r="W18" s="364">
        <v>0</v>
      </c>
      <c r="X18" s="365">
        <v>0</v>
      </c>
      <c r="Y18" s="366">
        <v>4</v>
      </c>
      <c r="Z18" s="367">
        <v>0</v>
      </c>
      <c r="AA18" s="297">
        <v>0</v>
      </c>
      <c r="AB18" s="363">
        <v>1</v>
      </c>
      <c r="AC18" s="368"/>
      <c r="AD18" s="368" t="s">
        <v>8898</v>
      </c>
      <c r="AE18" s="369">
        <v>1</v>
      </c>
      <c r="AF18" s="250">
        <v>0</v>
      </c>
      <c r="AG18" s="313">
        <v>0</v>
      </c>
      <c r="AH18" s="370">
        <v>0</v>
      </c>
      <c r="AI18" s="371">
        <v>0</v>
      </c>
      <c r="AJ18" s="372" t="s">
        <v>8910</v>
      </c>
      <c r="AK18" s="253" t="s">
        <v>422</v>
      </c>
      <c r="AL18" s="254" t="str">
        <f t="shared" si="0"/>
        <v>TTC003</v>
      </c>
      <c r="AM18" s="255">
        <f t="shared" si="0"/>
        <v>1500</v>
      </c>
      <c r="AN18" s="373" t="s">
        <v>8899</v>
      </c>
      <c r="AO18" s="374">
        <v>1.4</v>
      </c>
      <c r="AP18" s="375">
        <v>432</v>
      </c>
      <c r="AQ18" s="375">
        <v>150</v>
      </c>
      <c r="AR18" s="376">
        <f t="shared" si="2"/>
        <v>0.71215200000000001</v>
      </c>
      <c r="AS18" s="377">
        <v>966.55177478153405</v>
      </c>
      <c r="AT18" s="375">
        <v>508</v>
      </c>
      <c r="AU18" s="378">
        <v>0.65997146676552187</v>
      </c>
      <c r="AV18" s="379">
        <v>20</v>
      </c>
      <c r="AW18" s="380">
        <v>1026</v>
      </c>
      <c r="AX18" s="375">
        <v>330</v>
      </c>
      <c r="AY18" s="381">
        <v>500</v>
      </c>
      <c r="AZ18" s="381">
        <v>180</v>
      </c>
      <c r="BA18" s="382">
        <v>2.9700000000000001E-2</v>
      </c>
      <c r="BB18" s="382">
        <v>1.885</v>
      </c>
      <c r="BC18" s="264">
        <v>60</v>
      </c>
      <c r="BD18" s="383">
        <v>0.47</v>
      </c>
      <c r="BE18" s="384">
        <v>0.47</v>
      </c>
      <c r="BF18" s="375">
        <v>3</v>
      </c>
      <c r="BG18" s="163" t="s">
        <v>8904</v>
      </c>
      <c r="BH18" s="163">
        <v>1</v>
      </c>
      <c r="BK18" s="163">
        <v>0</v>
      </c>
      <c r="BM18" s="163" t="s">
        <v>8905</v>
      </c>
    </row>
    <row r="19" spans="1:65" ht="35.25" customHeight="1">
      <c r="A19" s="163" t="s">
        <v>8911</v>
      </c>
      <c r="B19" s="163" t="s">
        <v>438</v>
      </c>
      <c r="C19" s="226" t="s">
        <v>8897</v>
      </c>
      <c r="D19" s="1497"/>
      <c r="E19" s="1464" t="s">
        <v>8902</v>
      </c>
      <c r="F19" s="293">
        <v>4</v>
      </c>
      <c r="G19" s="294"/>
      <c r="H19" s="294"/>
      <c r="I19" s="295"/>
      <c r="J19" s="296" t="s">
        <v>438</v>
      </c>
      <c r="K19" s="297" t="s">
        <v>437</v>
      </c>
      <c r="L19" s="298" t="s">
        <v>5787</v>
      </c>
      <c r="M19" s="297">
        <v>1</v>
      </c>
      <c r="N19" s="299">
        <v>54</v>
      </c>
      <c r="O19" s="300" t="s">
        <v>4578</v>
      </c>
      <c r="P19" s="301">
        <v>1500</v>
      </c>
      <c r="Q19" s="297">
        <v>20</v>
      </c>
      <c r="R19" s="237">
        <v>23552</v>
      </c>
      <c r="S19" s="302">
        <v>1308.4444444444443</v>
      </c>
      <c r="T19" s="303">
        <v>65.422222222222217</v>
      </c>
      <c r="U19" s="304">
        <v>1308.4444444444443</v>
      </c>
      <c r="V19" s="305">
        <v>0.62120755199999989</v>
      </c>
      <c r="W19" s="306">
        <v>1.9430399999999999</v>
      </c>
      <c r="X19" s="307">
        <v>80.621068268423429</v>
      </c>
      <c r="Y19" s="308">
        <v>4</v>
      </c>
      <c r="Z19" s="309">
        <v>17</v>
      </c>
      <c r="AA19" s="297">
        <v>16</v>
      </c>
      <c r="AB19" s="310">
        <v>114</v>
      </c>
      <c r="AC19" s="311" t="s">
        <v>8898</v>
      </c>
      <c r="AD19" s="311" t="s">
        <v>8898</v>
      </c>
      <c r="AE19" s="312">
        <v>107</v>
      </c>
      <c r="AF19" s="250">
        <v>7</v>
      </c>
      <c r="AG19" s="313">
        <v>80</v>
      </c>
      <c r="AH19" s="314">
        <v>80</v>
      </c>
      <c r="AI19" s="315">
        <v>0</v>
      </c>
      <c r="AJ19" s="1467" t="s">
        <v>8903</v>
      </c>
      <c r="AK19" s="253" t="s">
        <v>438</v>
      </c>
      <c r="AL19" s="254" t="str">
        <f t="shared" si="0"/>
        <v>TTC003</v>
      </c>
      <c r="AM19" s="255">
        <f t="shared" si="0"/>
        <v>1500</v>
      </c>
      <c r="AN19" s="316" t="s">
        <v>8899</v>
      </c>
      <c r="AO19" s="317">
        <v>1.4</v>
      </c>
      <c r="AP19" s="300">
        <v>432</v>
      </c>
      <c r="AQ19" s="300">
        <v>150</v>
      </c>
      <c r="AR19" s="318">
        <f t="shared" si="2"/>
        <v>0.71215200000000001</v>
      </c>
      <c r="AS19" s="319">
        <v>966.55177478153405</v>
      </c>
      <c r="AT19" s="300">
        <v>508</v>
      </c>
      <c r="AU19" s="320">
        <v>0.65997146676552187</v>
      </c>
      <c r="AV19" s="321">
        <v>20</v>
      </c>
      <c r="AW19" s="322">
        <v>1026</v>
      </c>
      <c r="AX19" s="300">
        <v>330</v>
      </c>
      <c r="AY19" s="323">
        <v>500</v>
      </c>
      <c r="AZ19" s="323">
        <v>180</v>
      </c>
      <c r="BA19" s="324">
        <v>2.9700000000000001E-2</v>
      </c>
      <c r="BB19" s="324">
        <v>1.885</v>
      </c>
      <c r="BC19" s="325">
        <v>60</v>
      </c>
      <c r="BD19" s="326">
        <v>0.47</v>
      </c>
      <c r="BE19" s="327">
        <v>0.47</v>
      </c>
      <c r="BF19" s="300">
        <v>3</v>
      </c>
      <c r="BG19" s="163" t="s">
        <v>8904</v>
      </c>
      <c r="BH19" s="163">
        <v>1</v>
      </c>
      <c r="BK19" s="163">
        <v>0</v>
      </c>
      <c r="BM19" s="163" t="s">
        <v>8905</v>
      </c>
    </row>
    <row r="20" spans="1:65" ht="35.25" customHeight="1">
      <c r="A20" s="163" t="s">
        <v>8912</v>
      </c>
      <c r="B20" s="163" t="s">
        <v>440</v>
      </c>
      <c r="C20" s="226" t="s">
        <v>8907</v>
      </c>
      <c r="D20" s="1497"/>
      <c r="E20" s="1465">
        <v>0</v>
      </c>
      <c r="F20" s="293">
        <v>4</v>
      </c>
      <c r="G20" s="328"/>
      <c r="H20" s="328"/>
      <c r="I20" s="329"/>
      <c r="J20" s="330" t="s">
        <v>440</v>
      </c>
      <c r="K20" s="331" t="s">
        <v>439</v>
      </c>
      <c r="L20" s="332" t="s">
        <v>8913</v>
      </c>
      <c r="M20" s="331">
        <v>1</v>
      </c>
      <c r="N20" s="299">
        <v>54</v>
      </c>
      <c r="O20" s="333" t="s">
        <v>4578</v>
      </c>
      <c r="P20" s="334">
        <v>1500</v>
      </c>
      <c r="Q20" s="331">
        <v>20</v>
      </c>
      <c r="R20" s="237">
        <v>7414</v>
      </c>
      <c r="S20" s="302">
        <v>411.88888888888891</v>
      </c>
      <c r="T20" s="335">
        <v>20.594444444444445</v>
      </c>
      <c r="U20" s="336">
        <v>411.88888888888891</v>
      </c>
      <c r="V20" s="305">
        <v>0.19555166399999999</v>
      </c>
      <c r="W20" s="337">
        <v>0.61165500000000006</v>
      </c>
      <c r="X20" s="307">
        <v>50.757863463153136</v>
      </c>
      <c r="Y20" s="338">
        <v>4</v>
      </c>
      <c r="Z20" s="339">
        <v>6</v>
      </c>
      <c r="AA20" s="297">
        <v>5</v>
      </c>
      <c r="AB20" s="310">
        <v>62</v>
      </c>
      <c r="AC20" s="340" t="s">
        <v>8898</v>
      </c>
      <c r="AD20" s="340" t="s">
        <v>8898</v>
      </c>
      <c r="AE20" s="341">
        <v>60</v>
      </c>
      <c r="AF20" s="250">
        <v>2</v>
      </c>
      <c r="AG20" s="313">
        <v>50</v>
      </c>
      <c r="AH20" s="341">
        <v>50</v>
      </c>
      <c r="AI20" s="342">
        <v>0</v>
      </c>
      <c r="AJ20" s="1468"/>
      <c r="AK20" s="253" t="s">
        <v>440</v>
      </c>
      <c r="AL20" s="254" t="str">
        <f t="shared" si="0"/>
        <v>TTC003</v>
      </c>
      <c r="AM20" s="255">
        <f t="shared" si="0"/>
        <v>1500</v>
      </c>
      <c r="AN20" s="343" t="s">
        <v>8899</v>
      </c>
      <c r="AO20" s="344">
        <v>1.4</v>
      </c>
      <c r="AP20" s="333">
        <v>432</v>
      </c>
      <c r="AQ20" s="333">
        <v>150</v>
      </c>
      <c r="AR20" s="345">
        <f t="shared" si="2"/>
        <v>0.71215200000000001</v>
      </c>
      <c r="AS20" s="346">
        <v>966.55177478153405</v>
      </c>
      <c r="AT20" s="333">
        <v>508</v>
      </c>
      <c r="AU20" s="347">
        <v>0.65997146676552187</v>
      </c>
      <c r="AV20" s="348">
        <v>20</v>
      </c>
      <c r="AW20" s="349">
        <v>1026</v>
      </c>
      <c r="AX20" s="333">
        <v>330</v>
      </c>
      <c r="AY20" s="350">
        <v>500</v>
      </c>
      <c r="AZ20" s="350">
        <v>180</v>
      </c>
      <c r="BA20" s="351">
        <v>2.9700000000000001E-2</v>
      </c>
      <c r="BB20" s="351">
        <v>1.885</v>
      </c>
      <c r="BC20" s="352">
        <v>0</v>
      </c>
      <c r="BD20" s="353">
        <v>0.47</v>
      </c>
      <c r="BE20" s="354">
        <v>0.47</v>
      </c>
      <c r="BF20" s="333">
        <v>3</v>
      </c>
      <c r="BG20" s="163" t="s">
        <v>8904</v>
      </c>
      <c r="BH20" s="163">
        <v>1</v>
      </c>
      <c r="BK20" s="163">
        <v>0</v>
      </c>
      <c r="BM20" s="163" t="s">
        <v>8905</v>
      </c>
    </row>
    <row r="21" spans="1:65" ht="35.25" hidden="1" customHeight="1">
      <c r="A21" s="163" t="s">
        <v>8914</v>
      </c>
      <c r="B21" s="163" t="s">
        <v>436</v>
      </c>
      <c r="C21" s="226" t="s">
        <v>8897</v>
      </c>
      <c r="D21" s="1497"/>
      <c r="E21" s="1466">
        <v>0</v>
      </c>
      <c r="F21" s="293">
        <v>0</v>
      </c>
      <c r="G21" s="355"/>
      <c r="H21" s="231"/>
      <c r="I21" s="231"/>
      <c r="J21" s="356" t="s">
        <v>436</v>
      </c>
      <c r="K21" s="357" t="s">
        <v>435</v>
      </c>
      <c r="L21" s="358" t="s">
        <v>5787</v>
      </c>
      <c r="M21" s="357">
        <v>1</v>
      </c>
      <c r="N21" s="359">
        <v>54</v>
      </c>
      <c r="O21" s="360" t="s">
        <v>4578</v>
      </c>
      <c r="P21" s="385">
        <v>1500</v>
      </c>
      <c r="Q21" s="357">
        <v>20</v>
      </c>
      <c r="R21" s="237">
        <v>0</v>
      </c>
      <c r="S21" s="302">
        <v>0</v>
      </c>
      <c r="T21" s="362">
        <v>0</v>
      </c>
      <c r="U21" s="363">
        <v>0</v>
      </c>
      <c r="V21" s="305">
        <v>0</v>
      </c>
      <c r="W21" s="364">
        <v>0</v>
      </c>
      <c r="X21" s="386">
        <v>0</v>
      </c>
      <c r="Y21" s="387">
        <v>4</v>
      </c>
      <c r="Z21" s="388">
        <v>0</v>
      </c>
      <c r="AA21" s="357">
        <v>0</v>
      </c>
      <c r="AB21" s="363">
        <v>1</v>
      </c>
      <c r="AC21" s="368" t="s">
        <v>8898</v>
      </c>
      <c r="AD21" s="368" t="s">
        <v>8898</v>
      </c>
      <c r="AE21" s="369">
        <v>1</v>
      </c>
      <c r="AF21" s="250">
        <v>0</v>
      </c>
      <c r="AG21" s="313">
        <v>0</v>
      </c>
      <c r="AH21" s="370">
        <v>0</v>
      </c>
      <c r="AI21" s="371">
        <v>0</v>
      </c>
      <c r="AJ21" s="372" t="s">
        <v>8910</v>
      </c>
      <c r="AK21" s="253" t="s">
        <v>436</v>
      </c>
      <c r="AL21" s="254" t="str">
        <f t="shared" si="0"/>
        <v>TTC003</v>
      </c>
      <c r="AM21" s="255">
        <f t="shared" si="0"/>
        <v>1500</v>
      </c>
      <c r="AN21" s="373" t="s">
        <v>8899</v>
      </c>
      <c r="AO21" s="374">
        <v>1.4</v>
      </c>
      <c r="AP21" s="375">
        <v>432</v>
      </c>
      <c r="AQ21" s="375">
        <v>150</v>
      </c>
      <c r="AR21" s="376">
        <f t="shared" si="2"/>
        <v>0.71215200000000001</v>
      </c>
      <c r="AS21" s="377">
        <v>966.55177478153405</v>
      </c>
      <c r="AT21" s="375">
        <v>508</v>
      </c>
      <c r="AU21" s="378">
        <v>0.65997146676552187</v>
      </c>
      <c r="AV21" s="379">
        <v>20</v>
      </c>
      <c r="AW21" s="380">
        <v>1026</v>
      </c>
      <c r="AX21" s="375">
        <v>330</v>
      </c>
      <c r="AY21" s="381">
        <v>500</v>
      </c>
      <c r="AZ21" s="381">
        <v>180</v>
      </c>
      <c r="BA21" s="382">
        <v>2.9700000000000001E-2</v>
      </c>
      <c r="BB21" s="382">
        <v>1.885</v>
      </c>
      <c r="BC21" s="264">
        <v>60</v>
      </c>
      <c r="BD21" s="383">
        <v>0.47</v>
      </c>
      <c r="BE21" s="384">
        <v>0.47</v>
      </c>
      <c r="BF21" s="375">
        <v>3</v>
      </c>
      <c r="BG21" s="163" t="s">
        <v>8904</v>
      </c>
      <c r="BH21" s="163">
        <v>1</v>
      </c>
      <c r="BK21" s="163">
        <v>0</v>
      </c>
      <c r="BM21" s="163" t="s">
        <v>8905</v>
      </c>
    </row>
    <row r="22" spans="1:65" ht="35.25" customHeight="1">
      <c r="A22" s="163" t="s">
        <v>8915</v>
      </c>
      <c r="B22" s="163" t="s">
        <v>2709</v>
      </c>
      <c r="C22" s="226" t="s">
        <v>8897</v>
      </c>
      <c r="D22" s="1497"/>
      <c r="E22" s="1453" t="s">
        <v>8916</v>
      </c>
      <c r="F22" s="293">
        <v>15</v>
      </c>
      <c r="G22" s="389"/>
      <c r="H22" s="294"/>
      <c r="I22" s="295"/>
      <c r="J22" s="296" t="s">
        <v>2709</v>
      </c>
      <c r="K22" s="297" t="s">
        <v>2708</v>
      </c>
      <c r="L22" s="298" t="s">
        <v>5446</v>
      </c>
      <c r="M22" s="297">
        <v>1</v>
      </c>
      <c r="N22" s="311">
        <v>50</v>
      </c>
      <c r="O22" s="300" t="s">
        <v>4706</v>
      </c>
      <c r="P22" s="301">
        <v>1250</v>
      </c>
      <c r="Q22" s="297">
        <v>40</v>
      </c>
      <c r="R22" s="237">
        <v>7457</v>
      </c>
      <c r="S22" s="302">
        <v>414.27777777777777</v>
      </c>
      <c r="T22" s="303">
        <v>10.356944444444444</v>
      </c>
      <c r="U22" s="1480">
        <v>414.27777777777777</v>
      </c>
      <c r="V22" s="1482">
        <v>0.36623110051555557</v>
      </c>
      <c r="W22" s="306">
        <v>0.30760124999999999</v>
      </c>
      <c r="X22" s="392">
        <v>29</v>
      </c>
      <c r="Y22" s="308">
        <v>4</v>
      </c>
      <c r="Z22" s="309">
        <v>3</v>
      </c>
      <c r="AA22" s="297">
        <v>3</v>
      </c>
      <c r="AB22" s="310">
        <v>35</v>
      </c>
      <c r="AC22" s="311" t="s">
        <v>8898</v>
      </c>
      <c r="AD22" s="311" t="s">
        <v>8898</v>
      </c>
      <c r="AE22" s="312">
        <v>34</v>
      </c>
      <c r="AF22" s="250">
        <v>1</v>
      </c>
      <c r="AG22" s="313">
        <v>20</v>
      </c>
      <c r="AH22" s="314">
        <v>20</v>
      </c>
      <c r="AI22" s="315">
        <v>0</v>
      </c>
      <c r="AJ22" s="1451" t="s">
        <v>8917</v>
      </c>
      <c r="AK22" s="253" t="s">
        <v>2709</v>
      </c>
      <c r="AL22" s="254" t="str">
        <f t="shared" si="0"/>
        <v>TTC014</v>
      </c>
      <c r="AM22" s="255">
        <f t="shared" si="0"/>
        <v>1250</v>
      </c>
      <c r="AN22" s="316" t="s">
        <v>8918</v>
      </c>
      <c r="AO22" s="317">
        <v>4</v>
      </c>
      <c r="AP22" s="300">
        <v>332</v>
      </c>
      <c r="AQ22" s="300">
        <v>106</v>
      </c>
      <c r="AR22" s="318">
        <f t="shared" si="2"/>
        <v>1.1050288000000001</v>
      </c>
      <c r="AS22" s="319">
        <v>1154.7294681345554</v>
      </c>
      <c r="AT22" s="300">
        <v>508</v>
      </c>
      <c r="AU22" s="320">
        <v>0.57555061008364661</v>
      </c>
      <c r="AV22" s="321">
        <v>40</v>
      </c>
      <c r="AW22" s="322">
        <v>1026</v>
      </c>
      <c r="AX22" s="300">
        <v>330</v>
      </c>
      <c r="AY22" s="323">
        <v>500</v>
      </c>
      <c r="AZ22" s="323">
        <v>180</v>
      </c>
      <c r="BA22" s="324">
        <v>2.9700000000000001E-2</v>
      </c>
      <c r="BB22" s="324">
        <v>1.885</v>
      </c>
      <c r="BC22" s="325">
        <v>60</v>
      </c>
      <c r="BD22" s="326">
        <v>0.318</v>
      </c>
      <c r="BE22" s="327">
        <v>0.318</v>
      </c>
      <c r="BF22" s="300">
        <v>3</v>
      </c>
      <c r="BG22" s="163" t="s">
        <v>8904</v>
      </c>
      <c r="BH22" s="163">
        <v>1</v>
      </c>
      <c r="BK22" s="163">
        <v>0</v>
      </c>
      <c r="BM22" s="163" t="s">
        <v>8905</v>
      </c>
    </row>
    <row r="23" spans="1:65" ht="35.25" customHeight="1">
      <c r="A23" s="163" t="s">
        <v>8919</v>
      </c>
      <c r="B23" s="163" t="s">
        <v>2765</v>
      </c>
      <c r="C23" s="226" t="s">
        <v>8897</v>
      </c>
      <c r="D23" s="1497"/>
      <c r="E23" s="1453">
        <v>0</v>
      </c>
      <c r="F23" s="293">
        <v>15</v>
      </c>
      <c r="G23" s="229"/>
      <c r="H23" s="231"/>
      <c r="I23" s="393"/>
      <c r="J23" s="394" t="s">
        <v>2765</v>
      </c>
      <c r="K23" s="395" t="s">
        <v>2764</v>
      </c>
      <c r="L23" s="396" t="s">
        <v>5447</v>
      </c>
      <c r="M23" s="395">
        <v>1</v>
      </c>
      <c r="N23" s="397">
        <v>50</v>
      </c>
      <c r="O23" s="375" t="s">
        <v>4706</v>
      </c>
      <c r="P23" s="398">
        <v>1250</v>
      </c>
      <c r="Q23" s="395">
        <v>40</v>
      </c>
      <c r="R23" s="237">
        <v>7329</v>
      </c>
      <c r="S23" s="302">
        <v>407.16666666666669</v>
      </c>
      <c r="T23" s="399">
        <v>10.179166666666667</v>
      </c>
      <c r="U23" s="1481"/>
      <c r="V23" s="1483">
        <v>0.35994471445333337</v>
      </c>
      <c r="W23" s="402">
        <v>0.30232125000000004</v>
      </c>
      <c r="X23" s="392">
        <v>29</v>
      </c>
      <c r="Y23" s="403">
        <v>4</v>
      </c>
      <c r="Z23" s="404">
        <v>3</v>
      </c>
      <c r="AA23" s="297">
        <v>3</v>
      </c>
      <c r="AB23" s="310">
        <v>35</v>
      </c>
      <c r="AC23" s="397" t="s">
        <v>8898</v>
      </c>
      <c r="AD23" s="397" t="s">
        <v>8898</v>
      </c>
      <c r="AE23" s="370">
        <v>33</v>
      </c>
      <c r="AF23" s="250">
        <v>2</v>
      </c>
      <c r="AG23" s="313">
        <v>20</v>
      </c>
      <c r="AH23" s="405">
        <v>20</v>
      </c>
      <c r="AI23" s="406">
        <v>0</v>
      </c>
      <c r="AJ23" s="1452"/>
      <c r="AK23" s="253" t="s">
        <v>2765</v>
      </c>
      <c r="AL23" s="254" t="str">
        <f t="shared" si="0"/>
        <v>TTC014</v>
      </c>
      <c r="AM23" s="255">
        <f t="shared" si="0"/>
        <v>1250</v>
      </c>
      <c r="AN23" s="373" t="s">
        <v>8918</v>
      </c>
      <c r="AO23" s="374">
        <v>4</v>
      </c>
      <c r="AP23" s="375">
        <v>332</v>
      </c>
      <c r="AQ23" s="375">
        <v>106</v>
      </c>
      <c r="AR23" s="376">
        <f t="shared" si="2"/>
        <v>1.1050288000000001</v>
      </c>
      <c r="AS23" s="377">
        <v>1154.7294681345554</v>
      </c>
      <c r="AT23" s="375">
        <v>508</v>
      </c>
      <c r="AU23" s="378">
        <v>0.57555061008364661</v>
      </c>
      <c r="AV23" s="379">
        <v>40</v>
      </c>
      <c r="AW23" s="380">
        <v>1026</v>
      </c>
      <c r="AX23" s="375">
        <v>330</v>
      </c>
      <c r="AY23" s="381">
        <v>500</v>
      </c>
      <c r="AZ23" s="381">
        <v>180</v>
      </c>
      <c r="BA23" s="382">
        <v>2.9700000000000001E-2</v>
      </c>
      <c r="BB23" s="382">
        <v>1.885</v>
      </c>
      <c r="BC23" s="264">
        <v>60</v>
      </c>
      <c r="BD23" s="383">
        <v>0.318</v>
      </c>
      <c r="BE23" s="384">
        <v>0.318</v>
      </c>
      <c r="BF23" s="375">
        <v>3</v>
      </c>
      <c r="BG23" s="163" t="s">
        <v>8904</v>
      </c>
      <c r="BH23" s="163">
        <v>1</v>
      </c>
      <c r="BK23" s="163">
        <v>0</v>
      </c>
      <c r="BM23" s="163" t="s">
        <v>8905</v>
      </c>
    </row>
    <row r="24" spans="1:65" ht="35.25" hidden="1" customHeight="1">
      <c r="A24" s="163" t="s">
        <v>8920</v>
      </c>
      <c r="B24" s="163" t="s">
        <v>3230</v>
      </c>
      <c r="C24" s="226" t="s">
        <v>8897</v>
      </c>
      <c r="D24" s="1497"/>
      <c r="E24" s="1453" t="s">
        <v>8916</v>
      </c>
      <c r="F24" s="1454">
        <v>18</v>
      </c>
      <c r="G24" s="408"/>
      <c r="H24" s="294"/>
      <c r="I24" s="294"/>
      <c r="J24" s="409" t="s">
        <v>3230</v>
      </c>
      <c r="K24" s="410" t="s">
        <v>3229</v>
      </c>
      <c r="L24" s="411" t="s">
        <v>8483</v>
      </c>
      <c r="M24" s="410">
        <v>1</v>
      </c>
      <c r="N24" s="412">
        <v>52</v>
      </c>
      <c r="O24" s="413" t="s">
        <v>4654</v>
      </c>
      <c r="P24" s="414">
        <v>500</v>
      </c>
      <c r="Q24" s="410">
        <v>40</v>
      </c>
      <c r="R24" s="237">
        <v>0</v>
      </c>
      <c r="S24" s="302">
        <v>0</v>
      </c>
      <c r="T24" s="415">
        <v>0</v>
      </c>
      <c r="U24" s="1455">
        <v>0</v>
      </c>
      <c r="V24" s="1457">
        <v>0</v>
      </c>
      <c r="W24" s="416">
        <v>0</v>
      </c>
      <c r="X24" s="417">
        <v>0</v>
      </c>
      <c r="Y24" s="418">
        <v>4</v>
      </c>
      <c r="Z24" s="419">
        <v>0</v>
      </c>
      <c r="AA24" s="297">
        <v>0</v>
      </c>
      <c r="AB24" s="363">
        <v>1</v>
      </c>
      <c r="AC24" s="420" t="s">
        <v>8898</v>
      </c>
      <c r="AD24" s="420" t="s">
        <v>8898</v>
      </c>
      <c r="AE24" s="421">
        <v>1</v>
      </c>
      <c r="AF24" s="250">
        <v>0</v>
      </c>
      <c r="AG24" s="313">
        <v>0</v>
      </c>
      <c r="AH24" s="314">
        <v>0</v>
      </c>
      <c r="AI24" s="315">
        <v>0</v>
      </c>
      <c r="AJ24" s="372" t="s">
        <v>8910</v>
      </c>
      <c r="AK24" s="253" t="s">
        <v>3230</v>
      </c>
      <c r="AL24" s="254" t="str">
        <f t="shared" si="0"/>
        <v>TTC009</v>
      </c>
      <c r="AM24" s="255">
        <v>1</v>
      </c>
      <c r="AN24" s="316" t="s">
        <v>8899</v>
      </c>
      <c r="AO24" s="317">
        <v>4</v>
      </c>
      <c r="AP24" s="300">
        <v>288</v>
      </c>
      <c r="AQ24" s="300">
        <v>115</v>
      </c>
      <c r="AR24" s="318">
        <f t="shared" si="2"/>
        <v>1.039968</v>
      </c>
      <c r="AS24" s="319">
        <v>1291.0178908305045</v>
      </c>
      <c r="AT24" s="300">
        <v>508</v>
      </c>
      <c r="AU24" s="320">
        <v>0.57694082894858301</v>
      </c>
      <c r="AV24" s="321">
        <v>40</v>
      </c>
      <c r="AW24" s="322">
        <v>1026</v>
      </c>
      <c r="AX24" s="300">
        <v>330</v>
      </c>
      <c r="AY24" s="323">
        <v>500</v>
      </c>
      <c r="AZ24" s="323">
        <v>180</v>
      </c>
      <c r="BA24" s="324">
        <v>2.9700000000000001E-2</v>
      </c>
      <c r="BB24" s="324">
        <v>1.885</v>
      </c>
      <c r="BC24" s="325">
        <v>60</v>
      </c>
      <c r="BD24" s="326">
        <v>0.3</v>
      </c>
      <c r="BE24" s="327">
        <v>0.3</v>
      </c>
      <c r="BF24" s="300">
        <v>3</v>
      </c>
      <c r="BG24" s="163" t="s">
        <v>8904</v>
      </c>
      <c r="BH24" s="163">
        <v>1</v>
      </c>
      <c r="BK24" s="163">
        <v>0</v>
      </c>
      <c r="BM24" s="163" t="s">
        <v>8905</v>
      </c>
    </row>
    <row r="25" spans="1:65" ht="35.25" hidden="1" customHeight="1">
      <c r="A25" s="163" t="s">
        <v>8921</v>
      </c>
      <c r="B25" s="163" t="s">
        <v>3228</v>
      </c>
      <c r="C25" s="226" t="s">
        <v>8897</v>
      </c>
      <c r="D25" s="1497"/>
      <c r="E25" s="1453">
        <v>0</v>
      </c>
      <c r="F25" s="1454">
        <v>0</v>
      </c>
      <c r="G25" s="422"/>
      <c r="H25" s="231"/>
      <c r="I25" s="231"/>
      <c r="J25" s="356" t="s">
        <v>3228</v>
      </c>
      <c r="K25" s="357" t="s">
        <v>3227</v>
      </c>
      <c r="L25" s="358" t="s">
        <v>8483</v>
      </c>
      <c r="M25" s="357">
        <v>1</v>
      </c>
      <c r="N25" s="423">
        <v>52</v>
      </c>
      <c r="O25" s="360" t="s">
        <v>4654</v>
      </c>
      <c r="P25" s="385">
        <v>500</v>
      </c>
      <c r="Q25" s="357">
        <v>40</v>
      </c>
      <c r="R25" s="237">
        <v>0</v>
      </c>
      <c r="S25" s="302">
        <v>0</v>
      </c>
      <c r="T25" s="362">
        <v>0</v>
      </c>
      <c r="U25" s="1456">
        <v>0</v>
      </c>
      <c r="V25" s="1458">
        <v>0</v>
      </c>
      <c r="W25" s="364">
        <v>0</v>
      </c>
      <c r="X25" s="417">
        <v>0</v>
      </c>
      <c r="Y25" s="387">
        <v>4</v>
      </c>
      <c r="Z25" s="388">
        <v>0</v>
      </c>
      <c r="AA25" s="297">
        <v>0</v>
      </c>
      <c r="AB25" s="363">
        <v>1</v>
      </c>
      <c r="AC25" s="368" t="s">
        <v>8898</v>
      </c>
      <c r="AD25" s="368" t="s">
        <v>8898</v>
      </c>
      <c r="AE25" s="369">
        <v>1</v>
      </c>
      <c r="AF25" s="250">
        <v>0</v>
      </c>
      <c r="AG25" s="313">
        <v>0</v>
      </c>
      <c r="AH25" s="405">
        <v>0</v>
      </c>
      <c r="AI25" s="406">
        <v>0</v>
      </c>
      <c r="AJ25" s="372" t="s">
        <v>8910</v>
      </c>
      <c r="AK25" s="253" t="s">
        <v>3228</v>
      </c>
      <c r="AL25" s="254" t="str">
        <f t="shared" si="0"/>
        <v>TTC009</v>
      </c>
      <c r="AM25" s="255">
        <v>1</v>
      </c>
      <c r="AN25" s="373" t="s">
        <v>8899</v>
      </c>
      <c r="AO25" s="374">
        <v>4</v>
      </c>
      <c r="AP25" s="375">
        <v>288</v>
      </c>
      <c r="AQ25" s="375">
        <v>115</v>
      </c>
      <c r="AR25" s="376">
        <f t="shared" si="2"/>
        <v>1.039968</v>
      </c>
      <c r="AS25" s="377">
        <v>1291.0178908305045</v>
      </c>
      <c r="AT25" s="375">
        <v>508</v>
      </c>
      <c r="AU25" s="378">
        <v>0.57694082894858301</v>
      </c>
      <c r="AV25" s="379">
        <v>40</v>
      </c>
      <c r="AW25" s="380">
        <v>1026</v>
      </c>
      <c r="AX25" s="375">
        <v>330</v>
      </c>
      <c r="AY25" s="381">
        <v>500</v>
      </c>
      <c r="AZ25" s="381">
        <v>180</v>
      </c>
      <c r="BA25" s="382">
        <v>2.9700000000000001E-2</v>
      </c>
      <c r="BB25" s="382">
        <v>1.885</v>
      </c>
      <c r="BC25" s="264">
        <v>60</v>
      </c>
      <c r="BD25" s="383">
        <v>0.3</v>
      </c>
      <c r="BE25" s="384">
        <v>0.3</v>
      </c>
      <c r="BF25" s="375">
        <v>3</v>
      </c>
      <c r="BG25" s="163" t="s">
        <v>8904</v>
      </c>
      <c r="BH25" s="163">
        <v>1</v>
      </c>
      <c r="BK25" s="163">
        <v>0</v>
      </c>
      <c r="BM25" s="163" t="s">
        <v>8905</v>
      </c>
    </row>
    <row r="26" spans="1:65" ht="35.25" hidden="1" customHeight="1">
      <c r="A26" s="163" t="s">
        <v>8922</v>
      </c>
      <c r="B26" s="163" t="s">
        <v>3270</v>
      </c>
      <c r="C26" s="226" t="s">
        <v>8897</v>
      </c>
      <c r="D26" s="1497"/>
      <c r="E26" s="267"/>
      <c r="F26" s="268">
        <v>19</v>
      </c>
      <c r="G26" s="424"/>
      <c r="H26" s="271"/>
      <c r="I26" s="271"/>
      <c r="J26" s="425" t="s">
        <v>3270</v>
      </c>
      <c r="K26" s="426" t="s">
        <v>3269</v>
      </c>
      <c r="L26" s="427" t="s">
        <v>8484</v>
      </c>
      <c r="M26" s="426">
        <v>2</v>
      </c>
      <c r="N26" s="428">
        <v>52</v>
      </c>
      <c r="O26" s="429" t="s">
        <v>4656</v>
      </c>
      <c r="P26" s="430">
        <v>1000</v>
      </c>
      <c r="Q26" s="426">
        <v>45</v>
      </c>
      <c r="R26" s="237">
        <v>0</v>
      </c>
      <c r="S26" s="302">
        <v>0</v>
      </c>
      <c r="T26" s="362">
        <v>0</v>
      </c>
      <c r="U26" s="363">
        <v>0</v>
      </c>
      <c r="V26" s="431">
        <v>0</v>
      </c>
      <c r="W26" s="432">
        <v>0</v>
      </c>
      <c r="X26" s="417">
        <v>0</v>
      </c>
      <c r="Y26" s="433">
        <v>4</v>
      </c>
      <c r="Z26" s="434">
        <v>0</v>
      </c>
      <c r="AA26" s="297">
        <v>0</v>
      </c>
      <c r="AB26" s="363">
        <v>1</v>
      </c>
      <c r="AC26" s="435" t="s">
        <v>8898</v>
      </c>
      <c r="AD26" s="435" t="s">
        <v>8898</v>
      </c>
      <c r="AE26" s="436">
        <v>1</v>
      </c>
      <c r="AF26" s="250">
        <v>0</v>
      </c>
      <c r="AG26" s="313">
        <v>0</v>
      </c>
      <c r="AH26" s="278">
        <v>0</v>
      </c>
      <c r="AI26" s="279">
        <v>0</v>
      </c>
      <c r="AJ26" s="372" t="s">
        <v>8910</v>
      </c>
      <c r="AK26" s="253" t="s">
        <v>3270</v>
      </c>
      <c r="AL26" s="254" t="str">
        <f t="shared" si="0"/>
        <v>TTC031</v>
      </c>
      <c r="AM26" s="255">
        <v>1</v>
      </c>
      <c r="AN26" s="280" t="s">
        <v>8899</v>
      </c>
      <c r="AO26" s="281">
        <v>4</v>
      </c>
      <c r="AP26" s="282">
        <v>293</v>
      </c>
      <c r="AQ26" s="282">
        <v>114</v>
      </c>
      <c r="AR26" s="283">
        <f t="shared" si="2"/>
        <v>0.52441139999999997</v>
      </c>
      <c r="AS26" s="284">
        <v>1215.1269993598935</v>
      </c>
      <c r="AT26" s="282">
        <v>508</v>
      </c>
      <c r="AU26" s="285">
        <v>0.57206994355957941</v>
      </c>
      <c r="AV26" s="286">
        <v>45</v>
      </c>
      <c r="AW26" s="287">
        <v>1026</v>
      </c>
      <c r="AX26" s="282">
        <v>330</v>
      </c>
      <c r="AY26" s="288">
        <v>500</v>
      </c>
      <c r="AZ26" s="288">
        <v>180</v>
      </c>
      <c r="BA26" s="289">
        <v>2.9700000000000001E-2</v>
      </c>
      <c r="BB26" s="289">
        <v>1.885</v>
      </c>
      <c r="BC26" s="290">
        <v>60</v>
      </c>
      <c r="BD26" s="291">
        <v>0.3</v>
      </c>
      <c r="BE26" s="292">
        <v>0.3</v>
      </c>
      <c r="BF26" s="282">
        <v>3</v>
      </c>
      <c r="BG26" s="163" t="s">
        <v>8904</v>
      </c>
      <c r="BH26" s="163">
        <v>1</v>
      </c>
      <c r="BK26" s="163">
        <v>0</v>
      </c>
      <c r="BM26" s="163" t="s">
        <v>8905</v>
      </c>
    </row>
    <row r="27" spans="1:65" s="165" customFormat="1" ht="35.25" hidden="1" customHeight="1">
      <c r="A27" s="165" t="s">
        <v>8923</v>
      </c>
      <c r="B27" s="165" t="s">
        <v>3226</v>
      </c>
      <c r="C27" s="226" t="s">
        <v>8897</v>
      </c>
      <c r="D27" s="1497"/>
      <c r="E27" s="1479" t="s">
        <v>8916</v>
      </c>
      <c r="F27" s="1454">
        <v>17</v>
      </c>
      <c r="G27" s="408"/>
      <c r="H27" s="294"/>
      <c r="I27" s="294"/>
      <c r="J27" s="409" t="s">
        <v>3226</v>
      </c>
      <c r="K27" s="410" t="s">
        <v>3225</v>
      </c>
      <c r="L27" s="411" t="s">
        <v>8483</v>
      </c>
      <c r="M27" s="410">
        <v>1</v>
      </c>
      <c r="N27" s="412">
        <v>52</v>
      </c>
      <c r="O27" s="413" t="s">
        <v>4656</v>
      </c>
      <c r="P27" s="414">
        <v>1000</v>
      </c>
      <c r="Q27" s="410">
        <v>50</v>
      </c>
      <c r="R27" s="237">
        <v>0</v>
      </c>
      <c r="S27" s="302">
        <v>0</v>
      </c>
      <c r="T27" s="415">
        <v>0</v>
      </c>
      <c r="U27" s="1455">
        <v>0</v>
      </c>
      <c r="V27" s="1457">
        <v>0</v>
      </c>
      <c r="W27" s="416">
        <v>0</v>
      </c>
      <c r="X27" s="417">
        <v>0</v>
      </c>
      <c r="Y27" s="418">
        <v>4</v>
      </c>
      <c r="Z27" s="419">
        <v>0</v>
      </c>
      <c r="AA27" s="297">
        <v>0</v>
      </c>
      <c r="AB27" s="363">
        <v>1</v>
      </c>
      <c r="AC27" s="420" t="s">
        <v>8898</v>
      </c>
      <c r="AD27" s="420" t="s">
        <v>8898</v>
      </c>
      <c r="AE27" s="421">
        <v>1</v>
      </c>
      <c r="AF27" s="250">
        <v>0</v>
      </c>
      <c r="AG27" s="313">
        <v>0</v>
      </c>
      <c r="AH27" s="314">
        <v>0</v>
      </c>
      <c r="AI27" s="315">
        <v>0</v>
      </c>
      <c r="AJ27" s="372" t="s">
        <v>8910</v>
      </c>
      <c r="AK27" s="253" t="s">
        <v>3226</v>
      </c>
      <c r="AL27" s="254" t="str">
        <f t="shared" si="0"/>
        <v>TTC031</v>
      </c>
      <c r="AM27" s="255">
        <v>1</v>
      </c>
      <c r="AN27" s="316" t="s">
        <v>8899</v>
      </c>
      <c r="AO27" s="317">
        <v>4</v>
      </c>
      <c r="AP27" s="300">
        <v>293</v>
      </c>
      <c r="AQ27" s="300">
        <v>98</v>
      </c>
      <c r="AR27" s="318">
        <f t="shared" si="2"/>
        <v>0.90161959999999997</v>
      </c>
      <c r="AS27" s="319">
        <v>1215.1269993598935</v>
      </c>
      <c r="AT27" s="300">
        <v>508</v>
      </c>
      <c r="AU27" s="320">
        <v>0.58783105424948623</v>
      </c>
      <c r="AV27" s="321">
        <v>50</v>
      </c>
      <c r="AW27" s="322">
        <v>1026</v>
      </c>
      <c r="AX27" s="300">
        <v>330</v>
      </c>
      <c r="AY27" s="323">
        <v>500</v>
      </c>
      <c r="AZ27" s="323">
        <v>180</v>
      </c>
      <c r="BA27" s="324">
        <v>2.9700000000000001E-2</v>
      </c>
      <c r="BB27" s="324">
        <v>1.885</v>
      </c>
      <c r="BC27" s="325">
        <v>60</v>
      </c>
      <c r="BD27" s="326">
        <v>0.26500000000000001</v>
      </c>
      <c r="BE27" s="327">
        <v>0.26500000000000001</v>
      </c>
      <c r="BF27" s="300">
        <v>3</v>
      </c>
      <c r="BG27" s="165" t="s">
        <v>8904</v>
      </c>
      <c r="BH27" s="165">
        <v>1</v>
      </c>
      <c r="BK27" s="163">
        <v>0</v>
      </c>
      <c r="BM27" s="165" t="s">
        <v>8905</v>
      </c>
    </row>
    <row r="28" spans="1:65" s="165" customFormat="1" ht="35.25" hidden="1" customHeight="1">
      <c r="A28" s="165" t="s">
        <v>8924</v>
      </c>
      <c r="B28" s="165" t="s">
        <v>3268</v>
      </c>
      <c r="C28" s="226" t="s">
        <v>8897</v>
      </c>
      <c r="D28" s="1497"/>
      <c r="E28" s="1453">
        <v>0</v>
      </c>
      <c r="F28" s="1454">
        <v>0</v>
      </c>
      <c r="G28" s="422"/>
      <c r="H28" s="231"/>
      <c r="I28" s="231"/>
      <c r="J28" s="356" t="s">
        <v>3268</v>
      </c>
      <c r="K28" s="357" t="s">
        <v>3267</v>
      </c>
      <c r="L28" s="358" t="s">
        <v>8484</v>
      </c>
      <c r="M28" s="357">
        <v>1</v>
      </c>
      <c r="N28" s="423">
        <v>52</v>
      </c>
      <c r="O28" s="360" t="s">
        <v>4656</v>
      </c>
      <c r="P28" s="385">
        <v>1000</v>
      </c>
      <c r="Q28" s="357">
        <v>50</v>
      </c>
      <c r="R28" s="237">
        <v>0</v>
      </c>
      <c r="S28" s="302">
        <v>0</v>
      </c>
      <c r="T28" s="362">
        <v>0</v>
      </c>
      <c r="U28" s="1456">
        <v>0</v>
      </c>
      <c r="V28" s="1458">
        <v>0</v>
      </c>
      <c r="W28" s="364">
        <v>0</v>
      </c>
      <c r="X28" s="417">
        <v>0</v>
      </c>
      <c r="Y28" s="387">
        <v>4</v>
      </c>
      <c r="Z28" s="388">
        <v>0</v>
      </c>
      <c r="AA28" s="297">
        <v>0</v>
      </c>
      <c r="AB28" s="363">
        <v>1</v>
      </c>
      <c r="AC28" s="368" t="s">
        <v>8898</v>
      </c>
      <c r="AD28" s="368" t="s">
        <v>8898</v>
      </c>
      <c r="AE28" s="369">
        <v>1</v>
      </c>
      <c r="AF28" s="250">
        <v>0</v>
      </c>
      <c r="AG28" s="313">
        <v>0</v>
      </c>
      <c r="AH28" s="405">
        <v>0</v>
      </c>
      <c r="AI28" s="406">
        <v>0</v>
      </c>
      <c r="AJ28" s="372" t="s">
        <v>8910</v>
      </c>
      <c r="AK28" s="253" t="s">
        <v>3268</v>
      </c>
      <c r="AL28" s="254" t="str">
        <f t="shared" si="0"/>
        <v>TTC031</v>
      </c>
      <c r="AM28" s="255">
        <v>1</v>
      </c>
      <c r="AN28" s="373" t="s">
        <v>8899</v>
      </c>
      <c r="AO28" s="374">
        <v>4</v>
      </c>
      <c r="AP28" s="375">
        <v>293</v>
      </c>
      <c r="AQ28" s="375">
        <v>98</v>
      </c>
      <c r="AR28" s="376">
        <f t="shared" si="2"/>
        <v>0.90161959999999997</v>
      </c>
      <c r="AS28" s="377">
        <v>1215.1269993598935</v>
      </c>
      <c r="AT28" s="375">
        <v>508</v>
      </c>
      <c r="AU28" s="378">
        <v>0.58783105424948623</v>
      </c>
      <c r="AV28" s="379">
        <v>50</v>
      </c>
      <c r="AW28" s="380">
        <v>1026</v>
      </c>
      <c r="AX28" s="375">
        <v>330</v>
      </c>
      <c r="AY28" s="381">
        <v>500</v>
      </c>
      <c r="AZ28" s="381">
        <v>180</v>
      </c>
      <c r="BA28" s="382">
        <v>2.9700000000000001E-2</v>
      </c>
      <c r="BB28" s="382">
        <v>1.885</v>
      </c>
      <c r="BC28" s="264">
        <v>60</v>
      </c>
      <c r="BD28" s="383">
        <v>0.26500000000000001</v>
      </c>
      <c r="BE28" s="384">
        <v>0.26500000000000001</v>
      </c>
      <c r="BF28" s="375">
        <v>3</v>
      </c>
      <c r="BG28" s="165" t="s">
        <v>8904</v>
      </c>
      <c r="BH28" s="165">
        <v>1</v>
      </c>
      <c r="BK28" s="163">
        <v>0</v>
      </c>
      <c r="BM28" s="165" t="s">
        <v>8905</v>
      </c>
    </row>
    <row r="29" spans="1:65" s="165" customFormat="1" ht="35.25" hidden="1" customHeight="1">
      <c r="A29" s="165" t="s">
        <v>8925</v>
      </c>
      <c r="B29" s="165" t="s">
        <v>671</v>
      </c>
      <c r="C29" s="226" t="s">
        <v>8897</v>
      </c>
      <c r="D29" s="1497"/>
      <c r="E29" s="1453" t="s">
        <v>8916</v>
      </c>
      <c r="F29" s="293">
        <v>11</v>
      </c>
      <c r="G29" s="408"/>
      <c r="H29" s="294"/>
      <c r="I29" s="294"/>
      <c r="J29" s="296" t="s">
        <v>671</v>
      </c>
      <c r="K29" s="297" t="s">
        <v>669</v>
      </c>
      <c r="L29" s="298" t="s">
        <v>5855</v>
      </c>
      <c r="M29" s="297">
        <v>1</v>
      </c>
      <c r="N29" s="311">
        <v>60</v>
      </c>
      <c r="O29" s="300" t="s">
        <v>8926</v>
      </c>
      <c r="P29" s="301">
        <v>600</v>
      </c>
      <c r="Q29" s="297">
        <v>500</v>
      </c>
      <c r="R29" s="237">
        <v>0</v>
      </c>
      <c r="S29" s="302">
        <v>0</v>
      </c>
      <c r="T29" s="303">
        <v>0</v>
      </c>
      <c r="U29" s="1480">
        <v>0</v>
      </c>
      <c r="V29" s="1482">
        <v>0</v>
      </c>
      <c r="W29" s="306">
        <v>0</v>
      </c>
      <c r="X29" s="392">
        <v>14</v>
      </c>
      <c r="Y29" s="308">
        <v>4</v>
      </c>
      <c r="Z29" s="309">
        <v>0</v>
      </c>
      <c r="AA29" s="297">
        <v>0</v>
      </c>
      <c r="AB29" s="310">
        <v>14</v>
      </c>
      <c r="AC29" s="311" t="s">
        <v>8898</v>
      </c>
      <c r="AD29" s="311" t="s">
        <v>8898</v>
      </c>
      <c r="AE29" s="312">
        <v>14</v>
      </c>
      <c r="AF29" s="250">
        <v>0</v>
      </c>
      <c r="AG29" s="313">
        <v>10</v>
      </c>
      <c r="AH29" s="314">
        <v>10</v>
      </c>
      <c r="AI29" s="315">
        <v>0</v>
      </c>
      <c r="AJ29" s="438"/>
      <c r="AK29" s="253" t="s">
        <v>671</v>
      </c>
      <c r="AL29" s="254" t="str">
        <f t="shared" si="0"/>
        <v>TTC001</v>
      </c>
      <c r="AM29" s="255">
        <f>P29</f>
        <v>600</v>
      </c>
      <c r="AN29" s="316" t="s">
        <v>8927</v>
      </c>
      <c r="AO29" s="317">
        <v>0.8</v>
      </c>
      <c r="AP29" s="300">
        <v>178</v>
      </c>
      <c r="AQ29" s="300">
        <v>80</v>
      </c>
      <c r="AR29" s="318">
        <f t="shared" si="2"/>
        <v>8.9427199999999998E-2</v>
      </c>
      <c r="AS29" s="319">
        <v>1081.5443390371802</v>
      </c>
      <c r="AT29" s="300">
        <v>508</v>
      </c>
      <c r="AU29" s="320">
        <v>0.26837472267945323</v>
      </c>
      <c r="AV29" s="321">
        <v>500</v>
      </c>
      <c r="AW29" s="322">
        <v>1026</v>
      </c>
      <c r="AX29" s="300">
        <v>330</v>
      </c>
      <c r="AY29" s="323">
        <v>500</v>
      </c>
      <c r="AZ29" s="323">
        <v>180</v>
      </c>
      <c r="BA29" s="324">
        <v>2.9700000000000001E-2</v>
      </c>
      <c r="BB29" s="324">
        <v>1.885</v>
      </c>
      <c r="BC29" s="325">
        <v>70</v>
      </c>
      <c r="BD29" s="326">
        <v>1.2E-2</v>
      </c>
      <c r="BE29" s="327">
        <v>1.2E-2</v>
      </c>
      <c r="BF29" s="300">
        <v>3</v>
      </c>
      <c r="BG29" s="165" t="s">
        <v>8904</v>
      </c>
      <c r="BH29" s="165">
        <v>1</v>
      </c>
      <c r="BJ29" s="165" t="s">
        <v>8928</v>
      </c>
      <c r="BK29" s="163">
        <v>0</v>
      </c>
      <c r="BM29" s="165" t="s">
        <v>8905</v>
      </c>
    </row>
    <row r="30" spans="1:65" s="165" customFormat="1" ht="35.25" hidden="1" customHeight="1">
      <c r="A30" s="165" t="s">
        <v>8929</v>
      </c>
      <c r="B30" s="165" t="s">
        <v>676</v>
      </c>
      <c r="C30" s="226" t="s">
        <v>8897</v>
      </c>
      <c r="D30" s="1497"/>
      <c r="E30" s="1453">
        <v>0</v>
      </c>
      <c r="F30" s="293">
        <v>11</v>
      </c>
      <c r="G30" s="422"/>
      <c r="H30" s="231"/>
      <c r="I30" s="231"/>
      <c r="J30" s="394" t="s">
        <v>676</v>
      </c>
      <c r="K30" s="395" t="s">
        <v>674</v>
      </c>
      <c r="L30" s="396" t="s">
        <v>5788</v>
      </c>
      <c r="M30" s="395">
        <v>1</v>
      </c>
      <c r="N30" s="397">
        <v>60</v>
      </c>
      <c r="O30" s="375" t="s">
        <v>8926</v>
      </c>
      <c r="P30" s="398">
        <v>600</v>
      </c>
      <c r="Q30" s="395">
        <v>500</v>
      </c>
      <c r="R30" s="237">
        <v>0</v>
      </c>
      <c r="S30" s="302">
        <v>0</v>
      </c>
      <c r="T30" s="399">
        <v>0</v>
      </c>
      <c r="U30" s="1481">
        <v>0</v>
      </c>
      <c r="V30" s="1483">
        <v>0</v>
      </c>
      <c r="W30" s="402">
        <v>0</v>
      </c>
      <c r="X30" s="392">
        <v>14</v>
      </c>
      <c r="Y30" s="403">
        <v>4</v>
      </c>
      <c r="Z30" s="404">
        <v>0</v>
      </c>
      <c r="AA30" s="297">
        <v>0</v>
      </c>
      <c r="AB30" s="310">
        <v>14</v>
      </c>
      <c r="AC30" s="397" t="s">
        <v>8898</v>
      </c>
      <c r="AD30" s="397" t="s">
        <v>8898</v>
      </c>
      <c r="AE30" s="370">
        <v>14</v>
      </c>
      <c r="AF30" s="250">
        <v>0</v>
      </c>
      <c r="AG30" s="313">
        <v>10</v>
      </c>
      <c r="AH30" s="405">
        <v>10</v>
      </c>
      <c r="AI30" s="406">
        <v>0</v>
      </c>
      <c r="AJ30" s="439"/>
      <c r="AK30" s="253" t="s">
        <v>676</v>
      </c>
      <c r="AL30" s="254" t="str">
        <f t="shared" si="0"/>
        <v>TTC001</v>
      </c>
      <c r="AM30" s="255">
        <f>P30</f>
        <v>600</v>
      </c>
      <c r="AN30" s="373" t="s">
        <v>8927</v>
      </c>
      <c r="AO30" s="374">
        <v>0.8</v>
      </c>
      <c r="AP30" s="375">
        <v>178</v>
      </c>
      <c r="AQ30" s="375">
        <v>80</v>
      </c>
      <c r="AR30" s="376">
        <f t="shared" si="2"/>
        <v>8.9427199999999998E-2</v>
      </c>
      <c r="AS30" s="377">
        <v>1081.5443390371802</v>
      </c>
      <c r="AT30" s="375">
        <v>508</v>
      </c>
      <c r="AU30" s="378">
        <v>0.26837472267945323</v>
      </c>
      <c r="AV30" s="379">
        <v>500</v>
      </c>
      <c r="AW30" s="380">
        <v>1026</v>
      </c>
      <c r="AX30" s="375">
        <v>330</v>
      </c>
      <c r="AY30" s="381">
        <v>500</v>
      </c>
      <c r="AZ30" s="381">
        <v>180</v>
      </c>
      <c r="BA30" s="382">
        <v>2.9700000000000001E-2</v>
      </c>
      <c r="BB30" s="382">
        <v>1.885</v>
      </c>
      <c r="BC30" s="264">
        <v>70</v>
      </c>
      <c r="BD30" s="383">
        <v>1.2E-2</v>
      </c>
      <c r="BE30" s="384">
        <v>1.2E-2</v>
      </c>
      <c r="BF30" s="375">
        <v>3</v>
      </c>
      <c r="BG30" s="165" t="s">
        <v>8904</v>
      </c>
      <c r="BH30" s="165">
        <v>1</v>
      </c>
      <c r="BJ30" s="165" t="s">
        <v>8928</v>
      </c>
      <c r="BK30" s="163">
        <v>0</v>
      </c>
      <c r="BM30" s="165" t="s">
        <v>8905</v>
      </c>
    </row>
    <row r="31" spans="1:65" ht="35.25" hidden="1" customHeight="1">
      <c r="A31" s="163" t="s">
        <v>8930</v>
      </c>
      <c r="B31" s="163" t="s">
        <v>3765</v>
      </c>
      <c r="C31" s="226" t="s">
        <v>8897</v>
      </c>
      <c r="D31" s="1497"/>
      <c r="E31" s="227"/>
      <c r="F31" s="268">
        <v>14</v>
      </c>
      <c r="G31" s="269"/>
      <c r="H31" s="271"/>
      <c r="I31" s="440"/>
      <c r="J31" s="425" t="s">
        <v>3765</v>
      </c>
      <c r="K31" s="426" t="s">
        <v>3764</v>
      </c>
      <c r="L31" s="427" t="s">
        <v>8544</v>
      </c>
      <c r="M31" s="426">
        <v>2</v>
      </c>
      <c r="N31" s="428">
        <v>60</v>
      </c>
      <c r="O31" s="429" t="s">
        <v>4502</v>
      </c>
      <c r="P31" s="429">
        <v>500</v>
      </c>
      <c r="Q31" s="426">
        <v>500</v>
      </c>
      <c r="R31" s="237">
        <v>0</v>
      </c>
      <c r="S31" s="302">
        <v>0</v>
      </c>
      <c r="T31" s="362">
        <v>0</v>
      </c>
      <c r="U31" s="363">
        <v>0</v>
      </c>
      <c r="V31" s="431">
        <v>0</v>
      </c>
      <c r="W31" s="432">
        <v>0</v>
      </c>
      <c r="X31" s="417">
        <v>0</v>
      </c>
      <c r="Y31" s="433">
        <v>4</v>
      </c>
      <c r="Z31" s="434">
        <v>0</v>
      </c>
      <c r="AA31" s="426">
        <v>0</v>
      </c>
      <c r="AB31" s="363">
        <v>1</v>
      </c>
      <c r="AC31" s="435" t="s">
        <v>8898</v>
      </c>
      <c r="AD31" s="435" t="s">
        <v>8898</v>
      </c>
      <c r="AE31" s="436">
        <v>1</v>
      </c>
      <c r="AF31" s="250">
        <v>0</v>
      </c>
      <c r="AG31" s="313">
        <v>0</v>
      </c>
      <c r="AH31" s="278">
        <v>0</v>
      </c>
      <c r="AI31" s="279">
        <v>0</v>
      </c>
      <c r="AJ31" s="441"/>
      <c r="AK31" s="253" t="s">
        <v>3765</v>
      </c>
      <c r="AL31" s="254" t="str">
        <f t="shared" si="0"/>
        <v>TTC002</v>
      </c>
      <c r="AM31" s="255">
        <f>P31</f>
        <v>500</v>
      </c>
      <c r="AN31" s="280" t="s">
        <v>8931</v>
      </c>
      <c r="AO31" s="281">
        <v>1.2</v>
      </c>
      <c r="AP31" s="282">
        <v>128</v>
      </c>
      <c r="AQ31" s="282">
        <v>50</v>
      </c>
      <c r="AR31" s="283">
        <f t="shared" si="2"/>
        <v>3.0144000000000001E-2</v>
      </c>
      <c r="AS31" s="284">
        <v>860.13185762416686</v>
      </c>
      <c r="AT31" s="282">
        <v>508</v>
      </c>
      <c r="AU31" s="285">
        <v>0.36491507430997872</v>
      </c>
      <c r="AV31" s="286">
        <v>500</v>
      </c>
      <c r="AW31" s="287">
        <v>1026</v>
      </c>
      <c r="AX31" s="282">
        <v>330</v>
      </c>
      <c r="AY31" s="288">
        <v>500</v>
      </c>
      <c r="AZ31" s="288">
        <v>180</v>
      </c>
      <c r="BA31" s="289">
        <v>2.9700000000000001E-2</v>
      </c>
      <c r="BB31" s="289">
        <v>1.885</v>
      </c>
      <c r="BC31" s="290">
        <v>60</v>
      </c>
      <c r="BD31" s="291">
        <v>1.0999999999999999E-2</v>
      </c>
      <c r="BE31" s="292">
        <v>1.0999999999999999E-2</v>
      </c>
      <c r="BF31" s="282">
        <v>3</v>
      </c>
      <c r="BG31" s="163" t="s">
        <v>8932</v>
      </c>
      <c r="BH31" s="163">
        <v>3</v>
      </c>
      <c r="BK31" s="163">
        <v>0</v>
      </c>
      <c r="BM31" s="163" t="s">
        <v>8905</v>
      </c>
    </row>
    <row r="32" spans="1:65" ht="35.25" hidden="1" customHeight="1">
      <c r="A32" s="163" t="s">
        <v>8933</v>
      </c>
      <c r="B32" s="163" t="s">
        <v>2705</v>
      </c>
      <c r="C32" s="226" t="s">
        <v>8897</v>
      </c>
      <c r="D32" s="1497"/>
      <c r="E32" s="1453" t="s">
        <v>8902</v>
      </c>
      <c r="F32" s="1454">
        <v>12</v>
      </c>
      <c r="G32" s="408"/>
      <c r="H32" s="294"/>
      <c r="I32" s="294"/>
      <c r="J32" s="442" t="s">
        <v>2705</v>
      </c>
      <c r="K32" s="443" t="s">
        <v>2704</v>
      </c>
      <c r="L32" s="444" t="s">
        <v>5446</v>
      </c>
      <c r="M32" s="443">
        <v>1</v>
      </c>
      <c r="N32" s="445">
        <v>53</v>
      </c>
      <c r="O32" s="446" t="s">
        <v>4678</v>
      </c>
      <c r="P32" s="447">
        <v>500</v>
      </c>
      <c r="Q32" s="443">
        <v>20</v>
      </c>
      <c r="R32" s="237">
        <v>2</v>
      </c>
      <c r="S32" s="302">
        <v>0.1111111111111111</v>
      </c>
      <c r="T32" s="448">
        <v>5.5555555555555549E-3</v>
      </c>
      <c r="U32" s="449">
        <v>0.1111111111111111</v>
      </c>
      <c r="V32" s="450">
        <v>2.2067919999999995E-4</v>
      </c>
      <c r="W32" s="451">
        <v>1.6499999999999997E-4</v>
      </c>
      <c r="X32" s="452">
        <v>0</v>
      </c>
      <c r="Y32" s="453">
        <v>4</v>
      </c>
      <c r="Z32" s="454">
        <v>1</v>
      </c>
      <c r="AA32" s="443">
        <v>0</v>
      </c>
      <c r="AB32" s="455">
        <v>1</v>
      </c>
      <c r="AC32" s="420" t="s">
        <v>8898</v>
      </c>
      <c r="AD32" s="420" t="s">
        <v>8898</v>
      </c>
      <c r="AE32" s="456">
        <v>1</v>
      </c>
      <c r="AF32" s="238">
        <v>0</v>
      </c>
      <c r="AG32" s="313">
        <v>0</v>
      </c>
      <c r="AH32" s="314">
        <v>0</v>
      </c>
      <c r="AI32" s="315">
        <v>0</v>
      </c>
      <c r="AJ32" s="441"/>
      <c r="AK32" s="253" t="s">
        <v>2705</v>
      </c>
      <c r="AL32" s="254" t="str">
        <f t="shared" si="0"/>
        <v>HAN011</v>
      </c>
      <c r="AM32" s="255">
        <f>P32</f>
        <v>500</v>
      </c>
      <c r="AN32" s="316" t="s">
        <v>8918</v>
      </c>
      <c r="AO32" s="317">
        <v>1.8</v>
      </c>
      <c r="AP32" s="300">
        <v>502</v>
      </c>
      <c r="AQ32" s="300">
        <v>140</v>
      </c>
      <c r="AR32" s="318">
        <f t="shared" si="2"/>
        <v>0.99305639999999995</v>
      </c>
      <c r="AS32" s="319">
        <v>1205.8759921179847</v>
      </c>
      <c r="AT32" s="300">
        <v>508</v>
      </c>
      <c r="AU32" s="320">
        <v>0.50853103610227979</v>
      </c>
      <c r="AV32" s="321">
        <v>20</v>
      </c>
      <c r="AW32" s="322">
        <v>1026</v>
      </c>
      <c r="AX32" s="300">
        <v>330</v>
      </c>
      <c r="AY32" s="323">
        <v>500</v>
      </c>
      <c r="AZ32" s="323">
        <v>180</v>
      </c>
      <c r="BA32" s="324">
        <v>2.9700000000000001E-2</v>
      </c>
      <c r="BB32" s="324">
        <v>1.885</v>
      </c>
      <c r="BC32" s="325">
        <v>56</v>
      </c>
      <c r="BD32" s="326">
        <v>0.505</v>
      </c>
      <c r="BE32" s="327">
        <v>0.505</v>
      </c>
      <c r="BF32" s="300">
        <v>3</v>
      </c>
      <c r="BG32" s="163" t="s">
        <v>8904</v>
      </c>
      <c r="BH32" s="163">
        <v>1</v>
      </c>
      <c r="BK32" s="163">
        <v>0</v>
      </c>
      <c r="BM32" s="163" t="s">
        <v>8905</v>
      </c>
    </row>
    <row r="33" spans="1:65" ht="35.25" hidden="1" customHeight="1">
      <c r="A33" s="163" t="s">
        <v>8934</v>
      </c>
      <c r="B33" s="163" t="s">
        <v>2707</v>
      </c>
      <c r="C33" s="226" t="s">
        <v>8897</v>
      </c>
      <c r="D33" s="1497"/>
      <c r="E33" s="1453">
        <v>0</v>
      </c>
      <c r="F33" s="1454">
        <v>0</v>
      </c>
      <c r="G33" s="422"/>
      <c r="H33" s="231"/>
      <c r="I33" s="231"/>
      <c r="J33" s="457" t="s">
        <v>2707</v>
      </c>
      <c r="K33" s="458" t="s">
        <v>2706</v>
      </c>
      <c r="L33" s="459" t="s">
        <v>5446</v>
      </c>
      <c r="M33" s="458">
        <v>1</v>
      </c>
      <c r="N33" s="460">
        <v>53</v>
      </c>
      <c r="O33" s="461" t="s">
        <v>4678</v>
      </c>
      <c r="P33" s="462">
        <v>500</v>
      </c>
      <c r="Q33" s="458">
        <v>20</v>
      </c>
      <c r="R33" s="237">
        <v>0</v>
      </c>
      <c r="S33" s="302">
        <v>0</v>
      </c>
      <c r="T33" s="463">
        <v>0</v>
      </c>
      <c r="U33" s="455">
        <v>0</v>
      </c>
      <c r="V33" s="464">
        <v>0</v>
      </c>
      <c r="W33" s="465">
        <v>0</v>
      </c>
      <c r="X33" s="452">
        <v>0</v>
      </c>
      <c r="Y33" s="466">
        <v>4</v>
      </c>
      <c r="Z33" s="467">
        <v>0</v>
      </c>
      <c r="AA33" s="458">
        <v>0</v>
      </c>
      <c r="AB33" s="455">
        <v>1</v>
      </c>
      <c r="AC33" s="368" t="s">
        <v>8898</v>
      </c>
      <c r="AD33" s="368" t="s">
        <v>8898</v>
      </c>
      <c r="AE33" s="468">
        <v>1</v>
      </c>
      <c r="AF33" s="238">
        <v>0</v>
      </c>
      <c r="AG33" s="313">
        <v>0</v>
      </c>
      <c r="AH33" s="405">
        <v>0</v>
      </c>
      <c r="AI33" s="406">
        <v>0</v>
      </c>
      <c r="AJ33" s="441"/>
      <c r="AK33" s="253" t="s">
        <v>2707</v>
      </c>
      <c r="AL33" s="254" t="str">
        <f t="shared" si="0"/>
        <v>HAN011</v>
      </c>
      <c r="AM33" s="255">
        <f>P33</f>
        <v>500</v>
      </c>
      <c r="AN33" s="373" t="s">
        <v>8918</v>
      </c>
      <c r="AO33" s="374">
        <v>1.8</v>
      </c>
      <c r="AP33" s="375">
        <v>502</v>
      </c>
      <c r="AQ33" s="375">
        <v>140</v>
      </c>
      <c r="AR33" s="376">
        <f t="shared" si="2"/>
        <v>0.99305639999999995</v>
      </c>
      <c r="AS33" s="377">
        <v>1205.8759921179847</v>
      </c>
      <c r="AT33" s="375">
        <v>508</v>
      </c>
      <c r="AU33" s="378">
        <v>0.50853103610227979</v>
      </c>
      <c r="AV33" s="379">
        <v>20</v>
      </c>
      <c r="AW33" s="380">
        <v>1026</v>
      </c>
      <c r="AX33" s="375">
        <v>330</v>
      </c>
      <c r="AY33" s="381">
        <v>500</v>
      </c>
      <c r="AZ33" s="381">
        <v>180</v>
      </c>
      <c r="BA33" s="382">
        <v>2.9700000000000001E-2</v>
      </c>
      <c r="BB33" s="382">
        <v>1.885</v>
      </c>
      <c r="BC33" s="264">
        <v>56</v>
      </c>
      <c r="BD33" s="383">
        <v>0.505</v>
      </c>
      <c r="BE33" s="384">
        <v>0.505</v>
      </c>
      <c r="BF33" s="375">
        <v>3</v>
      </c>
      <c r="BG33" s="163" t="s">
        <v>8904</v>
      </c>
      <c r="BH33" s="163">
        <v>1</v>
      </c>
      <c r="BK33" s="163">
        <v>0</v>
      </c>
      <c r="BM33" s="163" t="s">
        <v>8905</v>
      </c>
    </row>
    <row r="34" spans="1:65" ht="35.25" hidden="1" customHeight="1">
      <c r="A34" s="163" t="s">
        <v>8935</v>
      </c>
      <c r="B34" s="163" t="s">
        <v>2761</v>
      </c>
      <c r="C34" s="226" t="s">
        <v>8897</v>
      </c>
      <c r="D34" s="1497"/>
      <c r="E34" s="1453" t="s">
        <v>8902</v>
      </c>
      <c r="F34" s="1454">
        <v>13</v>
      </c>
      <c r="G34" s="408"/>
      <c r="H34" s="294"/>
      <c r="I34" s="294"/>
      <c r="J34" s="442" t="s">
        <v>2761</v>
      </c>
      <c r="K34" s="246" t="s">
        <v>2760</v>
      </c>
      <c r="L34" s="469" t="s">
        <v>5447</v>
      </c>
      <c r="M34" s="246">
        <v>1</v>
      </c>
      <c r="N34" s="470">
        <v>53</v>
      </c>
      <c r="O34" s="471" t="s">
        <v>4678</v>
      </c>
      <c r="P34" s="472">
        <v>500</v>
      </c>
      <c r="Q34" s="246">
        <v>20</v>
      </c>
      <c r="R34" s="237">
        <v>2</v>
      </c>
      <c r="S34" s="302">
        <v>0.1111111111111111</v>
      </c>
      <c r="T34" s="473">
        <v>5.5555555555555549E-3</v>
      </c>
      <c r="U34" s="474">
        <v>0.1111111111111111</v>
      </c>
      <c r="V34" s="475">
        <v>0.11033959999999998</v>
      </c>
      <c r="W34" s="476">
        <v>1.6499999999999997E-4</v>
      </c>
      <c r="X34" s="477">
        <v>1</v>
      </c>
      <c r="Y34" s="244">
        <v>4</v>
      </c>
      <c r="Z34" s="245">
        <v>1</v>
      </c>
      <c r="AA34" s="246">
        <v>0</v>
      </c>
      <c r="AB34" s="240">
        <v>1</v>
      </c>
      <c r="AC34" s="420" t="s">
        <v>8898</v>
      </c>
      <c r="AD34" s="420" t="s">
        <v>8898</v>
      </c>
      <c r="AE34" s="478">
        <v>1</v>
      </c>
      <c r="AF34" s="250">
        <v>0</v>
      </c>
      <c r="AG34" s="249">
        <v>0</v>
      </c>
      <c r="AH34" s="314">
        <v>0</v>
      </c>
      <c r="AI34" s="315">
        <v>0</v>
      </c>
      <c r="AJ34" s="441"/>
      <c r="AK34" s="253" t="s">
        <v>2761</v>
      </c>
      <c r="AL34" s="254" t="str">
        <f t="shared" si="0"/>
        <v>HAN011</v>
      </c>
      <c r="AM34" s="255">
        <v>1</v>
      </c>
      <c r="AN34" s="316" t="s">
        <v>8918</v>
      </c>
      <c r="AO34" s="317">
        <v>1.8</v>
      </c>
      <c r="AP34" s="300">
        <v>502</v>
      </c>
      <c r="AQ34" s="300">
        <v>140</v>
      </c>
      <c r="AR34" s="318">
        <f t="shared" si="2"/>
        <v>0.99305639999999995</v>
      </c>
      <c r="AS34" s="319">
        <v>1205.8759921179847</v>
      </c>
      <c r="AT34" s="300">
        <v>508</v>
      </c>
      <c r="AU34" s="320">
        <v>0.50853103610227979</v>
      </c>
      <c r="AV34" s="321">
        <v>20</v>
      </c>
      <c r="AW34" s="322">
        <v>1026</v>
      </c>
      <c r="AX34" s="300">
        <v>330</v>
      </c>
      <c r="AY34" s="323">
        <v>500</v>
      </c>
      <c r="AZ34" s="323">
        <v>180</v>
      </c>
      <c r="BA34" s="324">
        <v>2.9700000000000001E-2</v>
      </c>
      <c r="BB34" s="324">
        <v>1.885</v>
      </c>
      <c r="BC34" s="325">
        <v>56</v>
      </c>
      <c r="BD34" s="326">
        <v>0.505</v>
      </c>
      <c r="BE34" s="327">
        <v>0.505</v>
      </c>
      <c r="BF34" s="300">
        <v>3</v>
      </c>
      <c r="BG34" s="163" t="s">
        <v>8904</v>
      </c>
      <c r="BH34" s="163">
        <v>1</v>
      </c>
      <c r="BK34" s="163">
        <v>0</v>
      </c>
      <c r="BM34" s="163" t="s">
        <v>8905</v>
      </c>
    </row>
    <row r="35" spans="1:65" ht="35.25" hidden="1" customHeight="1">
      <c r="A35" s="163" t="s">
        <v>8936</v>
      </c>
      <c r="B35" s="163" t="s">
        <v>2763</v>
      </c>
      <c r="C35" s="226" t="s">
        <v>8897</v>
      </c>
      <c r="D35" s="1497"/>
      <c r="E35" s="1453">
        <v>0</v>
      </c>
      <c r="F35" s="1454">
        <v>0</v>
      </c>
      <c r="G35" s="422"/>
      <c r="H35" s="231"/>
      <c r="I35" s="231"/>
      <c r="J35" s="457" t="s">
        <v>2763</v>
      </c>
      <c r="K35" s="458" t="s">
        <v>2762</v>
      </c>
      <c r="L35" s="459" t="s">
        <v>5447</v>
      </c>
      <c r="M35" s="458">
        <v>1</v>
      </c>
      <c r="N35" s="460">
        <v>53</v>
      </c>
      <c r="O35" s="461" t="s">
        <v>4678</v>
      </c>
      <c r="P35" s="462">
        <v>500</v>
      </c>
      <c r="Q35" s="458">
        <v>20</v>
      </c>
      <c r="R35" s="237">
        <v>0</v>
      </c>
      <c r="S35" s="302">
        <v>0</v>
      </c>
      <c r="T35" s="463">
        <v>0</v>
      </c>
      <c r="U35" s="455">
        <v>0</v>
      </c>
      <c r="V35" s="464">
        <v>0</v>
      </c>
      <c r="W35" s="465">
        <v>0</v>
      </c>
      <c r="X35" s="452">
        <v>0</v>
      </c>
      <c r="Y35" s="466">
        <v>4</v>
      </c>
      <c r="Z35" s="467">
        <v>0</v>
      </c>
      <c r="AA35" s="458">
        <v>0</v>
      </c>
      <c r="AB35" s="455">
        <v>1</v>
      </c>
      <c r="AC35" s="368" t="s">
        <v>8898</v>
      </c>
      <c r="AD35" s="368" t="s">
        <v>8898</v>
      </c>
      <c r="AE35" s="468">
        <v>1</v>
      </c>
      <c r="AF35" s="238">
        <v>0</v>
      </c>
      <c r="AG35" s="313">
        <v>0</v>
      </c>
      <c r="AH35" s="405">
        <v>0</v>
      </c>
      <c r="AI35" s="406">
        <v>0</v>
      </c>
      <c r="AJ35" s="441"/>
      <c r="AK35" s="253" t="s">
        <v>2763</v>
      </c>
      <c r="AL35" s="254" t="str">
        <f t="shared" si="0"/>
        <v>HAN011</v>
      </c>
      <c r="AM35" s="255">
        <f t="shared" si="0"/>
        <v>500</v>
      </c>
      <c r="AN35" s="373" t="s">
        <v>8918</v>
      </c>
      <c r="AO35" s="374">
        <v>1.8</v>
      </c>
      <c r="AP35" s="375">
        <v>502</v>
      </c>
      <c r="AQ35" s="375">
        <v>140</v>
      </c>
      <c r="AR35" s="376">
        <f t="shared" si="2"/>
        <v>0.99305639999999995</v>
      </c>
      <c r="AS35" s="377">
        <v>1205.8759921179847</v>
      </c>
      <c r="AT35" s="375">
        <v>508</v>
      </c>
      <c r="AU35" s="378">
        <v>0.50853103610227979</v>
      </c>
      <c r="AV35" s="379">
        <v>20</v>
      </c>
      <c r="AW35" s="380">
        <v>1026</v>
      </c>
      <c r="AX35" s="375">
        <v>330</v>
      </c>
      <c r="AY35" s="381">
        <v>500</v>
      </c>
      <c r="AZ35" s="381">
        <v>180</v>
      </c>
      <c r="BA35" s="382">
        <v>2.9700000000000001E-2</v>
      </c>
      <c r="BB35" s="382">
        <v>1.885</v>
      </c>
      <c r="BC35" s="264">
        <v>56</v>
      </c>
      <c r="BD35" s="383">
        <v>0.505</v>
      </c>
      <c r="BE35" s="384">
        <v>0.505</v>
      </c>
      <c r="BF35" s="375">
        <v>3</v>
      </c>
      <c r="BG35" s="163" t="s">
        <v>8904</v>
      </c>
      <c r="BH35" s="163">
        <v>1</v>
      </c>
      <c r="BK35" s="163">
        <v>0</v>
      </c>
      <c r="BM35" s="163" t="s">
        <v>8905</v>
      </c>
    </row>
    <row r="36" spans="1:65" ht="35.25" hidden="1" customHeight="1">
      <c r="A36" s="163" t="s">
        <v>8937</v>
      </c>
      <c r="B36" s="163" t="s">
        <v>1324</v>
      </c>
      <c r="C36" s="226" t="s">
        <v>8897</v>
      </c>
      <c r="D36" s="1497"/>
      <c r="E36" s="1453" t="s">
        <v>8916</v>
      </c>
      <c r="F36" s="1454">
        <v>5</v>
      </c>
      <c r="G36" s="408"/>
      <c r="H36" s="294"/>
      <c r="I36" s="294"/>
      <c r="J36" s="442" t="s">
        <v>1324</v>
      </c>
      <c r="K36" s="443" t="s">
        <v>1323</v>
      </c>
      <c r="L36" s="444" t="s">
        <v>8262</v>
      </c>
      <c r="M36" s="443">
        <v>1</v>
      </c>
      <c r="N36" s="445">
        <v>55</v>
      </c>
      <c r="O36" s="446" t="s">
        <v>4592</v>
      </c>
      <c r="P36" s="446">
        <v>500</v>
      </c>
      <c r="Q36" s="443">
        <v>30</v>
      </c>
      <c r="R36" s="237">
        <v>3</v>
      </c>
      <c r="S36" s="302">
        <v>0.16666666666666666</v>
      </c>
      <c r="T36" s="448">
        <v>5.5555555555555549E-3</v>
      </c>
      <c r="U36" s="1499">
        <v>0.16666666666666666</v>
      </c>
      <c r="V36" s="1501">
        <v>0</v>
      </c>
      <c r="W36" s="451">
        <v>1.6499999999999997E-4</v>
      </c>
      <c r="X36" s="479">
        <v>13</v>
      </c>
      <c r="Y36" s="453">
        <v>4</v>
      </c>
      <c r="Z36" s="454">
        <v>1</v>
      </c>
      <c r="AA36" s="443">
        <v>0</v>
      </c>
      <c r="AB36" s="455">
        <v>1</v>
      </c>
      <c r="AC36" s="420" t="s">
        <v>8898</v>
      </c>
      <c r="AD36" s="420" t="s">
        <v>8898</v>
      </c>
      <c r="AE36" s="468">
        <v>1</v>
      </c>
      <c r="AF36" s="238">
        <v>0</v>
      </c>
      <c r="AG36" s="313">
        <v>0</v>
      </c>
      <c r="AH36" s="314">
        <v>0</v>
      </c>
      <c r="AI36" s="315">
        <v>0</v>
      </c>
      <c r="AJ36" s="441"/>
      <c r="AK36" s="253" t="s">
        <v>1324</v>
      </c>
      <c r="AL36" s="254" t="str">
        <f t="shared" si="0"/>
        <v>HAN006</v>
      </c>
      <c r="AM36" s="255">
        <f t="shared" si="0"/>
        <v>500</v>
      </c>
      <c r="AN36" s="316" t="s">
        <v>8899</v>
      </c>
      <c r="AO36" s="317">
        <v>1.8</v>
      </c>
      <c r="AP36" s="300">
        <v>917</v>
      </c>
      <c r="AQ36" s="300">
        <v>102</v>
      </c>
      <c r="AR36" s="318">
        <f t="shared" si="2"/>
        <v>1.32163542</v>
      </c>
      <c r="AS36" s="319">
        <v>964.64269946062552</v>
      </c>
      <c r="AT36" s="300">
        <v>508</v>
      </c>
      <c r="AU36" s="320">
        <v>0.18159319610244706</v>
      </c>
      <c r="AV36" s="321">
        <v>30</v>
      </c>
      <c r="AW36" s="322">
        <v>1026</v>
      </c>
      <c r="AX36" s="300">
        <v>330</v>
      </c>
      <c r="AY36" s="323">
        <v>500</v>
      </c>
      <c r="AZ36" s="323">
        <v>180</v>
      </c>
      <c r="BA36" s="324">
        <v>2.9700000000000001E-2</v>
      </c>
      <c r="BB36" s="324">
        <v>1.885</v>
      </c>
      <c r="BC36" s="325">
        <v>60</v>
      </c>
      <c r="BD36" s="326">
        <v>0.12</v>
      </c>
      <c r="BE36" s="327">
        <v>0.12</v>
      </c>
      <c r="BF36" s="300">
        <v>3</v>
      </c>
      <c r="BG36" s="163" t="s">
        <v>8904</v>
      </c>
      <c r="BH36" s="163">
        <v>1</v>
      </c>
      <c r="BK36" s="163">
        <v>0</v>
      </c>
      <c r="BM36" s="163" t="s">
        <v>8905</v>
      </c>
    </row>
    <row r="37" spans="1:65" ht="35.25" hidden="1" customHeight="1">
      <c r="A37" s="163" t="s">
        <v>8938</v>
      </c>
      <c r="B37" s="163" t="s">
        <v>1336</v>
      </c>
      <c r="C37" s="226" t="s">
        <v>8897</v>
      </c>
      <c r="D37" s="1497"/>
      <c r="E37" s="1453">
        <v>0</v>
      </c>
      <c r="F37" s="1454">
        <v>0</v>
      </c>
      <c r="G37" s="422"/>
      <c r="H37" s="231"/>
      <c r="I37" s="231"/>
      <c r="J37" s="457" t="s">
        <v>1336</v>
      </c>
      <c r="K37" s="458" t="s">
        <v>1335</v>
      </c>
      <c r="L37" s="459" t="s">
        <v>8264</v>
      </c>
      <c r="M37" s="458">
        <v>1</v>
      </c>
      <c r="N37" s="460">
        <v>55</v>
      </c>
      <c r="O37" s="461" t="s">
        <v>4592</v>
      </c>
      <c r="P37" s="461">
        <v>500</v>
      </c>
      <c r="Q37" s="458">
        <v>30</v>
      </c>
      <c r="R37" s="237">
        <v>4</v>
      </c>
      <c r="S37" s="302">
        <v>0.22222222222222221</v>
      </c>
      <c r="T37" s="463">
        <v>7.4074074074074068E-3</v>
      </c>
      <c r="U37" s="1500">
        <v>0.22222222222222221</v>
      </c>
      <c r="V37" s="1502">
        <v>5.8739352000000006E-4</v>
      </c>
      <c r="W37" s="465">
        <v>2.1999999999999998E-4</v>
      </c>
      <c r="X37" s="479">
        <v>13</v>
      </c>
      <c r="Y37" s="466">
        <v>4</v>
      </c>
      <c r="Z37" s="467">
        <v>1</v>
      </c>
      <c r="AA37" s="458">
        <v>0</v>
      </c>
      <c r="AB37" s="455">
        <v>1</v>
      </c>
      <c r="AC37" s="368" t="s">
        <v>8898</v>
      </c>
      <c r="AD37" s="368" t="s">
        <v>8898</v>
      </c>
      <c r="AE37" s="468">
        <v>1</v>
      </c>
      <c r="AF37" s="238">
        <v>0</v>
      </c>
      <c r="AG37" s="313">
        <v>0</v>
      </c>
      <c r="AH37" s="405">
        <v>0</v>
      </c>
      <c r="AI37" s="406">
        <v>0</v>
      </c>
      <c r="AJ37" s="441"/>
      <c r="AK37" s="253" t="s">
        <v>1336</v>
      </c>
      <c r="AL37" s="254" t="str">
        <f t="shared" si="0"/>
        <v>HAN006</v>
      </c>
      <c r="AM37" s="255">
        <f t="shared" si="0"/>
        <v>500</v>
      </c>
      <c r="AN37" s="373" t="s">
        <v>8899</v>
      </c>
      <c r="AO37" s="374">
        <v>1.8</v>
      </c>
      <c r="AP37" s="375">
        <v>917</v>
      </c>
      <c r="AQ37" s="375">
        <v>102</v>
      </c>
      <c r="AR37" s="376">
        <f t="shared" si="2"/>
        <v>1.32163542</v>
      </c>
      <c r="AS37" s="377">
        <v>964.64269946062552</v>
      </c>
      <c r="AT37" s="375">
        <v>508</v>
      </c>
      <c r="AU37" s="378">
        <v>0.18159319610244706</v>
      </c>
      <c r="AV37" s="379">
        <v>30</v>
      </c>
      <c r="AW37" s="380">
        <v>1026</v>
      </c>
      <c r="AX37" s="375">
        <v>330</v>
      </c>
      <c r="AY37" s="381">
        <v>500</v>
      </c>
      <c r="AZ37" s="381">
        <v>180</v>
      </c>
      <c r="BA37" s="382">
        <v>2.9700000000000001E-2</v>
      </c>
      <c r="BB37" s="382">
        <v>1.885</v>
      </c>
      <c r="BC37" s="264">
        <v>60</v>
      </c>
      <c r="BD37" s="383">
        <v>0.12</v>
      </c>
      <c r="BE37" s="384">
        <v>0.12</v>
      </c>
      <c r="BF37" s="375">
        <v>3</v>
      </c>
      <c r="BG37" s="163" t="s">
        <v>8904</v>
      </c>
      <c r="BH37" s="163">
        <v>1</v>
      </c>
      <c r="BK37" s="163">
        <v>0</v>
      </c>
      <c r="BM37" s="163" t="s">
        <v>8905</v>
      </c>
    </row>
    <row r="38" spans="1:65" ht="35.25" hidden="1" customHeight="1">
      <c r="A38" s="163" t="s">
        <v>8939</v>
      </c>
      <c r="B38" s="163" t="s">
        <v>1342</v>
      </c>
      <c r="C38" s="226" t="s">
        <v>8897</v>
      </c>
      <c r="D38" s="1497"/>
      <c r="E38" s="1453" t="s">
        <v>8916</v>
      </c>
      <c r="F38" s="1454">
        <v>6</v>
      </c>
      <c r="G38" s="408"/>
      <c r="H38" s="294"/>
      <c r="I38" s="294"/>
      <c r="J38" s="442" t="s">
        <v>1342</v>
      </c>
      <c r="K38" s="443" t="s">
        <v>1341</v>
      </c>
      <c r="L38" s="444" t="s">
        <v>8265</v>
      </c>
      <c r="M38" s="443">
        <v>1</v>
      </c>
      <c r="N38" s="445">
        <v>55</v>
      </c>
      <c r="O38" s="446" t="s">
        <v>4592</v>
      </c>
      <c r="P38" s="446">
        <v>500</v>
      </c>
      <c r="Q38" s="443">
        <v>35</v>
      </c>
      <c r="R38" s="237">
        <v>3</v>
      </c>
      <c r="S38" s="302">
        <v>0.16666666666666666</v>
      </c>
      <c r="T38" s="448">
        <v>4.7619047619047615E-3</v>
      </c>
      <c r="U38" s="1499">
        <v>0.16666666666666666</v>
      </c>
      <c r="V38" s="1501">
        <v>0</v>
      </c>
      <c r="W38" s="451">
        <v>1.4142857142857143E-4</v>
      </c>
      <c r="X38" s="479">
        <v>14</v>
      </c>
      <c r="Y38" s="453">
        <v>4</v>
      </c>
      <c r="Z38" s="454">
        <v>1</v>
      </c>
      <c r="AA38" s="443">
        <v>0</v>
      </c>
      <c r="AB38" s="455">
        <v>1</v>
      </c>
      <c r="AC38" s="420" t="s">
        <v>8898</v>
      </c>
      <c r="AD38" s="420" t="s">
        <v>8898</v>
      </c>
      <c r="AE38" s="468">
        <v>1</v>
      </c>
      <c r="AF38" s="238">
        <v>0</v>
      </c>
      <c r="AG38" s="313">
        <v>0</v>
      </c>
      <c r="AH38" s="314">
        <v>0</v>
      </c>
      <c r="AI38" s="315">
        <v>0</v>
      </c>
      <c r="AJ38" s="441"/>
      <c r="AK38" s="253" t="s">
        <v>1342</v>
      </c>
      <c r="AL38" s="254" t="str">
        <f t="shared" si="0"/>
        <v>HAN006</v>
      </c>
      <c r="AM38" s="255">
        <f t="shared" si="0"/>
        <v>500</v>
      </c>
      <c r="AN38" s="316" t="s">
        <v>8899</v>
      </c>
      <c r="AO38" s="317">
        <v>1.8</v>
      </c>
      <c r="AP38" s="300">
        <v>917</v>
      </c>
      <c r="AQ38" s="300">
        <v>84</v>
      </c>
      <c r="AR38" s="318">
        <f t="shared" si="2"/>
        <v>1.0884056400000002</v>
      </c>
      <c r="AS38" s="319">
        <v>964.64269946062552</v>
      </c>
      <c r="AT38" s="300">
        <v>508</v>
      </c>
      <c r="AU38" s="320">
        <v>0.2205060238386857</v>
      </c>
      <c r="AV38" s="321">
        <v>35</v>
      </c>
      <c r="AW38" s="322">
        <v>1026</v>
      </c>
      <c r="AX38" s="300">
        <v>330</v>
      </c>
      <c r="AY38" s="323">
        <v>500</v>
      </c>
      <c r="AZ38" s="323">
        <v>180</v>
      </c>
      <c r="BA38" s="324">
        <v>2.9700000000000001E-2</v>
      </c>
      <c r="BB38" s="324">
        <v>1.885</v>
      </c>
      <c r="BC38" s="325">
        <v>60</v>
      </c>
      <c r="BD38" s="326">
        <v>0.12</v>
      </c>
      <c r="BE38" s="327">
        <v>0.12</v>
      </c>
      <c r="BF38" s="300">
        <v>3</v>
      </c>
      <c r="BG38" s="163" t="s">
        <v>8904</v>
      </c>
      <c r="BH38" s="163">
        <v>1</v>
      </c>
      <c r="BK38" s="163">
        <v>0</v>
      </c>
      <c r="BM38" s="163" t="s">
        <v>8905</v>
      </c>
    </row>
    <row r="39" spans="1:65" ht="35.25" hidden="1" customHeight="1">
      <c r="A39" s="163" t="s">
        <v>8940</v>
      </c>
      <c r="B39" s="163" t="s">
        <v>1350</v>
      </c>
      <c r="C39" s="226" t="s">
        <v>8897</v>
      </c>
      <c r="D39" s="1497"/>
      <c r="E39" s="1453">
        <v>0</v>
      </c>
      <c r="F39" s="1454">
        <v>0</v>
      </c>
      <c r="G39" s="422"/>
      <c r="H39" s="231"/>
      <c r="I39" s="231"/>
      <c r="J39" s="457" t="s">
        <v>1350</v>
      </c>
      <c r="K39" s="458" t="s">
        <v>1349</v>
      </c>
      <c r="L39" s="459" t="s">
        <v>8266</v>
      </c>
      <c r="M39" s="458">
        <v>1</v>
      </c>
      <c r="N39" s="460">
        <v>55</v>
      </c>
      <c r="O39" s="461" t="s">
        <v>4592</v>
      </c>
      <c r="P39" s="461">
        <v>500</v>
      </c>
      <c r="Q39" s="458">
        <v>35</v>
      </c>
      <c r="R39" s="237">
        <v>4</v>
      </c>
      <c r="S39" s="302">
        <v>0.22222222222222221</v>
      </c>
      <c r="T39" s="463">
        <v>6.3492063492063492E-3</v>
      </c>
      <c r="U39" s="1500">
        <v>0.22222222222222221</v>
      </c>
      <c r="V39" s="1502">
        <v>4.8373584000000001E-4</v>
      </c>
      <c r="W39" s="465">
        <v>1.8857142857142857E-4</v>
      </c>
      <c r="X39" s="479">
        <v>14</v>
      </c>
      <c r="Y39" s="466">
        <v>4</v>
      </c>
      <c r="Z39" s="467">
        <v>1</v>
      </c>
      <c r="AA39" s="458">
        <v>0</v>
      </c>
      <c r="AB39" s="455">
        <v>1</v>
      </c>
      <c r="AC39" s="368" t="s">
        <v>8898</v>
      </c>
      <c r="AD39" s="368" t="s">
        <v>8898</v>
      </c>
      <c r="AE39" s="468">
        <v>1</v>
      </c>
      <c r="AF39" s="238">
        <v>0</v>
      </c>
      <c r="AG39" s="313">
        <v>0</v>
      </c>
      <c r="AH39" s="405">
        <v>0</v>
      </c>
      <c r="AI39" s="406">
        <v>0</v>
      </c>
      <c r="AJ39" s="441"/>
      <c r="AK39" s="253" t="s">
        <v>1350</v>
      </c>
      <c r="AL39" s="254" t="str">
        <f t="shared" si="0"/>
        <v>HAN006</v>
      </c>
      <c r="AM39" s="255">
        <f t="shared" si="0"/>
        <v>500</v>
      </c>
      <c r="AN39" s="373" t="s">
        <v>8899</v>
      </c>
      <c r="AO39" s="374">
        <v>1.8</v>
      </c>
      <c r="AP39" s="375">
        <v>917</v>
      </c>
      <c r="AQ39" s="375">
        <v>84</v>
      </c>
      <c r="AR39" s="376">
        <f t="shared" si="2"/>
        <v>1.0884056400000002</v>
      </c>
      <c r="AS39" s="377">
        <v>964.64269946062552</v>
      </c>
      <c r="AT39" s="375">
        <v>508</v>
      </c>
      <c r="AU39" s="378">
        <v>0.2205060238386857</v>
      </c>
      <c r="AV39" s="379">
        <v>35</v>
      </c>
      <c r="AW39" s="380">
        <v>1026</v>
      </c>
      <c r="AX39" s="375">
        <v>330</v>
      </c>
      <c r="AY39" s="381">
        <v>500</v>
      </c>
      <c r="AZ39" s="381">
        <v>180</v>
      </c>
      <c r="BA39" s="382">
        <v>2.9700000000000001E-2</v>
      </c>
      <c r="BB39" s="382">
        <v>1.885</v>
      </c>
      <c r="BC39" s="264">
        <v>60</v>
      </c>
      <c r="BD39" s="383">
        <v>0.12</v>
      </c>
      <c r="BE39" s="384">
        <v>0.12</v>
      </c>
      <c r="BF39" s="375">
        <v>3</v>
      </c>
      <c r="BG39" s="163" t="s">
        <v>8904</v>
      </c>
      <c r="BH39" s="163">
        <v>1</v>
      </c>
      <c r="BK39" s="163">
        <v>0</v>
      </c>
      <c r="BM39" s="163" t="s">
        <v>8905</v>
      </c>
    </row>
    <row r="40" spans="1:65" ht="35.25" hidden="1" customHeight="1">
      <c r="A40" s="163" t="s">
        <v>8941</v>
      </c>
      <c r="B40" s="163" t="s">
        <v>1380</v>
      </c>
      <c r="C40" s="226" t="s">
        <v>8897</v>
      </c>
      <c r="D40" s="1497"/>
      <c r="E40" s="227"/>
      <c r="F40" s="268">
        <v>7</v>
      </c>
      <c r="G40" s="424"/>
      <c r="H40" s="271"/>
      <c r="I40" s="271"/>
      <c r="J40" s="480" t="s">
        <v>1380</v>
      </c>
      <c r="K40" s="481" t="s">
        <v>1379</v>
      </c>
      <c r="L40" s="482" t="s">
        <v>101</v>
      </c>
      <c r="M40" s="481">
        <v>1</v>
      </c>
      <c r="N40" s="483">
        <v>56</v>
      </c>
      <c r="O40" s="484" t="s">
        <v>4588</v>
      </c>
      <c r="P40" s="484">
        <v>500</v>
      </c>
      <c r="Q40" s="481">
        <v>25</v>
      </c>
      <c r="R40" s="237">
        <v>3</v>
      </c>
      <c r="S40" s="302">
        <v>0.16666666666666666</v>
      </c>
      <c r="T40" s="463">
        <v>6.6666666666666662E-3</v>
      </c>
      <c r="U40" s="455">
        <v>0.16666666666666666</v>
      </c>
      <c r="V40" s="464">
        <v>0</v>
      </c>
      <c r="W40" s="485">
        <v>1.9799999999999999E-4</v>
      </c>
      <c r="X40" s="479">
        <v>35</v>
      </c>
      <c r="Y40" s="486">
        <v>4</v>
      </c>
      <c r="Z40" s="487">
        <v>1</v>
      </c>
      <c r="AA40" s="481">
        <v>0</v>
      </c>
      <c r="AB40" s="455">
        <v>1</v>
      </c>
      <c r="AC40" s="420" t="s">
        <v>8898</v>
      </c>
      <c r="AD40" s="420" t="s">
        <v>8898</v>
      </c>
      <c r="AE40" s="468">
        <v>1</v>
      </c>
      <c r="AF40" s="238">
        <v>0</v>
      </c>
      <c r="AG40" s="313">
        <v>0</v>
      </c>
      <c r="AH40" s="278">
        <v>0</v>
      </c>
      <c r="AI40" s="279">
        <v>0</v>
      </c>
      <c r="AJ40" s="441"/>
      <c r="AK40" s="253" t="s">
        <v>1380</v>
      </c>
      <c r="AL40" s="254" t="str">
        <f t="shared" si="0"/>
        <v>TTC005</v>
      </c>
      <c r="AM40" s="255">
        <f t="shared" si="0"/>
        <v>500</v>
      </c>
      <c r="AN40" s="280" t="s">
        <v>8899</v>
      </c>
      <c r="AO40" s="281">
        <v>1.8</v>
      </c>
      <c r="AP40" s="282">
        <v>408</v>
      </c>
      <c r="AQ40" s="282">
        <v>101</v>
      </c>
      <c r="AR40" s="283">
        <f t="shared" si="2"/>
        <v>0.5822690399999999</v>
      </c>
      <c r="AS40" s="284">
        <v>1253.2384637645077</v>
      </c>
      <c r="AT40" s="282">
        <v>508</v>
      </c>
      <c r="AU40" s="285">
        <v>0.84153538371196945</v>
      </c>
      <c r="AV40" s="286">
        <v>25</v>
      </c>
      <c r="AW40" s="287">
        <v>1026</v>
      </c>
      <c r="AX40" s="282">
        <v>330</v>
      </c>
      <c r="AY40" s="288">
        <v>500</v>
      </c>
      <c r="AZ40" s="288">
        <v>180</v>
      </c>
      <c r="BA40" s="289">
        <v>2.9700000000000001E-2</v>
      </c>
      <c r="BB40" s="289">
        <v>1.885</v>
      </c>
      <c r="BC40" s="290">
        <v>60</v>
      </c>
      <c r="BD40" s="291">
        <v>0.49</v>
      </c>
      <c r="BE40" s="292">
        <v>0.49</v>
      </c>
      <c r="BF40" s="282">
        <v>3</v>
      </c>
      <c r="BG40" s="163" t="s">
        <v>8904</v>
      </c>
      <c r="BH40" s="163">
        <v>1</v>
      </c>
      <c r="BK40" s="163">
        <v>0</v>
      </c>
      <c r="BM40" s="163" t="s">
        <v>8905</v>
      </c>
    </row>
    <row r="41" spans="1:65" ht="35.25" hidden="1" customHeight="1">
      <c r="A41" s="163" t="s">
        <v>8942</v>
      </c>
      <c r="B41" s="163" t="s">
        <v>1410</v>
      </c>
      <c r="C41" s="226" t="s">
        <v>8897</v>
      </c>
      <c r="D41" s="1497"/>
      <c r="E41" s="227"/>
      <c r="F41" s="268">
        <v>8</v>
      </c>
      <c r="G41" s="424"/>
      <c r="H41" s="271"/>
      <c r="I41" s="271"/>
      <c r="J41" s="480" t="s">
        <v>1410</v>
      </c>
      <c r="K41" s="481" t="s">
        <v>1409</v>
      </c>
      <c r="L41" s="482" t="s">
        <v>8269</v>
      </c>
      <c r="M41" s="481">
        <v>1</v>
      </c>
      <c r="N41" s="483">
        <v>56</v>
      </c>
      <c r="O41" s="484" t="s">
        <v>4676</v>
      </c>
      <c r="P41" s="484">
        <v>500</v>
      </c>
      <c r="Q41" s="481">
        <v>25</v>
      </c>
      <c r="R41" s="237">
        <v>4</v>
      </c>
      <c r="S41" s="302">
        <v>0.22222222222222221</v>
      </c>
      <c r="T41" s="463">
        <v>8.8888888888888889E-3</v>
      </c>
      <c r="U41" s="455">
        <v>0.22222222222222221</v>
      </c>
      <c r="V41" s="464">
        <v>0</v>
      </c>
      <c r="W41" s="485">
        <v>2.6400000000000002E-4</v>
      </c>
      <c r="X41" s="479">
        <v>32</v>
      </c>
      <c r="Y41" s="486">
        <v>4</v>
      </c>
      <c r="Z41" s="487">
        <v>1</v>
      </c>
      <c r="AA41" s="481">
        <v>0</v>
      </c>
      <c r="AB41" s="455">
        <v>1</v>
      </c>
      <c r="AC41" s="368" t="s">
        <v>8898</v>
      </c>
      <c r="AD41" s="368" t="s">
        <v>8898</v>
      </c>
      <c r="AE41" s="468">
        <v>1</v>
      </c>
      <c r="AF41" s="238">
        <v>0</v>
      </c>
      <c r="AG41" s="313">
        <v>0</v>
      </c>
      <c r="AH41" s="278">
        <v>0</v>
      </c>
      <c r="AI41" s="279">
        <v>0</v>
      </c>
      <c r="AJ41" s="441"/>
      <c r="AK41" s="253" t="s">
        <v>1410</v>
      </c>
      <c r="AL41" s="254" t="str">
        <f t="shared" si="0"/>
        <v>TTC010</v>
      </c>
      <c r="AM41" s="255">
        <f t="shared" si="0"/>
        <v>500</v>
      </c>
      <c r="AN41" s="280" t="s">
        <v>8918</v>
      </c>
      <c r="AO41" s="281">
        <v>1.8</v>
      </c>
      <c r="AP41" s="282">
        <v>438</v>
      </c>
      <c r="AQ41" s="282">
        <v>101</v>
      </c>
      <c r="AR41" s="283">
        <f t="shared" si="2"/>
        <v>0.62508293999999998</v>
      </c>
      <c r="AS41" s="284">
        <v>1246.9186056565279</v>
      </c>
      <c r="AT41" s="282">
        <v>508</v>
      </c>
      <c r="AU41" s="285">
        <v>0.81589172790414022</v>
      </c>
      <c r="AV41" s="286">
        <v>25</v>
      </c>
      <c r="AW41" s="287">
        <v>1026</v>
      </c>
      <c r="AX41" s="282">
        <v>330</v>
      </c>
      <c r="AY41" s="288">
        <v>500</v>
      </c>
      <c r="AZ41" s="288">
        <v>180</v>
      </c>
      <c r="BA41" s="289">
        <v>2.9700000000000001E-2</v>
      </c>
      <c r="BB41" s="289">
        <v>1.885</v>
      </c>
      <c r="BC41" s="290">
        <v>60</v>
      </c>
      <c r="BD41" s="291">
        <v>0.51</v>
      </c>
      <c r="BE41" s="292">
        <v>0.51</v>
      </c>
      <c r="BF41" s="282">
        <v>3</v>
      </c>
      <c r="BG41" s="163" t="s">
        <v>8904</v>
      </c>
      <c r="BH41" s="163">
        <v>1</v>
      </c>
      <c r="BK41" s="163">
        <v>0</v>
      </c>
      <c r="BM41" s="163" t="s">
        <v>8905</v>
      </c>
    </row>
    <row r="42" spans="1:65" ht="35.25" customHeight="1">
      <c r="A42" s="163" t="s">
        <v>8943</v>
      </c>
      <c r="B42" s="163" t="s">
        <v>1813</v>
      </c>
      <c r="C42" s="226" t="s">
        <v>8897</v>
      </c>
      <c r="D42" s="1497"/>
      <c r="E42" s="1453" t="s">
        <v>8902</v>
      </c>
      <c r="F42" s="293">
        <v>9</v>
      </c>
      <c r="G42" s="408"/>
      <c r="H42" s="294"/>
      <c r="I42" s="294"/>
      <c r="J42" s="296" t="s">
        <v>1813</v>
      </c>
      <c r="K42" s="297" t="s">
        <v>1812</v>
      </c>
      <c r="L42" s="298" t="s">
        <v>5018</v>
      </c>
      <c r="M42" s="297">
        <v>1</v>
      </c>
      <c r="N42" s="311">
        <v>51</v>
      </c>
      <c r="O42" s="300" t="s">
        <v>4684</v>
      </c>
      <c r="P42" s="300">
        <v>1500</v>
      </c>
      <c r="Q42" s="297">
        <v>20</v>
      </c>
      <c r="R42" s="237">
        <v>13664</v>
      </c>
      <c r="S42" s="302">
        <v>759.11111111111109</v>
      </c>
      <c r="T42" s="303">
        <v>37.955555555555556</v>
      </c>
      <c r="U42" s="304">
        <v>759.11111111111109</v>
      </c>
      <c r="V42" s="305">
        <v>0.41117253333333331</v>
      </c>
      <c r="W42" s="306">
        <v>1.1272800000000001</v>
      </c>
      <c r="X42" s="392">
        <v>93</v>
      </c>
      <c r="Y42" s="488">
        <v>4</v>
      </c>
      <c r="Z42" s="489">
        <v>10</v>
      </c>
      <c r="AA42" s="490">
        <v>9</v>
      </c>
      <c r="AB42" s="310">
        <v>112</v>
      </c>
      <c r="AC42" s="311" t="s">
        <v>8898</v>
      </c>
      <c r="AD42" s="311" t="s">
        <v>8898</v>
      </c>
      <c r="AE42" s="312">
        <v>108</v>
      </c>
      <c r="AF42" s="250">
        <v>4</v>
      </c>
      <c r="AG42" s="313">
        <v>90</v>
      </c>
      <c r="AH42" s="491">
        <v>90</v>
      </c>
      <c r="AI42" s="315">
        <v>0</v>
      </c>
      <c r="AJ42" s="1484"/>
      <c r="AK42" s="253" t="s">
        <v>1813</v>
      </c>
      <c r="AL42" s="254" t="str">
        <f t="shared" si="0"/>
        <v>TTC012</v>
      </c>
      <c r="AM42" s="255">
        <f t="shared" si="0"/>
        <v>1500</v>
      </c>
      <c r="AN42" s="316" t="s">
        <v>8918</v>
      </c>
      <c r="AO42" s="317">
        <v>2</v>
      </c>
      <c r="AP42" s="300">
        <v>450</v>
      </c>
      <c r="AQ42" s="300">
        <v>115</v>
      </c>
      <c r="AR42" s="318">
        <f t="shared" si="2"/>
        <v>0.81247499999999995</v>
      </c>
      <c r="AS42" s="319">
        <v>1007.651394745888</v>
      </c>
      <c r="AT42" s="300">
        <v>508</v>
      </c>
      <c r="AU42" s="320">
        <v>0.88618111326502358</v>
      </c>
      <c r="AV42" s="321">
        <v>20</v>
      </c>
      <c r="AW42" s="322">
        <v>1026</v>
      </c>
      <c r="AX42" s="300">
        <v>330</v>
      </c>
      <c r="AY42" s="323">
        <v>500</v>
      </c>
      <c r="AZ42" s="323">
        <v>180</v>
      </c>
      <c r="BA42" s="324">
        <v>2.9700000000000001E-2</v>
      </c>
      <c r="BB42" s="324">
        <v>1.885</v>
      </c>
      <c r="BC42" s="325">
        <v>60</v>
      </c>
      <c r="BD42" s="326">
        <v>0.72</v>
      </c>
      <c r="BE42" s="327">
        <v>0.72</v>
      </c>
      <c r="BF42" s="300">
        <v>3</v>
      </c>
      <c r="BG42" s="163" t="s">
        <v>8904</v>
      </c>
      <c r="BH42" s="163">
        <v>1</v>
      </c>
      <c r="BK42" s="163">
        <v>0</v>
      </c>
      <c r="BM42" s="163" t="s">
        <v>8905</v>
      </c>
    </row>
    <row r="43" spans="1:65" ht="35.25" customHeight="1">
      <c r="A43" s="163" t="s">
        <v>8944</v>
      </c>
      <c r="B43" s="163" t="s">
        <v>1821</v>
      </c>
      <c r="C43" s="226" t="s">
        <v>8897</v>
      </c>
      <c r="D43" s="1497"/>
      <c r="E43" s="1453">
        <v>0</v>
      </c>
      <c r="F43" s="293">
        <v>9</v>
      </c>
      <c r="G43" s="422"/>
      <c r="H43" s="231"/>
      <c r="I43" s="231"/>
      <c r="J43" s="394" t="s">
        <v>1821</v>
      </c>
      <c r="K43" s="395" t="s">
        <v>1820</v>
      </c>
      <c r="L43" s="396" t="s">
        <v>5018</v>
      </c>
      <c r="M43" s="395">
        <v>1</v>
      </c>
      <c r="N43" s="397">
        <v>51</v>
      </c>
      <c r="O43" s="375" t="s">
        <v>4684</v>
      </c>
      <c r="P43" s="300">
        <v>1500</v>
      </c>
      <c r="Q43" s="395">
        <v>20</v>
      </c>
      <c r="R43" s="237">
        <v>13670</v>
      </c>
      <c r="S43" s="302">
        <v>759.44444444444446</v>
      </c>
      <c r="T43" s="399">
        <v>37.972222222222221</v>
      </c>
      <c r="U43" s="492">
        <v>759.44444444444446</v>
      </c>
      <c r="V43" s="305">
        <v>0.41135308333333331</v>
      </c>
      <c r="W43" s="402">
        <v>1.127775</v>
      </c>
      <c r="X43" s="392">
        <v>93</v>
      </c>
      <c r="Y43" s="488">
        <v>4</v>
      </c>
      <c r="Z43" s="489">
        <v>10</v>
      </c>
      <c r="AA43" s="490">
        <v>9</v>
      </c>
      <c r="AB43" s="310">
        <v>112</v>
      </c>
      <c r="AC43" s="397" t="s">
        <v>8898</v>
      </c>
      <c r="AD43" s="397" t="s">
        <v>8898</v>
      </c>
      <c r="AE43" s="370">
        <v>108</v>
      </c>
      <c r="AF43" s="250">
        <v>4</v>
      </c>
      <c r="AG43" s="313">
        <v>90</v>
      </c>
      <c r="AH43" s="405">
        <v>90</v>
      </c>
      <c r="AI43" s="406">
        <v>0</v>
      </c>
      <c r="AJ43" s="1485"/>
      <c r="AK43" s="253" t="s">
        <v>1821</v>
      </c>
      <c r="AL43" s="254" t="str">
        <f t="shared" si="0"/>
        <v>TTC012</v>
      </c>
      <c r="AM43" s="255">
        <f t="shared" si="0"/>
        <v>1500</v>
      </c>
      <c r="AN43" s="373" t="s">
        <v>8918</v>
      </c>
      <c r="AO43" s="374">
        <v>2</v>
      </c>
      <c r="AP43" s="375">
        <v>450</v>
      </c>
      <c r="AQ43" s="375">
        <v>115</v>
      </c>
      <c r="AR43" s="376">
        <f t="shared" si="2"/>
        <v>0.81247499999999995</v>
      </c>
      <c r="AS43" s="377">
        <v>1007.651394745888</v>
      </c>
      <c r="AT43" s="375">
        <v>508</v>
      </c>
      <c r="AU43" s="378">
        <v>0.88618111326502358</v>
      </c>
      <c r="AV43" s="379">
        <v>20</v>
      </c>
      <c r="AW43" s="380">
        <v>1026</v>
      </c>
      <c r="AX43" s="375">
        <v>330</v>
      </c>
      <c r="AY43" s="381">
        <v>500</v>
      </c>
      <c r="AZ43" s="381">
        <v>180</v>
      </c>
      <c r="BA43" s="382">
        <v>2.9700000000000001E-2</v>
      </c>
      <c r="BB43" s="382">
        <v>1.885</v>
      </c>
      <c r="BC43" s="264">
        <v>60</v>
      </c>
      <c r="BD43" s="383">
        <v>0.72</v>
      </c>
      <c r="BE43" s="384">
        <v>0.72</v>
      </c>
      <c r="BF43" s="375">
        <v>3</v>
      </c>
      <c r="BG43" s="163" t="s">
        <v>8904</v>
      </c>
      <c r="BH43" s="163">
        <v>1</v>
      </c>
      <c r="BK43" s="163">
        <v>0</v>
      </c>
      <c r="BM43" s="163" t="s">
        <v>8905</v>
      </c>
    </row>
    <row r="44" spans="1:65" ht="15.75" hidden="1" customHeight="1">
      <c r="C44" s="226"/>
      <c r="D44" s="1497"/>
      <c r="E44" s="493" t="s">
        <v>8945</v>
      </c>
      <c r="F44" s="494">
        <v>10</v>
      </c>
      <c r="G44" s="408"/>
      <c r="H44" s="294"/>
      <c r="I44" s="294"/>
      <c r="J44" s="495" t="s">
        <v>1829</v>
      </c>
      <c r="K44" s="496" t="s">
        <v>1828</v>
      </c>
      <c r="L44" s="497" t="s">
        <v>5676</v>
      </c>
      <c r="M44" s="496">
        <v>1</v>
      </c>
      <c r="N44" s="498">
        <v>52</v>
      </c>
      <c r="O44" s="499" t="s">
        <v>8946</v>
      </c>
      <c r="P44" s="500">
        <v>1000</v>
      </c>
      <c r="Q44" s="496">
        <v>15</v>
      </c>
      <c r="R44" s="237" t="e">
        <v>#N/A</v>
      </c>
      <c r="S44" s="302" t="e">
        <v>#N/A</v>
      </c>
      <c r="T44" s="399" t="e">
        <v>#N/A</v>
      </c>
      <c r="U44" s="501" t="e">
        <v>#N/A</v>
      </c>
      <c r="V44" s="305" t="e">
        <v>#N/A</v>
      </c>
      <c r="W44" s="502" t="e">
        <v>#N/A</v>
      </c>
      <c r="X44" s="392">
        <v>0</v>
      </c>
      <c r="Y44" s="503">
        <v>0</v>
      </c>
      <c r="Z44" s="504" t="e">
        <v>#N/A</v>
      </c>
      <c r="AA44" s="496" t="e">
        <v>#N/A</v>
      </c>
      <c r="AB44" s="310">
        <v>0</v>
      </c>
      <c r="AC44" s="311" t="s">
        <v>8898</v>
      </c>
      <c r="AD44" s="311" t="s">
        <v>8898</v>
      </c>
      <c r="AE44" s="505">
        <v>0</v>
      </c>
      <c r="AF44" s="250">
        <v>0</v>
      </c>
      <c r="AG44" s="313">
        <v>0</v>
      </c>
      <c r="AH44" s="506">
        <v>0</v>
      </c>
      <c r="AI44" s="507">
        <v>0</v>
      </c>
      <c r="AJ44" s="441"/>
      <c r="AK44" s="253" t="s">
        <v>1829</v>
      </c>
      <c r="AL44" s="254" t="str">
        <f t="shared" si="0"/>
        <v>TTC013</v>
      </c>
      <c r="AM44" s="255">
        <f t="shared" si="0"/>
        <v>1000</v>
      </c>
      <c r="AN44" s="508" t="s">
        <v>8918</v>
      </c>
      <c r="AO44" s="509">
        <v>2.2999999999999998</v>
      </c>
      <c r="AP44" s="499">
        <v>407</v>
      </c>
      <c r="AQ44" s="499">
        <v>138</v>
      </c>
      <c r="AR44" s="510">
        <f t="shared" si="2"/>
        <v>1.01407713</v>
      </c>
      <c r="AS44" s="511">
        <v>1084.0268091011969</v>
      </c>
      <c r="AT44" s="499">
        <v>508</v>
      </c>
      <c r="AU44" s="512">
        <v>0.79875581061570733</v>
      </c>
      <c r="AV44" s="513">
        <v>15</v>
      </c>
      <c r="AW44" s="514">
        <v>1026</v>
      </c>
      <c r="AX44" s="499">
        <v>330</v>
      </c>
      <c r="AY44" s="515">
        <v>500</v>
      </c>
      <c r="AZ44" s="515">
        <v>180</v>
      </c>
      <c r="BA44" s="516">
        <v>2.9700000000000001E-2</v>
      </c>
      <c r="BB44" s="516">
        <v>1.885</v>
      </c>
      <c r="BC44" s="325">
        <v>56</v>
      </c>
      <c r="BD44" s="517">
        <v>0.81</v>
      </c>
      <c r="BE44" s="518">
        <v>0.81</v>
      </c>
      <c r="BF44" s="499">
        <v>1</v>
      </c>
      <c r="BG44" s="163" t="s">
        <v>8904</v>
      </c>
      <c r="BH44" s="163">
        <v>1</v>
      </c>
      <c r="BK44" s="163">
        <v>0</v>
      </c>
      <c r="BM44" s="163" t="s">
        <v>8905</v>
      </c>
    </row>
    <row r="45" spans="1:65" ht="35.25" customHeight="1">
      <c r="A45" s="163" t="s">
        <v>8947</v>
      </c>
      <c r="B45" s="163" t="s">
        <v>1829</v>
      </c>
      <c r="C45" s="226" t="s">
        <v>8897</v>
      </c>
      <c r="D45" s="1497"/>
      <c r="E45" s="493" t="s">
        <v>6755</v>
      </c>
      <c r="F45" s="519" t="s">
        <v>8948</v>
      </c>
      <c r="G45" s="408"/>
      <c r="H45" s="294"/>
      <c r="I45" s="294"/>
      <c r="J45" s="495" t="s">
        <v>1829</v>
      </c>
      <c r="K45" s="496" t="s">
        <v>1828</v>
      </c>
      <c r="L45" s="497" t="s">
        <v>5676</v>
      </c>
      <c r="M45" s="496">
        <v>1</v>
      </c>
      <c r="N45" s="498">
        <v>52</v>
      </c>
      <c r="O45" s="499" t="s">
        <v>4688</v>
      </c>
      <c r="P45" s="499">
        <v>2500</v>
      </c>
      <c r="Q45" s="496">
        <v>15</v>
      </c>
      <c r="R45" s="237">
        <v>27334</v>
      </c>
      <c r="S45" s="302">
        <v>1518.5555555555557</v>
      </c>
      <c r="T45" s="399">
        <v>101.23703703703704</v>
      </c>
      <c r="U45" s="501">
        <v>1518.5555555555557</v>
      </c>
      <c r="V45" s="305">
        <v>0.59175782965466672</v>
      </c>
      <c r="W45" s="502">
        <v>3.0067400000000002</v>
      </c>
      <c r="X45" s="392">
        <v>172</v>
      </c>
      <c r="Y45" s="520">
        <v>8</v>
      </c>
      <c r="Z45" s="504">
        <v>51</v>
      </c>
      <c r="AA45" s="496">
        <v>25</v>
      </c>
      <c r="AB45" s="310">
        <v>248</v>
      </c>
      <c r="AC45" s="311" t="s">
        <v>8898</v>
      </c>
      <c r="AD45" s="311" t="s">
        <v>8898</v>
      </c>
      <c r="AE45" s="505">
        <v>232</v>
      </c>
      <c r="AF45" s="250">
        <v>16</v>
      </c>
      <c r="AG45" s="313">
        <v>170</v>
      </c>
      <c r="AH45" s="506">
        <v>170</v>
      </c>
      <c r="AI45" s="507">
        <v>0</v>
      </c>
      <c r="AJ45" s="441"/>
      <c r="AK45" s="253" t="s">
        <v>1829</v>
      </c>
      <c r="AL45" s="254" t="str">
        <f t="shared" si="0"/>
        <v>TTC085</v>
      </c>
      <c r="AM45" s="255">
        <f t="shared" si="0"/>
        <v>2500</v>
      </c>
      <c r="AN45" s="508" t="s">
        <v>8918</v>
      </c>
      <c r="AO45" s="509">
        <v>2.2999999999999998</v>
      </c>
      <c r="AP45" s="499">
        <v>391</v>
      </c>
      <c r="AQ45" s="499">
        <v>138</v>
      </c>
      <c r="AR45" s="510">
        <f t="shared" si="2"/>
        <v>0.97421168999999996</v>
      </c>
      <c r="AS45" s="511">
        <v>1084.0268091011969</v>
      </c>
      <c r="AT45" s="499">
        <v>508</v>
      </c>
      <c r="AU45" s="512">
        <v>0.79875581061570733</v>
      </c>
      <c r="AV45" s="513">
        <v>15</v>
      </c>
      <c r="AW45" s="514">
        <v>1026</v>
      </c>
      <c r="AX45" s="499">
        <v>330</v>
      </c>
      <c r="AY45" s="515">
        <v>500</v>
      </c>
      <c r="AZ45" s="515">
        <v>180</v>
      </c>
      <c r="BA45" s="516">
        <v>2.9700000000000001E-2</v>
      </c>
      <c r="BB45" s="516">
        <v>1.885</v>
      </c>
      <c r="BC45" s="325">
        <v>56</v>
      </c>
      <c r="BD45" s="517">
        <v>0.81</v>
      </c>
      <c r="BE45" s="518">
        <v>0.81</v>
      </c>
      <c r="BF45" s="499">
        <v>1</v>
      </c>
      <c r="BG45" s="163" t="s">
        <v>8904</v>
      </c>
      <c r="BH45" s="163">
        <v>1</v>
      </c>
      <c r="BK45" s="163">
        <v>0</v>
      </c>
      <c r="BM45" s="163" t="s">
        <v>8905</v>
      </c>
    </row>
    <row r="46" spans="1:65" ht="35.25" hidden="1" customHeight="1">
      <c r="A46" s="163" t="s">
        <v>8949</v>
      </c>
      <c r="B46" s="163" t="s">
        <v>1563</v>
      </c>
      <c r="C46" s="226" t="s">
        <v>8897</v>
      </c>
      <c r="D46" s="1497"/>
      <c r="E46" s="521"/>
      <c r="F46" s="268">
        <v>84</v>
      </c>
      <c r="G46" s="269"/>
      <c r="H46" s="271"/>
      <c r="I46" s="440"/>
      <c r="J46" s="522" t="s">
        <v>1563</v>
      </c>
      <c r="K46" s="523" t="s">
        <v>1562</v>
      </c>
      <c r="L46" s="524" t="s">
        <v>8950</v>
      </c>
      <c r="M46" s="523">
        <v>2</v>
      </c>
      <c r="N46" s="525">
        <v>60</v>
      </c>
      <c r="O46" s="526" t="s">
        <v>4576</v>
      </c>
      <c r="P46" s="526">
        <v>500</v>
      </c>
      <c r="Q46" s="523">
        <v>150</v>
      </c>
      <c r="R46" s="237">
        <v>3</v>
      </c>
      <c r="S46" s="302">
        <v>0.16666666666666666</v>
      </c>
      <c r="T46" s="463">
        <v>1.1111111111111111E-3</v>
      </c>
      <c r="U46" s="455">
        <v>8.3333333333333329E-2</v>
      </c>
      <c r="V46" s="464">
        <v>5.3166479999999992E-5</v>
      </c>
      <c r="W46" s="527">
        <v>3.3000000000000003E-5</v>
      </c>
      <c r="X46" s="479">
        <v>21</v>
      </c>
      <c r="Y46" s="528">
        <v>4</v>
      </c>
      <c r="Z46" s="529">
        <v>1</v>
      </c>
      <c r="AA46" s="523">
        <v>0</v>
      </c>
      <c r="AB46" s="455">
        <v>1</v>
      </c>
      <c r="AC46" s="460" t="s">
        <v>8898</v>
      </c>
      <c r="AD46" s="460" t="s">
        <v>8898</v>
      </c>
      <c r="AE46" s="530">
        <v>1</v>
      </c>
      <c r="AF46" s="238">
        <v>0</v>
      </c>
      <c r="AG46" s="313">
        <v>0</v>
      </c>
      <c r="AH46" s="531">
        <v>0</v>
      </c>
      <c r="AI46" s="532">
        <v>0</v>
      </c>
      <c r="AJ46" s="533" t="s">
        <v>8910</v>
      </c>
      <c r="AK46" s="253" t="s">
        <v>1563</v>
      </c>
      <c r="AL46" s="254" t="str">
        <f t="shared" si="0"/>
        <v>HAN073</v>
      </c>
      <c r="AM46" s="255">
        <f t="shared" si="0"/>
        <v>500</v>
      </c>
      <c r="AN46" s="534" t="s">
        <v>8951</v>
      </c>
      <c r="AO46" s="535">
        <v>1.8</v>
      </c>
      <c r="AP46" s="536">
        <v>272</v>
      </c>
      <c r="AQ46" s="536">
        <v>83</v>
      </c>
      <c r="AR46" s="537">
        <f t="shared" si="2"/>
        <v>0.15949943999999999</v>
      </c>
      <c r="AS46" s="538">
        <v>1016.6894227604324</v>
      </c>
      <c r="AT46" s="536">
        <v>508</v>
      </c>
      <c r="AU46" s="539">
        <v>0.67084875031536162</v>
      </c>
      <c r="AV46" s="521">
        <v>150</v>
      </c>
      <c r="AW46" s="540">
        <v>1026</v>
      </c>
      <c r="AX46" s="536">
        <v>330</v>
      </c>
      <c r="AY46" s="290">
        <v>500</v>
      </c>
      <c r="AZ46" s="290">
        <v>180</v>
      </c>
      <c r="BA46" s="541">
        <v>2.9700000000000001E-2</v>
      </c>
      <c r="BB46" s="541">
        <v>1.885</v>
      </c>
      <c r="BC46" s="290">
        <v>60</v>
      </c>
      <c r="BD46" s="542">
        <v>0.107</v>
      </c>
      <c r="BE46" s="543">
        <v>0.107</v>
      </c>
      <c r="BF46" s="536">
        <v>3</v>
      </c>
      <c r="BG46" s="163" t="s">
        <v>8932</v>
      </c>
      <c r="BH46" s="163">
        <v>3</v>
      </c>
      <c r="BK46" s="163">
        <v>0</v>
      </c>
      <c r="BM46" s="163" t="s">
        <v>8905</v>
      </c>
    </row>
    <row r="47" spans="1:65" ht="35.25" hidden="1" customHeight="1">
      <c r="A47" s="163" t="s">
        <v>8952</v>
      </c>
      <c r="B47" s="163" t="s">
        <v>1667</v>
      </c>
      <c r="C47" s="226" t="s">
        <v>8897</v>
      </c>
      <c r="D47" s="1497"/>
      <c r="E47" s="521"/>
      <c r="F47" s="268">
        <v>85</v>
      </c>
      <c r="G47" s="269"/>
      <c r="H47" s="270"/>
      <c r="I47" s="271"/>
      <c r="J47" s="522" t="s">
        <v>1667</v>
      </c>
      <c r="K47" s="523" t="s">
        <v>1666</v>
      </c>
      <c r="L47" s="524" t="s">
        <v>8302</v>
      </c>
      <c r="M47" s="523">
        <v>1</v>
      </c>
      <c r="N47" s="525">
        <v>50</v>
      </c>
      <c r="O47" s="526" t="s">
        <v>4574</v>
      </c>
      <c r="P47" s="526">
        <v>500</v>
      </c>
      <c r="Q47" s="523">
        <v>150</v>
      </c>
      <c r="R47" s="237">
        <v>4</v>
      </c>
      <c r="S47" s="302">
        <v>0.22222222222222221</v>
      </c>
      <c r="T47" s="463">
        <v>1.4814814814814814E-3</v>
      </c>
      <c r="U47" s="455">
        <v>0.22222222222222221</v>
      </c>
      <c r="V47" s="464">
        <v>8.4340399999999996E-5</v>
      </c>
      <c r="W47" s="527">
        <v>4.3999999999999999E-5</v>
      </c>
      <c r="X47" s="479">
        <v>18</v>
      </c>
      <c r="Y47" s="528">
        <v>4</v>
      </c>
      <c r="Z47" s="529">
        <v>1</v>
      </c>
      <c r="AA47" s="523">
        <v>0</v>
      </c>
      <c r="AB47" s="455">
        <v>1</v>
      </c>
      <c r="AC47" s="445" t="s">
        <v>8898</v>
      </c>
      <c r="AD47" s="445" t="s">
        <v>8898</v>
      </c>
      <c r="AE47" s="530">
        <v>1</v>
      </c>
      <c r="AF47" s="238">
        <v>0</v>
      </c>
      <c r="AG47" s="313">
        <v>0</v>
      </c>
      <c r="AH47" s="531">
        <v>0</v>
      </c>
      <c r="AI47" s="532">
        <v>0</v>
      </c>
      <c r="AJ47" s="533" t="s">
        <v>8910</v>
      </c>
      <c r="AK47" s="253" t="s">
        <v>1667</v>
      </c>
      <c r="AL47" s="254" t="str">
        <f t="shared" si="0"/>
        <v>HAN059</v>
      </c>
      <c r="AM47" s="255">
        <f t="shared" si="0"/>
        <v>500</v>
      </c>
      <c r="AN47" s="534" t="s">
        <v>8951</v>
      </c>
      <c r="AO47" s="535">
        <v>1.8</v>
      </c>
      <c r="AP47" s="536">
        <v>158</v>
      </c>
      <c r="AQ47" s="536">
        <v>85</v>
      </c>
      <c r="AR47" s="537">
        <f t="shared" si="2"/>
        <v>0.18976590000000002</v>
      </c>
      <c r="AS47" s="538">
        <v>977.99572880949745</v>
      </c>
      <c r="AT47" s="536">
        <v>508</v>
      </c>
      <c r="AU47" s="539">
        <v>0.40576310074676214</v>
      </c>
      <c r="AV47" s="521">
        <v>150</v>
      </c>
      <c r="AW47" s="540">
        <v>1026</v>
      </c>
      <c r="AX47" s="536">
        <v>330</v>
      </c>
      <c r="AY47" s="290">
        <v>500</v>
      </c>
      <c r="AZ47" s="290">
        <v>180</v>
      </c>
      <c r="BA47" s="541">
        <v>2.9700000000000001E-2</v>
      </c>
      <c r="BB47" s="541">
        <v>1.885</v>
      </c>
      <c r="BC47" s="290">
        <v>50</v>
      </c>
      <c r="BD47" s="542">
        <v>7.6999999999999999E-2</v>
      </c>
      <c r="BE47" s="543">
        <v>7.6999999999999999E-2</v>
      </c>
      <c r="BF47" s="536">
        <v>3</v>
      </c>
      <c r="BG47" s="163" t="s">
        <v>8953</v>
      </c>
      <c r="BH47" s="163">
        <v>2</v>
      </c>
      <c r="BK47" s="163">
        <v>0</v>
      </c>
      <c r="BM47" s="163" t="s">
        <v>8905</v>
      </c>
    </row>
    <row r="48" spans="1:65" ht="35.25" hidden="1" customHeight="1">
      <c r="A48" s="163" t="s">
        <v>8954</v>
      </c>
      <c r="B48" s="163" t="s">
        <v>1701</v>
      </c>
      <c r="C48" s="226" t="s">
        <v>8897</v>
      </c>
      <c r="D48" s="1497"/>
      <c r="E48" s="521"/>
      <c r="F48" s="268">
        <v>86</v>
      </c>
      <c r="G48" s="269"/>
      <c r="H48" s="270"/>
      <c r="I48" s="271"/>
      <c r="J48" s="522" t="s">
        <v>1701</v>
      </c>
      <c r="K48" s="523" t="s">
        <v>1700</v>
      </c>
      <c r="L48" s="524" t="s">
        <v>8305</v>
      </c>
      <c r="M48" s="523">
        <v>1</v>
      </c>
      <c r="N48" s="525">
        <v>50</v>
      </c>
      <c r="O48" s="526" t="s">
        <v>4574</v>
      </c>
      <c r="P48" s="526">
        <v>500</v>
      </c>
      <c r="Q48" s="523">
        <v>150</v>
      </c>
      <c r="R48" s="237">
        <v>0</v>
      </c>
      <c r="S48" s="302">
        <v>0</v>
      </c>
      <c r="T48" s="463">
        <v>0</v>
      </c>
      <c r="U48" s="455">
        <v>0</v>
      </c>
      <c r="V48" s="464">
        <v>0</v>
      </c>
      <c r="W48" s="527">
        <v>0</v>
      </c>
      <c r="X48" s="479">
        <v>18</v>
      </c>
      <c r="Y48" s="528">
        <v>4</v>
      </c>
      <c r="Z48" s="529">
        <v>0</v>
      </c>
      <c r="AA48" s="523">
        <v>0</v>
      </c>
      <c r="AB48" s="455">
        <v>1</v>
      </c>
      <c r="AC48" s="460" t="s">
        <v>8898</v>
      </c>
      <c r="AD48" s="460" t="s">
        <v>8898</v>
      </c>
      <c r="AE48" s="530">
        <v>1</v>
      </c>
      <c r="AF48" s="238">
        <v>0</v>
      </c>
      <c r="AG48" s="313">
        <v>0</v>
      </c>
      <c r="AH48" s="531">
        <v>0</v>
      </c>
      <c r="AI48" s="532">
        <v>0</v>
      </c>
      <c r="AJ48" s="533" t="s">
        <v>8910</v>
      </c>
      <c r="AK48" s="253" t="s">
        <v>1701</v>
      </c>
      <c r="AL48" s="254" t="str">
        <f t="shared" si="0"/>
        <v>HAN059</v>
      </c>
      <c r="AM48" s="255">
        <f t="shared" si="0"/>
        <v>500</v>
      </c>
      <c r="AN48" s="534" t="s">
        <v>8951</v>
      </c>
      <c r="AO48" s="535">
        <v>1.8</v>
      </c>
      <c r="AP48" s="536">
        <v>158</v>
      </c>
      <c r="AQ48" s="536">
        <v>85</v>
      </c>
      <c r="AR48" s="537">
        <f t="shared" si="2"/>
        <v>0.18976590000000002</v>
      </c>
      <c r="AS48" s="538">
        <v>977.99572880949745</v>
      </c>
      <c r="AT48" s="536">
        <v>508</v>
      </c>
      <c r="AU48" s="539">
        <v>0.40576310074676214</v>
      </c>
      <c r="AV48" s="521">
        <v>150</v>
      </c>
      <c r="AW48" s="540">
        <v>1026</v>
      </c>
      <c r="AX48" s="536">
        <v>330</v>
      </c>
      <c r="AY48" s="290">
        <v>500</v>
      </c>
      <c r="AZ48" s="290">
        <v>180</v>
      </c>
      <c r="BA48" s="541">
        <v>2.9700000000000001E-2</v>
      </c>
      <c r="BB48" s="541">
        <v>1.885</v>
      </c>
      <c r="BC48" s="290">
        <v>50</v>
      </c>
      <c r="BD48" s="542">
        <v>7.6999999999999999E-2</v>
      </c>
      <c r="BE48" s="543">
        <v>7.6999999999999999E-2</v>
      </c>
      <c r="BF48" s="536">
        <v>3</v>
      </c>
      <c r="BG48" s="163" t="s">
        <v>8953</v>
      </c>
      <c r="BH48" s="163">
        <v>2</v>
      </c>
      <c r="BK48" s="163">
        <v>0</v>
      </c>
      <c r="BM48" s="163" t="s">
        <v>8905</v>
      </c>
    </row>
    <row r="49" spans="1:65" s="544" customFormat="1" ht="35.25" hidden="1" customHeight="1">
      <c r="C49" s="226"/>
      <c r="D49" s="1498"/>
      <c r="E49" s="545"/>
      <c r="F49" s="546">
        <v>83</v>
      </c>
      <c r="G49" s="547"/>
      <c r="H49" s="548"/>
      <c r="I49" s="548"/>
      <c r="J49" s="549" t="s">
        <v>8955</v>
      </c>
      <c r="K49" s="550" t="s">
        <v>3391</v>
      </c>
      <c r="L49" s="551" t="s">
        <v>8497</v>
      </c>
      <c r="M49" s="550">
        <v>2</v>
      </c>
      <c r="N49" s="552">
        <v>0</v>
      </c>
      <c r="O49" s="553" t="s">
        <v>8956</v>
      </c>
      <c r="P49" s="553">
        <v>2000</v>
      </c>
      <c r="Q49" s="550">
        <v>120</v>
      </c>
      <c r="R49" s="237" t="e">
        <v>#N/A</v>
      </c>
      <c r="S49" s="302" t="e">
        <v>#N/A</v>
      </c>
      <c r="T49" s="554"/>
      <c r="U49" s="555"/>
      <c r="V49" s="556" t="e">
        <v>#N/A</v>
      </c>
      <c r="W49" s="557"/>
      <c r="X49" s="558">
        <v>0</v>
      </c>
      <c r="Y49" s="559"/>
      <c r="Z49" s="560"/>
      <c r="AA49" s="550"/>
      <c r="AB49" s="310">
        <v>0</v>
      </c>
      <c r="AC49" s="552" t="s">
        <v>8898</v>
      </c>
      <c r="AD49" s="552"/>
      <c r="AE49" s="561">
        <v>0</v>
      </c>
      <c r="AF49" s="250">
        <v>0</v>
      </c>
      <c r="AG49" s="562">
        <v>0</v>
      </c>
      <c r="AH49" s="563">
        <v>0</v>
      </c>
      <c r="AI49" s="564">
        <v>0</v>
      </c>
      <c r="AJ49" s="565"/>
      <c r="AK49" s="253" t="s">
        <v>8955</v>
      </c>
      <c r="AL49" s="254" t="str">
        <f t="shared" si="0"/>
        <v>TTC060</v>
      </c>
      <c r="AM49" s="255">
        <v>1</v>
      </c>
      <c r="AN49" s="566" t="s">
        <v>8918</v>
      </c>
      <c r="AO49" s="567">
        <v>2.9</v>
      </c>
      <c r="AP49" s="553">
        <v>140</v>
      </c>
      <c r="AQ49" s="553">
        <v>115</v>
      </c>
      <c r="AR49" s="568">
        <f t="shared" si="2"/>
        <v>0.18325825000000001</v>
      </c>
      <c r="AS49" s="553">
        <v>0</v>
      </c>
      <c r="AT49" s="553">
        <v>0</v>
      </c>
      <c r="AU49" s="569">
        <v>0</v>
      </c>
      <c r="AV49" s="570">
        <v>120</v>
      </c>
      <c r="AW49" s="571">
        <v>1026</v>
      </c>
      <c r="AX49" s="553">
        <v>330</v>
      </c>
      <c r="AY49" s="572">
        <v>500</v>
      </c>
      <c r="AZ49" s="572">
        <v>180</v>
      </c>
      <c r="BA49" s="573">
        <v>2.9700000000000001E-2</v>
      </c>
      <c r="BB49" s="573">
        <v>1.885</v>
      </c>
      <c r="BC49" s="572">
        <v>0</v>
      </c>
      <c r="BD49" s="572">
        <v>0</v>
      </c>
      <c r="BE49" s="574">
        <v>0</v>
      </c>
      <c r="BF49" s="553">
        <v>0</v>
      </c>
      <c r="BG49" s="544" t="s">
        <v>8905</v>
      </c>
      <c r="BK49" s="163">
        <v>0</v>
      </c>
      <c r="BM49" s="544" t="s">
        <v>8905</v>
      </c>
    </row>
    <row r="50" spans="1:65" ht="35.25" hidden="1" customHeight="1">
      <c r="A50" s="163" t="s">
        <v>8957</v>
      </c>
      <c r="B50" s="163" t="s">
        <v>291</v>
      </c>
      <c r="C50" s="164" t="s">
        <v>8958</v>
      </c>
      <c r="D50" s="1486" t="s">
        <v>8958</v>
      </c>
      <c r="E50" s="227"/>
      <c r="F50" s="228">
        <v>33</v>
      </c>
      <c r="G50" s="229"/>
      <c r="H50" s="230"/>
      <c r="I50" s="231"/>
      <c r="J50" s="575" t="s">
        <v>291</v>
      </c>
      <c r="K50" s="576" t="s">
        <v>290</v>
      </c>
      <c r="L50" s="577" t="s">
        <v>5708</v>
      </c>
      <c r="M50" s="576">
        <v>1</v>
      </c>
      <c r="N50" s="578">
        <v>52</v>
      </c>
      <c r="O50" s="579" t="s">
        <v>4582</v>
      </c>
      <c r="P50" s="579">
        <v>2000</v>
      </c>
      <c r="Q50" s="576">
        <v>15</v>
      </c>
      <c r="R50" s="237">
        <v>0</v>
      </c>
      <c r="S50" s="302">
        <v>0</v>
      </c>
      <c r="T50" s="239">
        <v>0</v>
      </c>
      <c r="U50" s="240">
        <v>0</v>
      </c>
      <c r="V50" s="241">
        <v>0</v>
      </c>
      <c r="W50" s="580">
        <v>0</v>
      </c>
      <c r="X50" s="243">
        <v>0</v>
      </c>
      <c r="Y50" s="581">
        <v>4</v>
      </c>
      <c r="Z50" s="582">
        <v>0</v>
      </c>
      <c r="AA50" s="576">
        <v>0</v>
      </c>
      <c r="AB50" s="240">
        <v>1</v>
      </c>
      <c r="AC50" s="578" t="s">
        <v>8898</v>
      </c>
      <c r="AD50" s="578" t="s">
        <v>8898</v>
      </c>
      <c r="AE50" s="583">
        <v>1</v>
      </c>
      <c r="AF50" s="250">
        <v>0</v>
      </c>
      <c r="AG50" s="249">
        <v>0</v>
      </c>
      <c r="AH50" s="584">
        <v>0</v>
      </c>
      <c r="AI50" s="585">
        <v>0</v>
      </c>
      <c r="AJ50" s="586" t="s">
        <v>6786</v>
      </c>
      <c r="AK50" s="253" t="s">
        <v>291</v>
      </c>
      <c r="AL50" s="254" t="str">
        <f t="shared" si="0"/>
        <v>HAN015</v>
      </c>
      <c r="AM50" s="255">
        <v>0</v>
      </c>
      <c r="AN50" s="587" t="s">
        <v>8899</v>
      </c>
      <c r="AO50" s="588">
        <v>1.4</v>
      </c>
      <c r="AP50" s="589">
        <v>568</v>
      </c>
      <c r="AQ50" s="589">
        <v>170</v>
      </c>
      <c r="AR50" s="590">
        <f t="shared" si="2"/>
        <v>1.0611944</v>
      </c>
      <c r="AS50" s="591">
        <v>1146.802775386336</v>
      </c>
      <c r="AT50" s="589">
        <v>508</v>
      </c>
      <c r="AU50" s="592">
        <v>0.65586475013437684</v>
      </c>
      <c r="AV50" s="593">
        <v>15</v>
      </c>
      <c r="AW50" s="594">
        <v>2546</v>
      </c>
      <c r="AX50" s="589">
        <v>370</v>
      </c>
      <c r="AY50" s="595">
        <v>570</v>
      </c>
      <c r="AZ50" s="595">
        <v>200</v>
      </c>
      <c r="BA50" s="596">
        <v>4.2200000000000001E-2</v>
      </c>
      <c r="BB50" s="596">
        <v>2.085</v>
      </c>
      <c r="BC50" s="595">
        <v>45</v>
      </c>
      <c r="BD50" s="597">
        <v>0.69599999999999995</v>
      </c>
      <c r="BE50" s="598">
        <v>0.69599999999999995</v>
      </c>
      <c r="BF50" s="589">
        <v>2</v>
      </c>
      <c r="BG50" s="163" t="s">
        <v>8953</v>
      </c>
      <c r="BH50" s="163">
        <v>2</v>
      </c>
      <c r="BK50" s="163">
        <v>0</v>
      </c>
      <c r="BM50" s="163" t="s">
        <v>8905</v>
      </c>
    </row>
    <row r="51" spans="1:65" ht="35.25" hidden="1" customHeight="1">
      <c r="A51" s="163" t="s">
        <v>8959</v>
      </c>
      <c r="B51" s="163" t="s">
        <v>315</v>
      </c>
      <c r="C51" s="164" t="s">
        <v>8958</v>
      </c>
      <c r="D51" s="1487"/>
      <c r="E51" s="227"/>
      <c r="F51" s="268">
        <v>34</v>
      </c>
      <c r="G51" s="424"/>
      <c r="H51" s="271"/>
      <c r="I51" s="271"/>
      <c r="J51" s="599" t="s">
        <v>315</v>
      </c>
      <c r="K51" s="600" t="s">
        <v>314</v>
      </c>
      <c r="L51" s="601" t="s">
        <v>5709</v>
      </c>
      <c r="M51" s="600">
        <v>1</v>
      </c>
      <c r="N51" s="602">
        <v>52</v>
      </c>
      <c r="O51" s="603" t="s">
        <v>4582</v>
      </c>
      <c r="P51" s="603">
        <v>2000</v>
      </c>
      <c r="Q51" s="600">
        <v>15</v>
      </c>
      <c r="R51" s="237">
        <v>0</v>
      </c>
      <c r="S51" s="302">
        <v>0</v>
      </c>
      <c r="T51" s="239">
        <v>0</v>
      </c>
      <c r="U51" s="240">
        <v>0</v>
      </c>
      <c r="V51" s="241">
        <v>0</v>
      </c>
      <c r="W51" s="604">
        <v>0</v>
      </c>
      <c r="X51" s="243">
        <v>0</v>
      </c>
      <c r="Y51" s="605">
        <v>4</v>
      </c>
      <c r="Z51" s="606">
        <v>0</v>
      </c>
      <c r="AA51" s="600">
        <v>0</v>
      </c>
      <c r="AB51" s="240">
        <v>1</v>
      </c>
      <c r="AC51" s="602" t="s">
        <v>8898</v>
      </c>
      <c r="AD51" s="602" t="s">
        <v>8898</v>
      </c>
      <c r="AE51" s="607">
        <v>1</v>
      </c>
      <c r="AF51" s="250">
        <v>0</v>
      </c>
      <c r="AG51" s="249">
        <v>0</v>
      </c>
      <c r="AH51" s="531">
        <v>0</v>
      </c>
      <c r="AI51" s="532">
        <v>0</v>
      </c>
      <c r="AJ51" s="586" t="s">
        <v>6786</v>
      </c>
      <c r="AK51" s="253" t="s">
        <v>315</v>
      </c>
      <c r="AL51" s="254" t="str">
        <f t="shared" si="0"/>
        <v>HAN015</v>
      </c>
      <c r="AM51" s="255">
        <v>0</v>
      </c>
      <c r="AN51" s="534" t="s">
        <v>8899</v>
      </c>
      <c r="AO51" s="535">
        <v>1.4</v>
      </c>
      <c r="AP51" s="536">
        <v>568</v>
      </c>
      <c r="AQ51" s="536">
        <v>170</v>
      </c>
      <c r="AR51" s="537">
        <f t="shared" si="2"/>
        <v>1.0611944</v>
      </c>
      <c r="AS51" s="538">
        <v>1146.802775386336</v>
      </c>
      <c r="AT51" s="536">
        <v>508</v>
      </c>
      <c r="AU51" s="539">
        <v>0.65586475013437684</v>
      </c>
      <c r="AV51" s="521">
        <v>15</v>
      </c>
      <c r="AW51" s="540">
        <v>2546</v>
      </c>
      <c r="AX51" s="536">
        <v>370</v>
      </c>
      <c r="AY51" s="290">
        <v>570</v>
      </c>
      <c r="AZ51" s="290">
        <v>200</v>
      </c>
      <c r="BA51" s="541">
        <v>4.2200000000000001E-2</v>
      </c>
      <c r="BB51" s="541">
        <v>2.085</v>
      </c>
      <c r="BC51" s="290">
        <v>45</v>
      </c>
      <c r="BD51" s="542">
        <v>0.69599999999999995</v>
      </c>
      <c r="BE51" s="543">
        <v>0.69599999999999995</v>
      </c>
      <c r="BF51" s="536">
        <v>2</v>
      </c>
      <c r="BG51" s="163" t="s">
        <v>8904</v>
      </c>
      <c r="BH51" s="163">
        <v>1</v>
      </c>
      <c r="BK51" s="163">
        <v>0</v>
      </c>
      <c r="BM51" s="163" t="s">
        <v>8905</v>
      </c>
    </row>
    <row r="52" spans="1:65" ht="35.25" hidden="1" customHeight="1">
      <c r="A52" s="163" t="s">
        <v>8960</v>
      </c>
      <c r="B52" s="163" t="s">
        <v>1495</v>
      </c>
      <c r="C52" s="164" t="s">
        <v>8958</v>
      </c>
      <c r="D52" s="1487"/>
      <c r="E52" s="227"/>
      <c r="F52" s="268">
        <v>21</v>
      </c>
      <c r="G52" s="269"/>
      <c r="H52" s="270"/>
      <c r="I52" s="271"/>
      <c r="J52" s="599" t="s">
        <v>1495</v>
      </c>
      <c r="K52" s="600" t="s">
        <v>1494</v>
      </c>
      <c r="L52" s="601" t="s">
        <v>8961</v>
      </c>
      <c r="M52" s="600">
        <v>1</v>
      </c>
      <c r="N52" s="602">
        <v>54</v>
      </c>
      <c r="O52" s="603" t="s">
        <v>4612</v>
      </c>
      <c r="P52" s="603">
        <v>3000</v>
      </c>
      <c r="Q52" s="600">
        <v>35</v>
      </c>
      <c r="R52" s="237">
        <v>0</v>
      </c>
      <c r="S52" s="302">
        <v>0</v>
      </c>
      <c r="T52" s="239">
        <v>0</v>
      </c>
      <c r="U52" s="240">
        <v>0</v>
      </c>
      <c r="V52" s="241">
        <v>0</v>
      </c>
      <c r="W52" s="604">
        <v>0</v>
      </c>
      <c r="X52" s="243">
        <v>0</v>
      </c>
      <c r="Y52" s="605">
        <v>4</v>
      </c>
      <c r="Z52" s="606">
        <v>0</v>
      </c>
      <c r="AA52" s="600">
        <v>0</v>
      </c>
      <c r="AB52" s="240">
        <v>1</v>
      </c>
      <c r="AC52" s="602" t="s">
        <v>8898</v>
      </c>
      <c r="AD52" s="602" t="s">
        <v>8898</v>
      </c>
      <c r="AE52" s="607">
        <v>1</v>
      </c>
      <c r="AF52" s="250">
        <v>0</v>
      </c>
      <c r="AG52" s="249">
        <v>0</v>
      </c>
      <c r="AH52" s="531">
        <v>0</v>
      </c>
      <c r="AI52" s="532">
        <v>0</v>
      </c>
      <c r="AJ52" s="586" t="s">
        <v>6786</v>
      </c>
      <c r="AK52" s="253" t="s">
        <v>1495</v>
      </c>
      <c r="AL52" s="254" t="str">
        <f t="shared" si="0"/>
        <v>HAN020</v>
      </c>
      <c r="AM52" s="255">
        <v>0</v>
      </c>
      <c r="AN52" s="534" t="s">
        <v>8899</v>
      </c>
      <c r="AO52" s="535">
        <v>2.2999999999999998</v>
      </c>
      <c r="AP52" s="536">
        <v>466</v>
      </c>
      <c r="AQ52" s="536">
        <v>90</v>
      </c>
      <c r="AR52" s="537">
        <f t="shared" si="2"/>
        <v>0.75722669999999992</v>
      </c>
      <c r="AS52" s="538">
        <v>1029.0806180542588</v>
      </c>
      <c r="AT52" s="536">
        <v>508</v>
      </c>
      <c r="AU52" s="539">
        <v>0.44900688261520633</v>
      </c>
      <c r="AV52" s="521">
        <v>35</v>
      </c>
      <c r="AW52" s="540">
        <v>1026</v>
      </c>
      <c r="AX52" s="536">
        <v>330</v>
      </c>
      <c r="AY52" s="290">
        <v>500</v>
      </c>
      <c r="AZ52" s="290">
        <v>180</v>
      </c>
      <c r="BA52" s="541">
        <v>2.9700000000000001E-2</v>
      </c>
      <c r="BB52" s="541">
        <v>1.885</v>
      </c>
      <c r="BC52" s="290">
        <v>60</v>
      </c>
      <c r="BD52" s="542">
        <v>0.34</v>
      </c>
      <c r="BE52" s="543">
        <v>0.34</v>
      </c>
      <c r="BF52" s="536">
        <v>3</v>
      </c>
      <c r="BG52" s="163" t="s">
        <v>8953</v>
      </c>
      <c r="BH52" s="163">
        <v>2</v>
      </c>
      <c r="BK52" s="163">
        <v>0</v>
      </c>
      <c r="BM52" s="163" t="s">
        <v>8905</v>
      </c>
    </row>
    <row r="53" spans="1:65" ht="35.25" hidden="1" customHeight="1">
      <c r="A53" s="163" t="s">
        <v>8962</v>
      </c>
      <c r="B53" s="163" t="s">
        <v>1517</v>
      </c>
      <c r="C53" s="164" t="s">
        <v>8958</v>
      </c>
      <c r="D53" s="1487"/>
      <c r="E53" s="227"/>
      <c r="F53" s="268">
        <v>22</v>
      </c>
      <c r="G53" s="269"/>
      <c r="H53" s="270"/>
      <c r="I53" s="271"/>
      <c r="J53" s="522" t="s">
        <v>1517</v>
      </c>
      <c r="K53" s="523" t="s">
        <v>1516</v>
      </c>
      <c r="L53" s="524" t="s">
        <v>8963</v>
      </c>
      <c r="M53" s="523">
        <v>1</v>
      </c>
      <c r="N53" s="525">
        <v>54</v>
      </c>
      <c r="O53" s="526" t="s">
        <v>4612</v>
      </c>
      <c r="P53" s="526">
        <v>3000</v>
      </c>
      <c r="Q53" s="523">
        <v>35</v>
      </c>
      <c r="R53" s="237">
        <v>0</v>
      </c>
      <c r="S53" s="302">
        <v>0</v>
      </c>
      <c r="T53" s="463">
        <v>0</v>
      </c>
      <c r="U53" s="455">
        <v>0</v>
      </c>
      <c r="V53" s="464">
        <v>0</v>
      </c>
      <c r="W53" s="527">
        <v>0</v>
      </c>
      <c r="X53" s="479">
        <v>114</v>
      </c>
      <c r="Y53" s="528">
        <v>4</v>
      </c>
      <c r="Z53" s="529">
        <v>0</v>
      </c>
      <c r="AA53" s="523">
        <v>0</v>
      </c>
      <c r="AB53" s="455">
        <v>1</v>
      </c>
      <c r="AC53" s="525" t="s">
        <v>8898</v>
      </c>
      <c r="AD53" s="525" t="s">
        <v>8898</v>
      </c>
      <c r="AE53" s="530">
        <v>1</v>
      </c>
      <c r="AF53" s="250">
        <v>0</v>
      </c>
      <c r="AG53" s="313">
        <v>0</v>
      </c>
      <c r="AH53" s="531">
        <v>0</v>
      </c>
      <c r="AI53" s="532">
        <v>0</v>
      </c>
      <c r="AJ53" s="533" t="s">
        <v>8910</v>
      </c>
      <c r="AK53" s="253" t="s">
        <v>1517</v>
      </c>
      <c r="AL53" s="254" t="str">
        <f t="shared" si="0"/>
        <v>HAN020</v>
      </c>
      <c r="AM53" s="255">
        <f>P53</f>
        <v>3000</v>
      </c>
      <c r="AN53" s="534" t="s">
        <v>8899</v>
      </c>
      <c r="AO53" s="535">
        <v>2.2999999999999998</v>
      </c>
      <c r="AP53" s="536">
        <v>466</v>
      </c>
      <c r="AQ53" s="536">
        <v>90</v>
      </c>
      <c r="AR53" s="537">
        <f t="shared" si="2"/>
        <v>0.75722669999999992</v>
      </c>
      <c r="AS53" s="538">
        <v>1029.0806180542588</v>
      </c>
      <c r="AT53" s="536">
        <v>508</v>
      </c>
      <c r="AU53" s="539">
        <v>0.44900688261520633</v>
      </c>
      <c r="AV53" s="521">
        <v>35</v>
      </c>
      <c r="AW53" s="540">
        <v>1026</v>
      </c>
      <c r="AX53" s="536">
        <v>330</v>
      </c>
      <c r="AY53" s="290">
        <v>500</v>
      </c>
      <c r="AZ53" s="290">
        <v>180</v>
      </c>
      <c r="BA53" s="541">
        <v>2.9700000000000001E-2</v>
      </c>
      <c r="BB53" s="541">
        <v>1.885</v>
      </c>
      <c r="BC53" s="290">
        <v>60</v>
      </c>
      <c r="BD53" s="542">
        <v>0.34</v>
      </c>
      <c r="BE53" s="543">
        <v>0.34</v>
      </c>
      <c r="BF53" s="536">
        <v>3</v>
      </c>
      <c r="BG53" s="163" t="s">
        <v>8953</v>
      </c>
      <c r="BH53" s="163">
        <v>2</v>
      </c>
      <c r="BK53" s="163">
        <v>0</v>
      </c>
      <c r="BM53" s="163" t="s">
        <v>8905</v>
      </c>
    </row>
    <row r="54" spans="1:65" ht="35.25" hidden="1" customHeight="1">
      <c r="A54" s="163" t="s">
        <v>8964</v>
      </c>
      <c r="B54" s="163" t="s">
        <v>339</v>
      </c>
      <c r="C54" s="164" t="s">
        <v>8958</v>
      </c>
      <c r="D54" s="1487"/>
      <c r="E54" s="1489" t="s">
        <v>8916</v>
      </c>
      <c r="F54" s="1454">
        <v>35</v>
      </c>
      <c r="G54" s="389"/>
      <c r="H54" s="608"/>
      <c r="I54" s="294"/>
      <c r="J54" s="609" t="s">
        <v>339</v>
      </c>
      <c r="K54" s="610" t="s">
        <v>338</v>
      </c>
      <c r="L54" s="611" t="s">
        <v>8178</v>
      </c>
      <c r="M54" s="610">
        <v>1</v>
      </c>
      <c r="N54" s="612">
        <v>56</v>
      </c>
      <c r="O54" s="613" t="s">
        <v>4584</v>
      </c>
      <c r="P54" s="613">
        <v>3100</v>
      </c>
      <c r="Q54" s="610">
        <v>95</v>
      </c>
      <c r="R54" s="237">
        <v>0</v>
      </c>
      <c r="S54" s="302">
        <v>0</v>
      </c>
      <c r="T54" s="473">
        <v>0</v>
      </c>
      <c r="U54" s="1491">
        <v>0</v>
      </c>
      <c r="V54" s="1493">
        <v>0</v>
      </c>
      <c r="W54" s="476">
        <v>0</v>
      </c>
      <c r="X54" s="243">
        <v>0</v>
      </c>
      <c r="Y54" s="614">
        <v>4</v>
      </c>
      <c r="Z54" s="615">
        <v>0</v>
      </c>
      <c r="AA54" s="610">
        <v>0</v>
      </c>
      <c r="AB54" s="240">
        <v>1</v>
      </c>
      <c r="AC54" s="470" t="s">
        <v>8898</v>
      </c>
      <c r="AD54" s="470" t="s">
        <v>8898</v>
      </c>
      <c r="AE54" s="607">
        <v>1</v>
      </c>
      <c r="AF54" s="250">
        <v>0</v>
      </c>
      <c r="AG54" s="249">
        <v>0</v>
      </c>
      <c r="AH54" s="616">
        <v>0</v>
      </c>
      <c r="AI54" s="617">
        <v>0</v>
      </c>
      <c r="AJ54" s="586" t="s">
        <v>6786</v>
      </c>
      <c r="AK54" s="253" t="s">
        <v>339</v>
      </c>
      <c r="AL54" s="254" t="str">
        <f t="shared" si="0"/>
        <v>TTC016</v>
      </c>
      <c r="AM54" s="255">
        <v>0</v>
      </c>
      <c r="AN54" s="618" t="s">
        <v>8899</v>
      </c>
      <c r="AO54" s="619">
        <v>1.8</v>
      </c>
      <c r="AP54" s="620">
        <v>220</v>
      </c>
      <c r="AQ54" s="620">
        <v>160</v>
      </c>
      <c r="AR54" s="621">
        <f t="shared" si="2"/>
        <v>0.49737599999999998</v>
      </c>
      <c r="AS54" s="622">
        <v>1259.2827684476156</v>
      </c>
      <c r="AT54" s="620">
        <v>508</v>
      </c>
      <c r="AU54" s="623">
        <v>0.46644791867721808</v>
      </c>
      <c r="AV54" s="624">
        <v>95</v>
      </c>
      <c r="AW54" s="625">
        <v>1026</v>
      </c>
      <c r="AX54" s="620">
        <v>330</v>
      </c>
      <c r="AY54" s="626">
        <v>500</v>
      </c>
      <c r="AZ54" s="626">
        <v>180</v>
      </c>
      <c r="BA54" s="627">
        <v>2.9700000000000001E-2</v>
      </c>
      <c r="BB54" s="627">
        <v>1.885</v>
      </c>
      <c r="BC54" s="325">
        <v>60</v>
      </c>
      <c r="BD54" s="628">
        <v>0.11600000000000001</v>
      </c>
      <c r="BE54" s="629">
        <v>0.11600000000000001</v>
      </c>
      <c r="BF54" s="620">
        <v>2</v>
      </c>
      <c r="BG54" s="163" t="s">
        <v>8953</v>
      </c>
      <c r="BH54" s="163">
        <v>2</v>
      </c>
      <c r="BK54" s="163">
        <v>0</v>
      </c>
      <c r="BM54" s="163" t="s">
        <v>8905</v>
      </c>
    </row>
    <row r="55" spans="1:65" ht="35.25" hidden="1" customHeight="1">
      <c r="A55" s="163" t="s">
        <v>8965</v>
      </c>
      <c r="B55" s="163" t="s">
        <v>341</v>
      </c>
      <c r="C55" s="164" t="s">
        <v>8958</v>
      </c>
      <c r="D55" s="1487"/>
      <c r="E55" s="1490">
        <v>0</v>
      </c>
      <c r="F55" s="1454">
        <v>0</v>
      </c>
      <c r="G55" s="229"/>
      <c r="H55" s="230"/>
      <c r="I55" s="231"/>
      <c r="J55" s="630" t="s">
        <v>341</v>
      </c>
      <c r="K55" s="631" t="s">
        <v>340</v>
      </c>
      <c r="L55" s="632" t="s">
        <v>8178</v>
      </c>
      <c r="M55" s="631">
        <v>1</v>
      </c>
      <c r="N55" s="633">
        <v>56</v>
      </c>
      <c r="O55" s="634" t="s">
        <v>4584</v>
      </c>
      <c r="P55" s="634">
        <v>3100</v>
      </c>
      <c r="Q55" s="631">
        <v>95</v>
      </c>
      <c r="R55" s="237">
        <v>0</v>
      </c>
      <c r="S55" s="302">
        <v>0</v>
      </c>
      <c r="T55" s="239">
        <v>0</v>
      </c>
      <c r="U55" s="1492">
        <v>0</v>
      </c>
      <c r="V55" s="1494" t="e">
        <v>#DIV/0!</v>
      </c>
      <c r="W55" s="242">
        <v>0</v>
      </c>
      <c r="X55" s="243">
        <v>0</v>
      </c>
      <c r="Y55" s="635">
        <v>4</v>
      </c>
      <c r="Z55" s="636">
        <v>0</v>
      </c>
      <c r="AA55" s="631">
        <v>0</v>
      </c>
      <c r="AB55" s="240">
        <v>1</v>
      </c>
      <c r="AC55" s="637" t="s">
        <v>8898</v>
      </c>
      <c r="AD55" s="637" t="s">
        <v>8898</v>
      </c>
      <c r="AE55" s="607">
        <v>1</v>
      </c>
      <c r="AF55" s="250">
        <v>0</v>
      </c>
      <c r="AG55" s="249">
        <v>0</v>
      </c>
      <c r="AH55" s="638">
        <v>0</v>
      </c>
      <c r="AI55" s="639">
        <v>0</v>
      </c>
      <c r="AJ55" s="586" t="s">
        <v>6786</v>
      </c>
      <c r="AK55" s="253" t="s">
        <v>341</v>
      </c>
      <c r="AL55" s="254" t="str">
        <f t="shared" si="0"/>
        <v>TTC016</v>
      </c>
      <c r="AM55" s="255">
        <v>0</v>
      </c>
      <c r="AN55" s="640" t="s">
        <v>8899</v>
      </c>
      <c r="AO55" s="641">
        <v>1.8</v>
      </c>
      <c r="AP55" s="642">
        <v>220</v>
      </c>
      <c r="AQ55" s="642">
        <v>160</v>
      </c>
      <c r="AR55" s="643">
        <f t="shared" si="2"/>
        <v>0.49737599999999998</v>
      </c>
      <c r="AS55" s="644">
        <v>1259.2827684476156</v>
      </c>
      <c r="AT55" s="642">
        <v>508</v>
      </c>
      <c r="AU55" s="645">
        <v>0.46644791867721808</v>
      </c>
      <c r="AV55" s="646">
        <v>95</v>
      </c>
      <c r="AW55" s="647">
        <v>1026</v>
      </c>
      <c r="AX55" s="642">
        <v>330</v>
      </c>
      <c r="AY55" s="648">
        <v>500</v>
      </c>
      <c r="AZ55" s="648">
        <v>180</v>
      </c>
      <c r="BA55" s="649">
        <v>2.9700000000000001E-2</v>
      </c>
      <c r="BB55" s="649">
        <v>1.885</v>
      </c>
      <c r="BC55" s="264">
        <v>60</v>
      </c>
      <c r="BD55" s="650">
        <v>0.11600000000000001</v>
      </c>
      <c r="BE55" s="651">
        <v>0.11600000000000001</v>
      </c>
      <c r="BF55" s="642">
        <v>2</v>
      </c>
      <c r="BG55" s="163" t="s">
        <v>8953</v>
      </c>
      <c r="BH55" s="163">
        <v>2</v>
      </c>
      <c r="BK55" s="163">
        <v>0</v>
      </c>
      <c r="BM55" s="163" t="s">
        <v>8905</v>
      </c>
    </row>
    <row r="56" spans="1:65" s="165" customFormat="1" ht="35.25" hidden="1" customHeight="1">
      <c r="A56" s="165" t="s">
        <v>8966</v>
      </c>
      <c r="B56" s="165" t="s">
        <v>1318</v>
      </c>
      <c r="C56" s="164" t="s">
        <v>8958</v>
      </c>
      <c r="D56" s="1487"/>
      <c r="E56" s="652"/>
      <c r="F56" s="268">
        <v>20</v>
      </c>
      <c r="G56" s="229"/>
      <c r="H56" s="230"/>
      <c r="I56" s="231"/>
      <c r="J56" s="630" t="s">
        <v>1318</v>
      </c>
      <c r="K56" s="653" t="s">
        <v>1317</v>
      </c>
      <c r="L56" s="654" t="s">
        <v>8967</v>
      </c>
      <c r="M56" s="653">
        <v>1</v>
      </c>
      <c r="N56" s="655">
        <v>57</v>
      </c>
      <c r="O56" s="656" t="s">
        <v>4524</v>
      </c>
      <c r="P56" s="656">
        <v>3200</v>
      </c>
      <c r="Q56" s="653">
        <v>20</v>
      </c>
      <c r="R56" s="237">
        <v>0</v>
      </c>
      <c r="S56" s="302">
        <v>0</v>
      </c>
      <c r="T56" s="463">
        <v>0</v>
      </c>
      <c r="U56" s="455">
        <v>0</v>
      </c>
      <c r="V56" s="464">
        <v>0</v>
      </c>
      <c r="W56" s="657">
        <v>0</v>
      </c>
      <c r="X56" s="479">
        <v>303</v>
      </c>
      <c r="Y56" s="658">
        <v>4</v>
      </c>
      <c r="Z56" s="659">
        <v>0</v>
      </c>
      <c r="AA56" s="653">
        <v>0</v>
      </c>
      <c r="AB56" s="455">
        <v>1</v>
      </c>
      <c r="AC56" s="525" t="s">
        <v>8898</v>
      </c>
      <c r="AD56" s="525" t="s">
        <v>8898</v>
      </c>
      <c r="AE56" s="530">
        <v>1</v>
      </c>
      <c r="AF56" s="238">
        <v>0</v>
      </c>
      <c r="AG56" s="313">
        <v>0</v>
      </c>
      <c r="AH56" s="638">
        <v>0</v>
      </c>
      <c r="AI56" s="639">
        <v>0</v>
      </c>
      <c r="AJ56" s="533" t="s">
        <v>8910</v>
      </c>
      <c r="AK56" s="253" t="s">
        <v>1318</v>
      </c>
      <c r="AL56" s="254" t="str">
        <f t="shared" si="0"/>
        <v>TTC019</v>
      </c>
      <c r="AM56" s="255">
        <f>P56</f>
        <v>3200</v>
      </c>
      <c r="AN56" s="640" t="s">
        <v>8968</v>
      </c>
      <c r="AO56" s="641">
        <v>1.4</v>
      </c>
      <c r="AP56" s="642">
        <v>454</v>
      </c>
      <c r="AQ56" s="642">
        <v>106</v>
      </c>
      <c r="AR56" s="643">
        <f t="shared" si="2"/>
        <v>0.5288827599999999</v>
      </c>
      <c r="AS56" s="644">
        <v>986.37977334732614</v>
      </c>
      <c r="AT56" s="642">
        <v>508</v>
      </c>
      <c r="AU56" s="645">
        <v>0.85085019598672507</v>
      </c>
      <c r="AV56" s="646">
        <v>20</v>
      </c>
      <c r="AW56" s="647">
        <v>341</v>
      </c>
      <c r="AX56" s="642">
        <v>335</v>
      </c>
      <c r="AY56" s="648">
        <v>500</v>
      </c>
      <c r="AZ56" s="648">
        <v>103</v>
      </c>
      <c r="BA56" s="649">
        <v>1.7299999999999999E-2</v>
      </c>
      <c r="BB56" s="649" t="s">
        <v>8969</v>
      </c>
      <c r="BC56" s="264">
        <v>70</v>
      </c>
      <c r="BD56" s="650">
        <v>0.45</v>
      </c>
      <c r="BE56" s="651">
        <v>0.45</v>
      </c>
      <c r="BF56" s="642">
        <v>3</v>
      </c>
      <c r="BG56" s="165" t="s">
        <v>8953</v>
      </c>
      <c r="BH56" s="165">
        <v>2</v>
      </c>
      <c r="BK56" s="163">
        <v>0</v>
      </c>
      <c r="BM56" s="165" t="s">
        <v>8905</v>
      </c>
    </row>
    <row r="57" spans="1:65" ht="35.25" hidden="1" customHeight="1">
      <c r="A57" s="163" t="s">
        <v>8970</v>
      </c>
      <c r="B57" s="163" t="s">
        <v>1356</v>
      </c>
      <c r="C57" s="164" t="s">
        <v>8958</v>
      </c>
      <c r="D57" s="1487"/>
      <c r="E57" s="660"/>
      <c r="F57" s="268">
        <v>26</v>
      </c>
      <c r="G57" s="661"/>
      <c r="H57" s="662"/>
      <c r="I57" s="328"/>
      <c r="J57" s="663" t="s">
        <v>1356</v>
      </c>
      <c r="K57" s="664" t="s">
        <v>1355</v>
      </c>
      <c r="L57" s="665" t="s">
        <v>6189</v>
      </c>
      <c r="M57" s="664">
        <v>1</v>
      </c>
      <c r="N57" s="666">
        <v>55</v>
      </c>
      <c r="O57" s="667" t="s">
        <v>4544</v>
      </c>
      <c r="P57" s="667">
        <v>1600</v>
      </c>
      <c r="Q57" s="664">
        <v>20</v>
      </c>
      <c r="R57" s="237">
        <v>0</v>
      </c>
      <c r="S57" s="302">
        <v>0</v>
      </c>
      <c r="T57" s="239">
        <v>0</v>
      </c>
      <c r="U57" s="668">
        <v>0</v>
      </c>
      <c r="V57" s="669">
        <v>0</v>
      </c>
      <c r="W57" s="670">
        <v>0</v>
      </c>
      <c r="X57" s="243">
        <v>0</v>
      </c>
      <c r="Y57" s="671">
        <v>4</v>
      </c>
      <c r="Z57" s="672">
        <v>0</v>
      </c>
      <c r="AA57" s="664">
        <v>0</v>
      </c>
      <c r="AB57" s="240">
        <v>1</v>
      </c>
      <c r="AC57" s="602" t="s">
        <v>8898</v>
      </c>
      <c r="AD57" s="602" t="s">
        <v>8898</v>
      </c>
      <c r="AE57" s="673">
        <v>1</v>
      </c>
      <c r="AF57" s="250">
        <v>0</v>
      </c>
      <c r="AG57" s="249">
        <v>0</v>
      </c>
      <c r="AH57" s="674">
        <v>0</v>
      </c>
      <c r="AI57" s="675">
        <v>0</v>
      </c>
      <c r="AJ57" s="586" t="s">
        <v>6786</v>
      </c>
      <c r="AK57" s="253" t="s">
        <v>1356</v>
      </c>
      <c r="AL57" s="254" t="str">
        <f t="shared" si="0"/>
        <v>TTC024</v>
      </c>
      <c r="AM57" s="255">
        <v>0</v>
      </c>
      <c r="AN57" s="676" t="s">
        <v>8968</v>
      </c>
      <c r="AO57" s="677">
        <v>1.8</v>
      </c>
      <c r="AP57" s="678">
        <v>452</v>
      </c>
      <c r="AQ57" s="678">
        <v>115</v>
      </c>
      <c r="AR57" s="679">
        <f t="shared" si="2"/>
        <v>0.73447740000000006</v>
      </c>
      <c r="AS57" s="680">
        <v>1230.7076962578558</v>
      </c>
      <c r="AT57" s="678">
        <v>508</v>
      </c>
      <c r="AU57" s="681">
        <v>0.72160150877344897</v>
      </c>
      <c r="AV57" s="682">
        <v>20</v>
      </c>
      <c r="AW57" s="683">
        <v>341</v>
      </c>
      <c r="AX57" s="678">
        <v>335</v>
      </c>
      <c r="AY57" s="684">
        <v>500</v>
      </c>
      <c r="AZ57" s="684">
        <v>103</v>
      </c>
      <c r="BA57" s="685">
        <v>1.7299999999999999E-2</v>
      </c>
      <c r="BB57" s="685" t="s">
        <v>8969</v>
      </c>
      <c r="BC57" s="686">
        <v>70</v>
      </c>
      <c r="BD57" s="687">
        <v>0.53</v>
      </c>
      <c r="BE57" s="688">
        <v>0.53</v>
      </c>
      <c r="BF57" s="678">
        <v>3</v>
      </c>
      <c r="BG57" s="163" t="s">
        <v>8953</v>
      </c>
      <c r="BH57" s="163">
        <v>2</v>
      </c>
      <c r="BK57" s="163">
        <v>0</v>
      </c>
      <c r="BM57" s="163" t="s">
        <v>8905</v>
      </c>
    </row>
    <row r="58" spans="1:65" ht="35.25" hidden="1" customHeight="1">
      <c r="A58" s="163" t="s">
        <v>8971</v>
      </c>
      <c r="B58" s="163" t="s">
        <v>2695</v>
      </c>
      <c r="C58" s="164" t="s">
        <v>8958</v>
      </c>
      <c r="D58" s="1487"/>
      <c r="E58" s="227"/>
      <c r="F58" s="268">
        <v>31</v>
      </c>
      <c r="G58" s="269"/>
      <c r="H58" s="270"/>
      <c r="I58" s="271"/>
      <c r="J58" s="522" t="s">
        <v>2695</v>
      </c>
      <c r="K58" s="523" t="s">
        <v>2694</v>
      </c>
      <c r="L58" s="524" t="s">
        <v>5446</v>
      </c>
      <c r="M58" s="523">
        <v>1</v>
      </c>
      <c r="N58" s="525">
        <v>53</v>
      </c>
      <c r="O58" s="526" t="s">
        <v>4674</v>
      </c>
      <c r="P58" s="526">
        <v>1600</v>
      </c>
      <c r="Q58" s="523">
        <v>18</v>
      </c>
      <c r="R58" s="237">
        <v>0</v>
      </c>
      <c r="S58" s="302">
        <v>0</v>
      </c>
      <c r="T58" s="463">
        <v>0</v>
      </c>
      <c r="U58" s="455">
        <v>0</v>
      </c>
      <c r="V58" s="464">
        <v>0</v>
      </c>
      <c r="W58" s="527">
        <v>0</v>
      </c>
      <c r="X58" s="479">
        <v>90</v>
      </c>
      <c r="Y58" s="528">
        <v>4</v>
      </c>
      <c r="Z58" s="529">
        <v>0</v>
      </c>
      <c r="AA58" s="523">
        <v>0</v>
      </c>
      <c r="AB58" s="455">
        <v>1</v>
      </c>
      <c r="AC58" s="525" t="s">
        <v>8898</v>
      </c>
      <c r="AD58" s="525" t="s">
        <v>8898</v>
      </c>
      <c r="AE58" s="530">
        <v>1</v>
      </c>
      <c r="AF58" s="250">
        <v>0</v>
      </c>
      <c r="AG58" s="313">
        <v>0</v>
      </c>
      <c r="AH58" s="689">
        <v>0</v>
      </c>
      <c r="AI58" s="532">
        <v>0</v>
      </c>
      <c r="AJ58" s="533" t="s">
        <v>8910</v>
      </c>
      <c r="AK58" s="253" t="s">
        <v>2695</v>
      </c>
      <c r="AL58" s="254" t="str">
        <f t="shared" si="0"/>
        <v>TTC027</v>
      </c>
      <c r="AM58" s="255">
        <f>P58</f>
        <v>1600</v>
      </c>
      <c r="AN58" s="534" t="s">
        <v>8918</v>
      </c>
      <c r="AO58" s="535">
        <v>1.6</v>
      </c>
      <c r="AP58" s="536">
        <v>583</v>
      </c>
      <c r="AQ58" s="536">
        <v>135</v>
      </c>
      <c r="AR58" s="537">
        <f t="shared" si="2"/>
        <v>0.98853480000000005</v>
      </c>
      <c r="AS58" s="538">
        <v>947.77043778777215</v>
      </c>
      <c r="AT58" s="536">
        <v>508</v>
      </c>
      <c r="AU58" s="539">
        <v>0.53715863113772022</v>
      </c>
      <c r="AV58" s="521">
        <v>18</v>
      </c>
      <c r="AW58" s="540">
        <v>1026</v>
      </c>
      <c r="AX58" s="536">
        <v>330</v>
      </c>
      <c r="AY58" s="290">
        <v>500</v>
      </c>
      <c r="AZ58" s="290">
        <v>180</v>
      </c>
      <c r="BA58" s="541">
        <v>2.9700000000000001E-2</v>
      </c>
      <c r="BB58" s="541">
        <v>1.885</v>
      </c>
      <c r="BC58" s="290">
        <v>60</v>
      </c>
      <c r="BD58" s="542">
        <v>0.53100000000000003</v>
      </c>
      <c r="BE58" s="543">
        <v>0.53100000000000003</v>
      </c>
      <c r="BF58" s="536">
        <v>3</v>
      </c>
      <c r="BG58" s="163" t="s">
        <v>8953</v>
      </c>
      <c r="BH58" s="163">
        <v>2</v>
      </c>
      <c r="BK58" s="163">
        <v>0</v>
      </c>
      <c r="BM58" s="163" t="s">
        <v>8905</v>
      </c>
    </row>
    <row r="59" spans="1:65" ht="35.25" hidden="1" customHeight="1">
      <c r="A59" s="163" t="s">
        <v>8972</v>
      </c>
      <c r="B59" s="163" t="s">
        <v>2749</v>
      </c>
      <c r="C59" s="164" t="s">
        <v>8958</v>
      </c>
      <c r="D59" s="1487"/>
      <c r="E59" s="227"/>
      <c r="F59" s="268">
        <v>32</v>
      </c>
      <c r="G59" s="269"/>
      <c r="H59" s="270"/>
      <c r="I59" s="271"/>
      <c r="J59" s="522" t="s">
        <v>2749</v>
      </c>
      <c r="K59" s="523" t="s">
        <v>2748</v>
      </c>
      <c r="L59" s="524" t="s">
        <v>5447</v>
      </c>
      <c r="M59" s="523">
        <v>1</v>
      </c>
      <c r="N59" s="525">
        <v>53</v>
      </c>
      <c r="O59" s="526" t="s">
        <v>4674</v>
      </c>
      <c r="P59" s="526">
        <v>1600</v>
      </c>
      <c r="Q59" s="523">
        <v>18</v>
      </c>
      <c r="R59" s="237">
        <v>0</v>
      </c>
      <c r="S59" s="302">
        <v>0</v>
      </c>
      <c r="T59" s="463">
        <v>0</v>
      </c>
      <c r="U59" s="455">
        <v>0</v>
      </c>
      <c r="V59" s="464">
        <v>0</v>
      </c>
      <c r="W59" s="527">
        <v>0</v>
      </c>
      <c r="X59" s="479">
        <v>90</v>
      </c>
      <c r="Y59" s="528">
        <v>4</v>
      </c>
      <c r="Z59" s="529">
        <v>0</v>
      </c>
      <c r="AA59" s="523">
        <v>0</v>
      </c>
      <c r="AB59" s="455">
        <v>1</v>
      </c>
      <c r="AC59" s="690" t="s">
        <v>8898</v>
      </c>
      <c r="AD59" s="690" t="s">
        <v>8898</v>
      </c>
      <c r="AE59" s="530">
        <v>1</v>
      </c>
      <c r="AF59" s="250">
        <v>0</v>
      </c>
      <c r="AG59" s="313">
        <v>0</v>
      </c>
      <c r="AH59" s="689">
        <v>0</v>
      </c>
      <c r="AI59" s="532">
        <v>0</v>
      </c>
      <c r="AJ59" s="533" t="s">
        <v>8910</v>
      </c>
      <c r="AK59" s="253" t="s">
        <v>2749</v>
      </c>
      <c r="AL59" s="254" t="str">
        <f t="shared" si="0"/>
        <v>TTC027</v>
      </c>
      <c r="AM59" s="255">
        <f>P59</f>
        <v>1600</v>
      </c>
      <c r="AN59" s="534" t="s">
        <v>8918</v>
      </c>
      <c r="AO59" s="535">
        <v>1.6</v>
      </c>
      <c r="AP59" s="536">
        <v>583</v>
      </c>
      <c r="AQ59" s="536">
        <v>135</v>
      </c>
      <c r="AR59" s="537">
        <f t="shared" si="2"/>
        <v>0.98853480000000005</v>
      </c>
      <c r="AS59" s="538">
        <v>947.77043778777215</v>
      </c>
      <c r="AT59" s="536">
        <v>508</v>
      </c>
      <c r="AU59" s="539">
        <v>0.53715863113772022</v>
      </c>
      <c r="AV59" s="521">
        <v>18</v>
      </c>
      <c r="AW59" s="540">
        <v>1026</v>
      </c>
      <c r="AX59" s="536">
        <v>330</v>
      </c>
      <c r="AY59" s="290">
        <v>500</v>
      </c>
      <c r="AZ59" s="290">
        <v>180</v>
      </c>
      <c r="BA59" s="541">
        <v>2.9700000000000001E-2</v>
      </c>
      <c r="BB59" s="541">
        <v>1.885</v>
      </c>
      <c r="BC59" s="290">
        <v>60</v>
      </c>
      <c r="BD59" s="542">
        <v>0.53100000000000003</v>
      </c>
      <c r="BE59" s="543">
        <v>0.53100000000000003</v>
      </c>
      <c r="BF59" s="536">
        <v>3</v>
      </c>
      <c r="BG59" s="163" t="s">
        <v>8953</v>
      </c>
      <c r="BH59" s="163">
        <v>2</v>
      </c>
      <c r="BK59" s="163">
        <v>0</v>
      </c>
      <c r="BM59" s="163" t="s">
        <v>8905</v>
      </c>
    </row>
    <row r="60" spans="1:65" ht="35.25" hidden="1" customHeight="1">
      <c r="A60" s="163" t="s">
        <v>8973</v>
      </c>
      <c r="B60" s="163" t="s">
        <v>2813</v>
      </c>
      <c r="C60" s="164" t="s">
        <v>8958</v>
      </c>
      <c r="D60" s="1487"/>
      <c r="E60" s="1495" t="s">
        <v>8916</v>
      </c>
      <c r="F60" s="1454">
        <v>37</v>
      </c>
      <c r="G60" s="389"/>
      <c r="H60" s="608"/>
      <c r="I60" s="294"/>
      <c r="J60" s="609" t="s">
        <v>2813</v>
      </c>
      <c r="K60" s="610" t="s">
        <v>2812</v>
      </c>
      <c r="L60" s="611" t="s">
        <v>8974</v>
      </c>
      <c r="M60" s="610">
        <v>1</v>
      </c>
      <c r="N60" s="612">
        <v>56</v>
      </c>
      <c r="O60" s="613" t="s">
        <v>4644</v>
      </c>
      <c r="P60" s="613">
        <v>3200</v>
      </c>
      <c r="Q60" s="610">
        <v>50</v>
      </c>
      <c r="R60" s="237">
        <v>0</v>
      </c>
      <c r="S60" s="302">
        <v>0</v>
      </c>
      <c r="T60" s="473">
        <v>0</v>
      </c>
      <c r="U60" s="1491">
        <v>0</v>
      </c>
      <c r="V60" s="1493">
        <v>0</v>
      </c>
      <c r="W60" s="476">
        <v>0</v>
      </c>
      <c r="X60" s="243">
        <v>0</v>
      </c>
      <c r="Y60" s="614">
        <v>4</v>
      </c>
      <c r="Z60" s="615">
        <v>0</v>
      </c>
      <c r="AA60" s="610">
        <v>0</v>
      </c>
      <c r="AB60" s="240">
        <v>1</v>
      </c>
      <c r="AC60" s="470" t="s">
        <v>8898</v>
      </c>
      <c r="AD60" s="470" t="s">
        <v>8898</v>
      </c>
      <c r="AE60" s="691">
        <v>1</v>
      </c>
      <c r="AF60" s="250">
        <v>0</v>
      </c>
      <c r="AG60" s="249">
        <v>0</v>
      </c>
      <c r="AH60" s="616">
        <v>0</v>
      </c>
      <c r="AI60" s="617">
        <v>0</v>
      </c>
      <c r="AJ60" s="586" t="s">
        <v>6786</v>
      </c>
      <c r="AK60" s="253" t="s">
        <v>2813</v>
      </c>
      <c r="AL60" s="254" t="str">
        <f t="shared" si="0"/>
        <v>TTC018</v>
      </c>
      <c r="AM60" s="255">
        <v>0</v>
      </c>
      <c r="AN60" s="618" t="s">
        <v>8899</v>
      </c>
      <c r="AO60" s="619">
        <v>3.2</v>
      </c>
      <c r="AP60" s="620">
        <v>355</v>
      </c>
      <c r="AQ60" s="620">
        <v>114</v>
      </c>
      <c r="AR60" s="621">
        <f t="shared" si="2"/>
        <v>1.0166063999999999</v>
      </c>
      <c r="AS60" s="622">
        <v>1082.7309238777318</v>
      </c>
      <c r="AT60" s="620">
        <v>508</v>
      </c>
      <c r="AU60" s="623">
        <v>0.5783949422313297</v>
      </c>
      <c r="AV60" s="624">
        <v>50</v>
      </c>
      <c r="AW60" s="625">
        <v>341</v>
      </c>
      <c r="AX60" s="620">
        <v>335</v>
      </c>
      <c r="AY60" s="626">
        <v>500</v>
      </c>
      <c r="AZ60" s="626">
        <v>103</v>
      </c>
      <c r="BA60" s="627">
        <v>1.7299999999999999E-2</v>
      </c>
      <c r="BB60" s="627" t="s">
        <v>8969</v>
      </c>
      <c r="BC60" s="325">
        <v>60</v>
      </c>
      <c r="BD60" s="628">
        <v>0.29399999999999998</v>
      </c>
      <c r="BE60" s="629">
        <v>0.29399999999999998</v>
      </c>
      <c r="BF60" s="620">
        <v>2</v>
      </c>
      <c r="BG60" s="163" t="s">
        <v>8953</v>
      </c>
      <c r="BH60" s="163">
        <v>2</v>
      </c>
      <c r="BK60" s="163">
        <v>0</v>
      </c>
      <c r="BM60" s="163" t="s">
        <v>8905</v>
      </c>
    </row>
    <row r="61" spans="1:65" ht="35.25" hidden="1" customHeight="1">
      <c r="A61" s="163" t="s">
        <v>8975</v>
      </c>
      <c r="B61" s="163" t="s">
        <v>2837</v>
      </c>
      <c r="C61" s="164" t="s">
        <v>8958</v>
      </c>
      <c r="D61" s="1487"/>
      <c r="E61" s="1495">
        <v>0</v>
      </c>
      <c r="F61" s="1454">
        <v>0</v>
      </c>
      <c r="G61" s="229"/>
      <c r="H61" s="230"/>
      <c r="I61" s="231"/>
      <c r="J61" s="630" t="s">
        <v>2837</v>
      </c>
      <c r="K61" s="631" t="s">
        <v>2836</v>
      </c>
      <c r="L61" s="632" t="s">
        <v>8976</v>
      </c>
      <c r="M61" s="631">
        <v>1</v>
      </c>
      <c r="N61" s="633">
        <v>56</v>
      </c>
      <c r="O61" s="634" t="s">
        <v>4644</v>
      </c>
      <c r="P61" s="634">
        <v>3200</v>
      </c>
      <c r="Q61" s="631">
        <v>50</v>
      </c>
      <c r="R61" s="237">
        <v>0</v>
      </c>
      <c r="S61" s="302">
        <v>0</v>
      </c>
      <c r="T61" s="239">
        <v>0</v>
      </c>
      <c r="U61" s="1492">
        <v>0</v>
      </c>
      <c r="V61" s="1494" t="e">
        <v>#DIV/0!</v>
      </c>
      <c r="W61" s="242">
        <v>0</v>
      </c>
      <c r="X61" s="243">
        <v>0</v>
      </c>
      <c r="Y61" s="635">
        <v>4</v>
      </c>
      <c r="Z61" s="636">
        <v>0</v>
      </c>
      <c r="AA61" s="631">
        <v>0</v>
      </c>
      <c r="AB61" s="240">
        <v>1</v>
      </c>
      <c r="AC61" s="637" t="s">
        <v>8898</v>
      </c>
      <c r="AD61" s="637" t="s">
        <v>8898</v>
      </c>
      <c r="AE61" s="692">
        <v>1</v>
      </c>
      <c r="AF61" s="250">
        <v>0</v>
      </c>
      <c r="AG61" s="249">
        <v>0</v>
      </c>
      <c r="AH61" s="638">
        <v>0</v>
      </c>
      <c r="AI61" s="639">
        <v>0</v>
      </c>
      <c r="AJ61" s="586" t="s">
        <v>6786</v>
      </c>
      <c r="AK61" s="253" t="s">
        <v>2837</v>
      </c>
      <c r="AL61" s="254" t="str">
        <f t="shared" si="0"/>
        <v>TTC018</v>
      </c>
      <c r="AM61" s="255">
        <v>0</v>
      </c>
      <c r="AN61" s="640" t="s">
        <v>8899</v>
      </c>
      <c r="AO61" s="641">
        <v>3.2</v>
      </c>
      <c r="AP61" s="642">
        <v>355</v>
      </c>
      <c r="AQ61" s="642">
        <v>114</v>
      </c>
      <c r="AR61" s="643">
        <f t="shared" si="2"/>
        <v>1.0166063999999999</v>
      </c>
      <c r="AS61" s="644">
        <v>1082.7309238777318</v>
      </c>
      <c r="AT61" s="642">
        <v>508</v>
      </c>
      <c r="AU61" s="645">
        <v>0.5783949422313297</v>
      </c>
      <c r="AV61" s="646">
        <v>50</v>
      </c>
      <c r="AW61" s="647">
        <v>341</v>
      </c>
      <c r="AX61" s="642">
        <v>335</v>
      </c>
      <c r="AY61" s="648">
        <v>500</v>
      </c>
      <c r="AZ61" s="648">
        <v>103</v>
      </c>
      <c r="BA61" s="649">
        <v>1.7299999999999999E-2</v>
      </c>
      <c r="BB61" s="649" t="s">
        <v>8969</v>
      </c>
      <c r="BC61" s="264">
        <v>60</v>
      </c>
      <c r="BD61" s="650">
        <v>0.29399999999999998</v>
      </c>
      <c r="BE61" s="651">
        <v>0.29399999999999998</v>
      </c>
      <c r="BF61" s="642">
        <v>2</v>
      </c>
      <c r="BG61" s="163" t="s">
        <v>8953</v>
      </c>
      <c r="BH61" s="163">
        <v>2</v>
      </c>
      <c r="BK61" s="163">
        <v>0</v>
      </c>
      <c r="BM61" s="163" t="s">
        <v>8905</v>
      </c>
    </row>
    <row r="62" spans="1:65" ht="35.25" hidden="1" customHeight="1">
      <c r="A62" s="163" t="s">
        <v>8977</v>
      </c>
      <c r="B62" s="163" t="s">
        <v>1382</v>
      </c>
      <c r="C62" s="164" t="s">
        <v>8958</v>
      </c>
      <c r="D62" s="1488"/>
      <c r="E62" s="693" t="s">
        <v>8978</v>
      </c>
      <c r="F62" s="694">
        <v>41</v>
      </c>
      <c r="G62" s="695"/>
      <c r="H62" s="696"/>
      <c r="I62" s="697"/>
      <c r="J62" s="698" t="s">
        <v>1382</v>
      </c>
      <c r="K62" s="699" t="s">
        <v>1381</v>
      </c>
      <c r="L62" s="700" t="s">
        <v>8979</v>
      </c>
      <c r="M62" s="699">
        <v>1</v>
      </c>
      <c r="N62" s="701">
        <v>60</v>
      </c>
      <c r="O62" s="702" t="s">
        <v>4542</v>
      </c>
      <c r="P62" s="702">
        <v>1100</v>
      </c>
      <c r="Q62" s="699">
        <v>20</v>
      </c>
      <c r="R62" s="237">
        <v>0</v>
      </c>
      <c r="S62" s="302">
        <v>0</v>
      </c>
      <c r="T62" s="703">
        <v>0</v>
      </c>
      <c r="U62" s="704">
        <v>0</v>
      </c>
      <c r="V62" s="705">
        <v>0</v>
      </c>
      <c r="W62" s="706">
        <v>0</v>
      </c>
      <c r="X62" s="707">
        <v>79</v>
      </c>
      <c r="Y62" s="708">
        <v>4</v>
      </c>
      <c r="Z62" s="709">
        <v>0</v>
      </c>
      <c r="AA62" s="699">
        <v>0</v>
      </c>
      <c r="AB62" s="455">
        <v>1</v>
      </c>
      <c r="AC62" s="710" t="s">
        <v>8898</v>
      </c>
      <c r="AD62" s="711" t="s">
        <v>8898</v>
      </c>
      <c r="AE62" s="712">
        <v>1</v>
      </c>
      <c r="AF62" s="238">
        <v>0</v>
      </c>
      <c r="AG62" s="562">
        <v>0</v>
      </c>
      <c r="AH62" s="713">
        <v>0</v>
      </c>
      <c r="AI62" s="714">
        <v>0</v>
      </c>
      <c r="AJ62" s="533" t="s">
        <v>8910</v>
      </c>
      <c r="AK62" s="253" t="s">
        <v>1382</v>
      </c>
      <c r="AL62" s="254" t="str">
        <f t="shared" si="0"/>
        <v>TTC028</v>
      </c>
      <c r="AM62" s="255">
        <f t="shared" si="0"/>
        <v>1100</v>
      </c>
      <c r="AN62" s="715" t="s">
        <v>8918</v>
      </c>
      <c r="AO62" s="716">
        <v>1.8</v>
      </c>
      <c r="AP62" s="717">
        <v>430</v>
      </c>
      <c r="AQ62" s="717">
        <v>115</v>
      </c>
      <c r="AR62" s="718">
        <f t="shared" si="2"/>
        <v>0.69872849999999997</v>
      </c>
      <c r="AS62" s="719">
        <v>1006.4022035691482</v>
      </c>
      <c r="AT62" s="717">
        <v>508</v>
      </c>
      <c r="AU62" s="720">
        <v>0.73705309000563168</v>
      </c>
      <c r="AV62" s="721">
        <v>20</v>
      </c>
      <c r="AW62" s="722">
        <v>341</v>
      </c>
      <c r="AX62" s="717">
        <v>335</v>
      </c>
      <c r="AY62" s="723">
        <v>500</v>
      </c>
      <c r="AZ62" s="723">
        <v>103</v>
      </c>
      <c r="BA62" s="724">
        <v>1.7299999999999999E-2</v>
      </c>
      <c r="BB62" s="724" t="s">
        <v>8969</v>
      </c>
      <c r="BC62" s="725">
        <v>60</v>
      </c>
      <c r="BD62" s="726">
        <v>0.51500000000000001</v>
      </c>
      <c r="BE62" s="727">
        <v>0.51500000000000001</v>
      </c>
      <c r="BF62" s="717">
        <v>2</v>
      </c>
      <c r="BG62" s="163" t="s">
        <v>8953</v>
      </c>
      <c r="BH62" s="163">
        <v>2</v>
      </c>
      <c r="BK62" s="163">
        <v>0</v>
      </c>
      <c r="BM62" s="163" t="s">
        <v>8905</v>
      </c>
    </row>
    <row r="63" spans="1:65" ht="35.25" hidden="1" customHeight="1">
      <c r="A63" s="163" t="s">
        <v>8937</v>
      </c>
      <c r="B63" s="163" t="s">
        <v>8980</v>
      </c>
      <c r="C63" s="164" t="s">
        <v>8981</v>
      </c>
      <c r="D63" s="1503" t="s">
        <v>8981</v>
      </c>
      <c r="E63" s="1504" t="s">
        <v>8916</v>
      </c>
      <c r="F63" s="1506">
        <v>62</v>
      </c>
      <c r="G63" s="728"/>
      <c r="H63" s="729"/>
      <c r="I63" s="730"/>
      <c r="J63" s="731" t="s">
        <v>8980</v>
      </c>
      <c r="K63" s="732" t="s">
        <v>229</v>
      </c>
      <c r="L63" s="733" t="s">
        <v>5507</v>
      </c>
      <c r="M63" s="732">
        <v>1</v>
      </c>
      <c r="N63" s="734">
        <v>70</v>
      </c>
      <c r="O63" s="735" t="s">
        <v>4508</v>
      </c>
      <c r="P63" s="735">
        <v>1800</v>
      </c>
      <c r="Q63" s="732">
        <v>60</v>
      </c>
      <c r="R63" s="237">
        <v>3</v>
      </c>
      <c r="S63" s="302">
        <v>0.16666666666666666</v>
      </c>
      <c r="T63" s="303">
        <v>2.7777777777777775E-3</v>
      </c>
      <c r="U63" s="1480">
        <v>0.16666666666666666</v>
      </c>
      <c r="V63" s="1482">
        <v>4.7061622222222215E-5</v>
      </c>
      <c r="W63" s="306">
        <v>8.2499999999999986E-5</v>
      </c>
      <c r="X63" s="392">
        <v>60</v>
      </c>
      <c r="Y63" s="736">
        <v>4</v>
      </c>
      <c r="Z63" s="737">
        <v>1</v>
      </c>
      <c r="AA63" s="732">
        <v>0</v>
      </c>
      <c r="AB63" s="310">
        <v>61</v>
      </c>
      <c r="AC63" s="738" t="s">
        <v>8898</v>
      </c>
      <c r="AD63" s="739" t="s">
        <v>8898</v>
      </c>
      <c r="AE63" s="740">
        <v>61</v>
      </c>
      <c r="AF63" s="250">
        <v>0</v>
      </c>
      <c r="AG63" s="313">
        <v>60</v>
      </c>
      <c r="AH63" s="741">
        <v>60</v>
      </c>
      <c r="AI63" s="742">
        <v>0</v>
      </c>
      <c r="AJ63" s="533" t="s">
        <v>8910</v>
      </c>
      <c r="AK63" s="253" t="s">
        <v>8980</v>
      </c>
      <c r="AL63" s="254" t="str">
        <f t="shared" si="0"/>
        <v>TTC038</v>
      </c>
      <c r="AM63" s="255">
        <f t="shared" si="0"/>
        <v>1800</v>
      </c>
      <c r="AN63" s="743" t="s">
        <v>8982</v>
      </c>
      <c r="AO63" s="744">
        <v>1.2</v>
      </c>
      <c r="AP63" s="735">
        <v>574</v>
      </c>
      <c r="AQ63" s="735">
        <v>94</v>
      </c>
      <c r="AR63" s="745">
        <f t="shared" si="2"/>
        <v>0.50826551999999992</v>
      </c>
      <c r="AS63" s="746">
        <v>907.46491470941805</v>
      </c>
      <c r="AT63" s="735">
        <v>508</v>
      </c>
      <c r="AU63" s="747">
        <v>0.5745028700746807</v>
      </c>
      <c r="AV63" s="748">
        <v>60</v>
      </c>
      <c r="AW63" s="749">
        <v>1026</v>
      </c>
      <c r="AX63" s="735">
        <v>330</v>
      </c>
      <c r="AY63" s="750">
        <v>500</v>
      </c>
      <c r="AZ63" s="750">
        <v>180</v>
      </c>
      <c r="BA63" s="751">
        <v>2.9700000000000001E-2</v>
      </c>
      <c r="BB63" s="751">
        <v>1.885</v>
      </c>
      <c r="BC63" s="752">
        <v>60</v>
      </c>
      <c r="BD63" s="753">
        <v>0.14599999999999999</v>
      </c>
      <c r="BE63" s="754">
        <v>0.14599999999999999</v>
      </c>
      <c r="BF63" s="735">
        <v>3</v>
      </c>
      <c r="BG63" s="163" t="s">
        <v>8932</v>
      </c>
      <c r="BH63" s="163">
        <v>3</v>
      </c>
      <c r="BK63" s="163">
        <v>0</v>
      </c>
      <c r="BM63" s="163" t="s">
        <v>8905</v>
      </c>
    </row>
    <row r="64" spans="1:65" ht="35.25" hidden="1" customHeight="1">
      <c r="A64" s="163" t="s">
        <v>8938</v>
      </c>
      <c r="B64" s="163" t="s">
        <v>8983</v>
      </c>
      <c r="C64" s="164" t="s">
        <v>8981</v>
      </c>
      <c r="D64" s="1497"/>
      <c r="E64" s="1505"/>
      <c r="F64" s="1507"/>
      <c r="G64" s="229"/>
      <c r="H64" s="231"/>
      <c r="I64" s="756"/>
      <c r="J64" s="757" t="s">
        <v>8983</v>
      </c>
      <c r="K64" s="490" t="s">
        <v>239</v>
      </c>
      <c r="L64" s="758" t="s">
        <v>5509</v>
      </c>
      <c r="M64" s="490">
        <v>1</v>
      </c>
      <c r="N64" s="759">
        <v>70</v>
      </c>
      <c r="O64" s="642" t="s">
        <v>4508</v>
      </c>
      <c r="P64" s="642">
        <v>1800</v>
      </c>
      <c r="Q64" s="490">
        <v>60</v>
      </c>
      <c r="R64" s="237">
        <v>4</v>
      </c>
      <c r="S64" s="302">
        <v>0.22222222222222221</v>
      </c>
      <c r="T64" s="399">
        <v>3.7037037037037034E-3</v>
      </c>
      <c r="U64" s="1481">
        <v>0.22222222222222221</v>
      </c>
      <c r="V64" s="1483">
        <v>6.2748829629629619E-5</v>
      </c>
      <c r="W64" s="402">
        <v>1.0999999999999999E-4</v>
      </c>
      <c r="X64" s="392">
        <v>60</v>
      </c>
      <c r="Y64" s="760">
        <v>4</v>
      </c>
      <c r="Z64" s="761">
        <v>1</v>
      </c>
      <c r="AA64" s="490">
        <v>0</v>
      </c>
      <c r="AB64" s="310">
        <v>61</v>
      </c>
      <c r="AC64" s="397" t="s">
        <v>8898</v>
      </c>
      <c r="AD64" s="397" t="s">
        <v>8898</v>
      </c>
      <c r="AE64" s="762">
        <v>61</v>
      </c>
      <c r="AF64" s="250">
        <v>0</v>
      </c>
      <c r="AG64" s="313">
        <v>60</v>
      </c>
      <c r="AH64" s="638">
        <v>60</v>
      </c>
      <c r="AI64" s="639">
        <v>0</v>
      </c>
      <c r="AJ64" s="533" t="s">
        <v>8910</v>
      </c>
      <c r="AK64" s="253" t="s">
        <v>8983</v>
      </c>
      <c r="AL64" s="254" t="str">
        <f t="shared" si="0"/>
        <v>TTC038</v>
      </c>
      <c r="AM64" s="255">
        <f t="shared" si="0"/>
        <v>1800</v>
      </c>
      <c r="AN64" s="640" t="s">
        <v>8982</v>
      </c>
      <c r="AO64" s="641">
        <v>1.2</v>
      </c>
      <c r="AP64" s="642">
        <v>574</v>
      </c>
      <c r="AQ64" s="642">
        <v>94</v>
      </c>
      <c r="AR64" s="643">
        <f t="shared" si="2"/>
        <v>0.50826551999999992</v>
      </c>
      <c r="AS64" s="644">
        <v>907.46491470941805</v>
      </c>
      <c r="AT64" s="642">
        <v>508</v>
      </c>
      <c r="AU64" s="645">
        <v>0.5745028700746807</v>
      </c>
      <c r="AV64" s="646">
        <v>60</v>
      </c>
      <c r="AW64" s="647">
        <v>1026</v>
      </c>
      <c r="AX64" s="642">
        <v>330</v>
      </c>
      <c r="AY64" s="648">
        <v>500</v>
      </c>
      <c r="AZ64" s="648">
        <v>180</v>
      </c>
      <c r="BA64" s="649">
        <v>2.9700000000000001E-2</v>
      </c>
      <c r="BB64" s="649">
        <v>1.885</v>
      </c>
      <c r="BC64" s="264">
        <v>60</v>
      </c>
      <c r="BD64" s="650">
        <v>0.14599999999999999</v>
      </c>
      <c r="BE64" s="651">
        <v>0.14599999999999999</v>
      </c>
      <c r="BF64" s="642">
        <v>3</v>
      </c>
      <c r="BG64" s="163" t="s">
        <v>8932</v>
      </c>
      <c r="BH64" s="163">
        <v>3</v>
      </c>
      <c r="BK64" s="163">
        <v>0</v>
      </c>
      <c r="BM64" s="163" t="s">
        <v>8905</v>
      </c>
    </row>
    <row r="65" spans="1:65" ht="35.25" hidden="1" customHeight="1">
      <c r="A65" s="163" t="s">
        <v>8984</v>
      </c>
      <c r="B65" s="163" t="s">
        <v>2697</v>
      </c>
      <c r="C65" s="164" t="s">
        <v>8981</v>
      </c>
      <c r="D65" s="1497"/>
      <c r="E65" s="763"/>
      <c r="F65" s="268">
        <v>56</v>
      </c>
      <c r="G65" s="269"/>
      <c r="H65" s="270"/>
      <c r="I65" s="271"/>
      <c r="J65" s="764" t="s">
        <v>2697</v>
      </c>
      <c r="K65" s="765" t="s">
        <v>2696</v>
      </c>
      <c r="L65" s="766" t="s">
        <v>7964</v>
      </c>
      <c r="M65" s="765">
        <v>1</v>
      </c>
      <c r="N65" s="767">
        <v>48</v>
      </c>
      <c r="O65" s="768" t="s">
        <v>4532</v>
      </c>
      <c r="P65" s="768">
        <v>1800</v>
      </c>
      <c r="Q65" s="765">
        <v>12</v>
      </c>
      <c r="R65" s="769">
        <v>0</v>
      </c>
      <c r="S65" s="770">
        <v>0</v>
      </c>
      <c r="T65" s="771">
        <v>0</v>
      </c>
      <c r="U65" s="772">
        <v>0</v>
      </c>
      <c r="V65" s="773">
        <v>0</v>
      </c>
      <c r="W65" s="774">
        <v>0</v>
      </c>
      <c r="X65" s="775">
        <v>118</v>
      </c>
      <c r="Y65" s="776">
        <v>4</v>
      </c>
      <c r="Z65" s="777">
        <v>0</v>
      </c>
      <c r="AA65" s="778">
        <v>0</v>
      </c>
      <c r="AB65" s="779">
        <v>118</v>
      </c>
      <c r="AC65" s="767" t="s">
        <v>8898</v>
      </c>
      <c r="AD65" s="767" t="s">
        <v>8898</v>
      </c>
      <c r="AE65" s="780">
        <v>118</v>
      </c>
      <c r="AF65" s="781">
        <v>0</v>
      </c>
      <c r="AG65" s="782">
        <v>110</v>
      </c>
      <c r="AH65" s="783">
        <v>110</v>
      </c>
      <c r="AI65" s="784">
        <v>0</v>
      </c>
      <c r="AJ65" s="785" t="s">
        <v>8985</v>
      </c>
      <c r="AK65" s="253" t="s">
        <v>2697</v>
      </c>
      <c r="AL65" s="254" t="str">
        <f t="shared" si="0"/>
        <v>TTC037</v>
      </c>
      <c r="AM65" s="255">
        <f t="shared" si="0"/>
        <v>1800</v>
      </c>
      <c r="AN65" s="534" t="s">
        <v>8968</v>
      </c>
      <c r="AO65" s="535">
        <v>1.4</v>
      </c>
      <c r="AP65" s="536">
        <v>571</v>
      </c>
      <c r="AQ65" s="536">
        <v>203</v>
      </c>
      <c r="AR65" s="537">
        <f t="shared" si="2"/>
        <v>1.2738838699999999</v>
      </c>
      <c r="AS65" s="538">
        <v>877.2818073613206</v>
      </c>
      <c r="AT65" s="536">
        <v>508</v>
      </c>
      <c r="AU65" s="539">
        <v>0.52830561391753872</v>
      </c>
      <c r="AV65" s="521">
        <v>12</v>
      </c>
      <c r="AW65" s="540">
        <v>2546</v>
      </c>
      <c r="AX65" s="536">
        <v>370</v>
      </c>
      <c r="AY65" s="290">
        <v>570</v>
      </c>
      <c r="AZ65" s="290">
        <v>200</v>
      </c>
      <c r="BA65" s="541">
        <v>4.2200000000000001E-2</v>
      </c>
      <c r="BB65" s="541">
        <v>2.085</v>
      </c>
      <c r="BC65" s="290">
        <v>50</v>
      </c>
      <c r="BD65" s="542">
        <v>0.67300000000000004</v>
      </c>
      <c r="BE65" s="543">
        <v>0.67300000000000004</v>
      </c>
      <c r="BF65" s="536">
        <v>3</v>
      </c>
      <c r="BG65" s="163" t="s">
        <v>8953</v>
      </c>
      <c r="BH65" s="163">
        <v>2</v>
      </c>
      <c r="BK65" s="163">
        <v>0</v>
      </c>
      <c r="BM65" s="163" t="s">
        <v>8905</v>
      </c>
    </row>
    <row r="66" spans="1:65" s="165" customFormat="1" ht="35.25" hidden="1" customHeight="1">
      <c r="A66" s="163" t="s">
        <v>8986</v>
      </c>
      <c r="B66" s="163" t="s">
        <v>2751</v>
      </c>
      <c r="C66" s="164" t="s">
        <v>8981</v>
      </c>
      <c r="D66" s="1497"/>
      <c r="E66" s="763"/>
      <c r="F66" s="268">
        <v>57</v>
      </c>
      <c r="G66" s="269"/>
      <c r="H66" s="270"/>
      <c r="I66" s="271"/>
      <c r="J66" s="764" t="s">
        <v>2751</v>
      </c>
      <c r="K66" s="765" t="s">
        <v>2750</v>
      </c>
      <c r="L66" s="766" t="s">
        <v>7966</v>
      </c>
      <c r="M66" s="765">
        <v>1</v>
      </c>
      <c r="N66" s="767">
        <v>45</v>
      </c>
      <c r="O66" s="768" t="s">
        <v>4532</v>
      </c>
      <c r="P66" s="768">
        <v>1800</v>
      </c>
      <c r="Q66" s="765">
        <v>12</v>
      </c>
      <c r="R66" s="769">
        <v>0</v>
      </c>
      <c r="S66" s="770">
        <v>0</v>
      </c>
      <c r="T66" s="771">
        <v>0</v>
      </c>
      <c r="U66" s="772">
        <v>0</v>
      </c>
      <c r="V66" s="773">
        <v>0</v>
      </c>
      <c r="W66" s="774">
        <v>0</v>
      </c>
      <c r="X66" s="775">
        <v>118</v>
      </c>
      <c r="Y66" s="776">
        <v>4</v>
      </c>
      <c r="Z66" s="777">
        <v>0</v>
      </c>
      <c r="AA66" s="778">
        <v>0</v>
      </c>
      <c r="AB66" s="779">
        <v>118</v>
      </c>
      <c r="AC66" s="767" t="s">
        <v>8898</v>
      </c>
      <c r="AD66" s="767" t="s">
        <v>8898</v>
      </c>
      <c r="AE66" s="780">
        <v>118</v>
      </c>
      <c r="AF66" s="781">
        <v>0</v>
      </c>
      <c r="AG66" s="782">
        <v>110</v>
      </c>
      <c r="AH66" s="783">
        <v>110</v>
      </c>
      <c r="AI66" s="784">
        <v>0</v>
      </c>
      <c r="AJ66" s="785" t="s">
        <v>8985</v>
      </c>
      <c r="AK66" s="253" t="s">
        <v>2751</v>
      </c>
      <c r="AL66" s="254" t="str">
        <f t="shared" si="0"/>
        <v>TTC037</v>
      </c>
      <c r="AM66" s="255">
        <f t="shared" si="0"/>
        <v>1800</v>
      </c>
      <c r="AN66" s="534" t="s">
        <v>8968</v>
      </c>
      <c r="AO66" s="535">
        <v>1.4</v>
      </c>
      <c r="AP66" s="536">
        <v>571</v>
      </c>
      <c r="AQ66" s="536">
        <v>203</v>
      </c>
      <c r="AR66" s="537">
        <f t="shared" si="2"/>
        <v>1.2738838699999999</v>
      </c>
      <c r="AS66" s="538">
        <v>877.2818073613206</v>
      </c>
      <c r="AT66" s="536">
        <v>508</v>
      </c>
      <c r="AU66" s="539">
        <v>0.52830561391753872</v>
      </c>
      <c r="AV66" s="521">
        <v>12</v>
      </c>
      <c r="AW66" s="540">
        <v>2546</v>
      </c>
      <c r="AX66" s="536">
        <v>370</v>
      </c>
      <c r="AY66" s="290">
        <v>570</v>
      </c>
      <c r="AZ66" s="290">
        <v>200</v>
      </c>
      <c r="BA66" s="541">
        <v>4.2200000000000001E-2</v>
      </c>
      <c r="BB66" s="541">
        <v>2.085</v>
      </c>
      <c r="BC66" s="290">
        <v>40</v>
      </c>
      <c r="BD66" s="542">
        <v>0.67300000000000004</v>
      </c>
      <c r="BE66" s="543">
        <v>0.67300000000000004</v>
      </c>
      <c r="BF66" s="536">
        <v>3</v>
      </c>
      <c r="BG66" s="165" t="s">
        <v>8953</v>
      </c>
      <c r="BH66" s="165">
        <v>2</v>
      </c>
      <c r="BK66" s="163">
        <v>0</v>
      </c>
      <c r="BM66" s="165" t="s">
        <v>8905</v>
      </c>
    </row>
    <row r="67" spans="1:65" s="165" customFormat="1" ht="35.25" customHeight="1">
      <c r="A67" s="163" t="s">
        <v>8987</v>
      </c>
      <c r="B67" s="163" t="s">
        <v>2699</v>
      </c>
      <c r="C67" s="164" t="s">
        <v>8981</v>
      </c>
      <c r="D67" s="1497"/>
      <c r="E67" s="763"/>
      <c r="F67" s="268">
        <v>60</v>
      </c>
      <c r="G67" s="269"/>
      <c r="H67" s="270"/>
      <c r="I67" s="271"/>
      <c r="J67" s="786" t="s">
        <v>2699</v>
      </c>
      <c r="K67" s="787" t="s">
        <v>2698</v>
      </c>
      <c r="L67" s="788" t="s">
        <v>5259</v>
      </c>
      <c r="M67" s="787">
        <v>1</v>
      </c>
      <c r="N67" s="789">
        <v>55</v>
      </c>
      <c r="O67" s="536" t="s">
        <v>4540</v>
      </c>
      <c r="P67" s="536">
        <v>2500</v>
      </c>
      <c r="Q67" s="787">
        <v>20</v>
      </c>
      <c r="R67" s="237">
        <v>18811</v>
      </c>
      <c r="S67" s="302">
        <v>1045.0555555555557</v>
      </c>
      <c r="T67" s="399">
        <v>52.25277777777778</v>
      </c>
      <c r="U67" s="492">
        <v>1045.0555555555557</v>
      </c>
      <c r="V67" s="790">
        <v>0.36106719607111115</v>
      </c>
      <c r="W67" s="791">
        <v>2.2050672222222225</v>
      </c>
      <c r="X67" s="392">
        <v>145</v>
      </c>
      <c r="Y67" s="488">
        <v>4</v>
      </c>
      <c r="Z67" s="489">
        <v>14</v>
      </c>
      <c r="AA67" s="490">
        <v>13</v>
      </c>
      <c r="AB67" s="310">
        <v>172</v>
      </c>
      <c r="AC67" s="789" t="s">
        <v>8898</v>
      </c>
      <c r="AD67" s="789" t="s">
        <v>8898</v>
      </c>
      <c r="AE67" s="689">
        <v>166</v>
      </c>
      <c r="AF67" s="250">
        <v>6</v>
      </c>
      <c r="AG67" s="313">
        <v>140</v>
      </c>
      <c r="AH67" s="531">
        <v>140</v>
      </c>
      <c r="AI67" s="532">
        <v>0</v>
      </c>
      <c r="AJ67" s="441" t="s">
        <v>8917</v>
      </c>
      <c r="AK67" s="253" t="s">
        <v>2699</v>
      </c>
      <c r="AL67" s="254" t="str">
        <f t="shared" si="0"/>
        <v>TTC039</v>
      </c>
      <c r="AM67" s="255">
        <f t="shared" si="0"/>
        <v>2500</v>
      </c>
      <c r="AN67" s="534" t="s">
        <v>8968</v>
      </c>
      <c r="AO67" s="535">
        <v>1.6</v>
      </c>
      <c r="AP67" s="536">
        <v>529</v>
      </c>
      <c r="AQ67" s="536">
        <v>130</v>
      </c>
      <c r="AR67" s="537">
        <f t="shared" si="2"/>
        <v>0.86375120000000005</v>
      </c>
      <c r="AS67" s="538">
        <v>933.59060096379483</v>
      </c>
      <c r="AT67" s="536">
        <v>508</v>
      </c>
      <c r="AU67" s="539">
        <v>0.7143260698219579</v>
      </c>
      <c r="AV67" s="521">
        <v>20</v>
      </c>
      <c r="AW67" s="540">
        <v>2546</v>
      </c>
      <c r="AX67" s="536">
        <v>370</v>
      </c>
      <c r="AY67" s="290">
        <v>570</v>
      </c>
      <c r="AZ67" s="290">
        <v>200</v>
      </c>
      <c r="BA67" s="541">
        <v>4.2200000000000001E-2</v>
      </c>
      <c r="BB67" s="541">
        <v>2.085</v>
      </c>
      <c r="BC67" s="290">
        <v>60</v>
      </c>
      <c r="BD67" s="542">
        <v>0.61699999999999999</v>
      </c>
      <c r="BE67" s="543">
        <v>0.61699999999999999</v>
      </c>
      <c r="BF67" s="536">
        <v>3</v>
      </c>
      <c r="BG67" s="165" t="s">
        <v>8953</v>
      </c>
      <c r="BH67" s="165">
        <v>2</v>
      </c>
      <c r="BK67" s="163">
        <v>0</v>
      </c>
      <c r="BM67" s="165" t="s">
        <v>8905</v>
      </c>
    </row>
    <row r="68" spans="1:65" s="165" customFormat="1" ht="41.25" customHeight="1">
      <c r="A68" s="163" t="s">
        <v>8988</v>
      </c>
      <c r="B68" s="163" t="s">
        <v>2753</v>
      </c>
      <c r="C68" s="164" t="s">
        <v>8981</v>
      </c>
      <c r="D68" s="1497"/>
      <c r="E68" s="763"/>
      <c r="F68" s="268">
        <v>61</v>
      </c>
      <c r="G68" s="269"/>
      <c r="H68" s="270"/>
      <c r="I68" s="271"/>
      <c r="J68" s="786" t="s">
        <v>2753</v>
      </c>
      <c r="K68" s="787" t="s">
        <v>2752</v>
      </c>
      <c r="L68" s="788" t="s">
        <v>5258</v>
      </c>
      <c r="M68" s="787">
        <v>1</v>
      </c>
      <c r="N68" s="789">
        <v>55</v>
      </c>
      <c r="O68" s="536" t="s">
        <v>4540</v>
      </c>
      <c r="P68" s="536">
        <v>2500</v>
      </c>
      <c r="Q68" s="787">
        <v>20</v>
      </c>
      <c r="R68" s="237">
        <v>18782</v>
      </c>
      <c r="S68" s="302">
        <v>1043.4444444444443</v>
      </c>
      <c r="T68" s="399">
        <v>52.172222222222217</v>
      </c>
      <c r="U68" s="492">
        <v>1043.4444444444443</v>
      </c>
      <c r="V68" s="790">
        <v>0.3605105564088889</v>
      </c>
      <c r="W68" s="791">
        <v>2.2016677777777778</v>
      </c>
      <c r="X68" s="392">
        <v>145</v>
      </c>
      <c r="Y68" s="488">
        <v>4</v>
      </c>
      <c r="Z68" s="489">
        <v>14</v>
      </c>
      <c r="AA68" s="490">
        <v>13</v>
      </c>
      <c r="AB68" s="310">
        <v>172</v>
      </c>
      <c r="AC68" s="789" t="s">
        <v>8898</v>
      </c>
      <c r="AD68" s="789" t="s">
        <v>8898</v>
      </c>
      <c r="AE68" s="689">
        <v>166</v>
      </c>
      <c r="AF68" s="250">
        <v>6</v>
      </c>
      <c r="AG68" s="313">
        <v>140</v>
      </c>
      <c r="AH68" s="531">
        <v>140</v>
      </c>
      <c r="AI68" s="532">
        <v>0</v>
      </c>
      <c r="AJ68" s="441" t="s">
        <v>8917</v>
      </c>
      <c r="AK68" s="253" t="s">
        <v>2753</v>
      </c>
      <c r="AL68" s="254" t="str">
        <f t="shared" si="0"/>
        <v>TTC039</v>
      </c>
      <c r="AM68" s="255">
        <f t="shared" si="0"/>
        <v>2500</v>
      </c>
      <c r="AN68" s="534" t="s">
        <v>8968</v>
      </c>
      <c r="AO68" s="535">
        <v>1.6</v>
      </c>
      <c r="AP68" s="536">
        <v>529</v>
      </c>
      <c r="AQ68" s="536">
        <v>130</v>
      </c>
      <c r="AR68" s="537">
        <f t="shared" si="2"/>
        <v>0.86375120000000005</v>
      </c>
      <c r="AS68" s="538">
        <v>933.59060096379483</v>
      </c>
      <c r="AT68" s="536">
        <v>508</v>
      </c>
      <c r="AU68" s="539">
        <v>0.7143260698219579</v>
      </c>
      <c r="AV68" s="521">
        <v>20</v>
      </c>
      <c r="AW68" s="540">
        <v>2546</v>
      </c>
      <c r="AX68" s="536">
        <v>370</v>
      </c>
      <c r="AY68" s="290">
        <v>570</v>
      </c>
      <c r="AZ68" s="290">
        <v>200</v>
      </c>
      <c r="BA68" s="541">
        <v>4.2200000000000001E-2</v>
      </c>
      <c r="BB68" s="541">
        <v>2.085</v>
      </c>
      <c r="BC68" s="290">
        <v>60</v>
      </c>
      <c r="BD68" s="542">
        <v>0.61699999999999999</v>
      </c>
      <c r="BE68" s="543">
        <v>0.61699999999999999</v>
      </c>
      <c r="BF68" s="536">
        <v>3</v>
      </c>
      <c r="BG68" s="165" t="s">
        <v>8953</v>
      </c>
      <c r="BH68" s="165">
        <v>2</v>
      </c>
      <c r="BK68" s="163">
        <v>0</v>
      </c>
      <c r="BM68" s="165" t="s">
        <v>8905</v>
      </c>
    </row>
    <row r="69" spans="1:65" s="165" customFormat="1" ht="35.25" customHeight="1">
      <c r="A69" s="163" t="s">
        <v>8989</v>
      </c>
      <c r="B69" s="163" t="s">
        <v>2701</v>
      </c>
      <c r="C69" s="164" t="s">
        <v>8981</v>
      </c>
      <c r="D69" s="1497"/>
      <c r="E69" s="763"/>
      <c r="F69" s="268">
        <v>58</v>
      </c>
      <c r="G69" s="269"/>
      <c r="H69" s="271"/>
      <c r="I69" s="440"/>
      <c r="J69" s="786" t="s">
        <v>2701</v>
      </c>
      <c r="K69" s="787" t="s">
        <v>2700</v>
      </c>
      <c r="L69" s="788" t="s">
        <v>8990</v>
      </c>
      <c r="M69" s="787">
        <v>1</v>
      </c>
      <c r="N69" s="789">
        <v>55</v>
      </c>
      <c r="O69" s="536" t="s">
        <v>4534</v>
      </c>
      <c r="P69" s="536">
        <v>1500</v>
      </c>
      <c r="Q69" s="787">
        <v>20</v>
      </c>
      <c r="R69" s="237">
        <v>33424</v>
      </c>
      <c r="S69" s="302">
        <v>1856.8888888888889</v>
      </c>
      <c r="T69" s="399">
        <v>92.844444444444449</v>
      </c>
      <c r="U69" s="492">
        <v>1856.8888888888889</v>
      </c>
      <c r="V69" s="790">
        <v>0.88812173084444435</v>
      </c>
      <c r="W69" s="791">
        <v>2.7574800000000002</v>
      </c>
      <c r="X69" s="392">
        <v>105</v>
      </c>
      <c r="Y69" s="488">
        <v>4</v>
      </c>
      <c r="Z69" s="489">
        <v>24</v>
      </c>
      <c r="AA69" s="490">
        <v>23</v>
      </c>
      <c r="AB69" s="310">
        <v>152</v>
      </c>
      <c r="AC69" s="792">
        <v>6.8</v>
      </c>
      <c r="AD69" s="793">
        <v>40</v>
      </c>
      <c r="AE69" s="689">
        <v>141</v>
      </c>
      <c r="AF69" s="250">
        <v>11</v>
      </c>
      <c r="AG69" s="313">
        <v>100</v>
      </c>
      <c r="AH69" s="531">
        <v>100</v>
      </c>
      <c r="AI69" s="532">
        <v>0</v>
      </c>
      <c r="AJ69" s="794"/>
      <c r="AK69" s="253" t="s">
        <v>2701</v>
      </c>
      <c r="AL69" s="254" t="str">
        <f t="shared" si="0"/>
        <v>TTC040</v>
      </c>
      <c r="AM69" s="255">
        <f t="shared" si="0"/>
        <v>1500</v>
      </c>
      <c r="AN69" s="534" t="s">
        <v>8968</v>
      </c>
      <c r="AO69" s="535">
        <v>1.6</v>
      </c>
      <c r="AP69" s="536">
        <v>480</v>
      </c>
      <c r="AQ69" s="536">
        <v>119</v>
      </c>
      <c r="AR69" s="537">
        <f t="shared" si="2"/>
        <v>0.71742719999999993</v>
      </c>
      <c r="AS69" s="538">
        <v>1050.3627547979158</v>
      </c>
      <c r="AT69" s="536">
        <v>508</v>
      </c>
      <c r="AU69" s="539">
        <v>0.64536164784385097</v>
      </c>
      <c r="AV69" s="521">
        <v>20</v>
      </c>
      <c r="AW69" s="540">
        <v>1026</v>
      </c>
      <c r="AX69" s="536">
        <v>330</v>
      </c>
      <c r="AY69" s="290">
        <v>500</v>
      </c>
      <c r="AZ69" s="290">
        <v>180</v>
      </c>
      <c r="BA69" s="541">
        <v>2.9700000000000001E-2</v>
      </c>
      <c r="BB69" s="541">
        <v>1.885</v>
      </c>
      <c r="BC69" s="290">
        <v>60</v>
      </c>
      <c r="BD69" s="542">
        <v>0.46300000000000002</v>
      </c>
      <c r="BE69" s="543">
        <v>0.46300000000000002</v>
      </c>
      <c r="BF69" s="536">
        <v>3</v>
      </c>
      <c r="BG69" s="165" t="s">
        <v>8953</v>
      </c>
      <c r="BH69" s="165">
        <v>2</v>
      </c>
      <c r="BK69" s="163">
        <v>0</v>
      </c>
      <c r="BM69" s="165" t="s">
        <v>8905</v>
      </c>
    </row>
    <row r="70" spans="1:65" s="165" customFormat="1" ht="35.25" customHeight="1">
      <c r="A70" s="163" t="s">
        <v>8991</v>
      </c>
      <c r="B70" s="163" t="s">
        <v>2755</v>
      </c>
      <c r="C70" s="164" t="s">
        <v>8981</v>
      </c>
      <c r="D70" s="1497"/>
      <c r="E70" s="763"/>
      <c r="F70" s="268">
        <v>59</v>
      </c>
      <c r="G70" s="269"/>
      <c r="H70" s="271"/>
      <c r="I70" s="440"/>
      <c r="J70" s="786" t="s">
        <v>2755</v>
      </c>
      <c r="K70" s="787" t="s">
        <v>2754</v>
      </c>
      <c r="L70" s="788" t="s">
        <v>8992</v>
      </c>
      <c r="M70" s="787">
        <v>1</v>
      </c>
      <c r="N70" s="789">
        <v>55</v>
      </c>
      <c r="O70" s="536" t="s">
        <v>4534</v>
      </c>
      <c r="P70" s="536">
        <v>1500</v>
      </c>
      <c r="Q70" s="787">
        <v>20</v>
      </c>
      <c r="R70" s="237">
        <v>33146</v>
      </c>
      <c r="S70" s="302">
        <v>1841.4444444444443</v>
      </c>
      <c r="T70" s="399">
        <v>92.072222222222223</v>
      </c>
      <c r="U70" s="492">
        <v>1841.4444444444443</v>
      </c>
      <c r="V70" s="790">
        <v>0.88073488782222209</v>
      </c>
      <c r="W70" s="791">
        <v>2.7345450000000002</v>
      </c>
      <c r="X70" s="392">
        <v>105</v>
      </c>
      <c r="Y70" s="488">
        <v>4</v>
      </c>
      <c r="Z70" s="489">
        <v>24</v>
      </c>
      <c r="AA70" s="490">
        <v>23</v>
      </c>
      <c r="AB70" s="310">
        <v>152</v>
      </c>
      <c r="AC70" s="792">
        <v>6.8</v>
      </c>
      <c r="AD70" s="793">
        <v>40</v>
      </c>
      <c r="AE70" s="689">
        <v>141</v>
      </c>
      <c r="AF70" s="250">
        <v>11</v>
      </c>
      <c r="AG70" s="313">
        <v>100</v>
      </c>
      <c r="AH70" s="531">
        <v>100</v>
      </c>
      <c r="AI70" s="532">
        <v>0</v>
      </c>
      <c r="AJ70" s="794"/>
      <c r="AK70" s="253" t="s">
        <v>2755</v>
      </c>
      <c r="AL70" s="254" t="str">
        <f t="shared" si="0"/>
        <v>TTC040</v>
      </c>
      <c r="AM70" s="255">
        <f t="shared" si="0"/>
        <v>1500</v>
      </c>
      <c r="AN70" s="534" t="s">
        <v>8968</v>
      </c>
      <c r="AO70" s="535">
        <v>1.6</v>
      </c>
      <c r="AP70" s="536">
        <v>480</v>
      </c>
      <c r="AQ70" s="536">
        <v>119</v>
      </c>
      <c r="AR70" s="537">
        <f t="shared" si="2"/>
        <v>0.71742719999999993</v>
      </c>
      <c r="AS70" s="538">
        <v>1050.3627547979158</v>
      </c>
      <c r="AT70" s="536">
        <v>508</v>
      </c>
      <c r="AU70" s="539">
        <v>0.64536164784385097</v>
      </c>
      <c r="AV70" s="521">
        <v>20</v>
      </c>
      <c r="AW70" s="540">
        <v>1026</v>
      </c>
      <c r="AX70" s="536">
        <v>330</v>
      </c>
      <c r="AY70" s="290">
        <v>500</v>
      </c>
      <c r="AZ70" s="290">
        <v>180</v>
      </c>
      <c r="BA70" s="541">
        <v>2.9700000000000001E-2</v>
      </c>
      <c r="BB70" s="541">
        <v>1.885</v>
      </c>
      <c r="BC70" s="290">
        <v>60</v>
      </c>
      <c r="BD70" s="542">
        <v>0.46300000000000002</v>
      </c>
      <c r="BE70" s="543">
        <v>0.46300000000000002</v>
      </c>
      <c r="BF70" s="536">
        <v>3</v>
      </c>
      <c r="BG70" s="165" t="s">
        <v>8953</v>
      </c>
      <c r="BH70" s="165">
        <v>2</v>
      </c>
      <c r="BK70" s="163">
        <v>0</v>
      </c>
      <c r="BM70" s="165" t="s">
        <v>8905</v>
      </c>
    </row>
    <row r="71" spans="1:65" s="165" customFormat="1" ht="35.25" customHeight="1">
      <c r="A71" s="163" t="s">
        <v>8993</v>
      </c>
      <c r="B71" s="163" t="s">
        <v>2799</v>
      </c>
      <c r="C71" s="164" t="s">
        <v>8981</v>
      </c>
      <c r="D71" s="1497"/>
      <c r="E71" s="1508" t="s">
        <v>8916</v>
      </c>
      <c r="F71" s="293">
        <v>53</v>
      </c>
      <c r="G71" s="795"/>
      <c r="H71" s="294"/>
      <c r="I71" s="796"/>
      <c r="J71" s="797" t="s">
        <v>2799</v>
      </c>
      <c r="K71" s="798" t="s">
        <v>2798</v>
      </c>
      <c r="L71" s="799" t="s">
        <v>7930</v>
      </c>
      <c r="M71" s="798">
        <v>1</v>
      </c>
      <c r="N71" s="800">
        <v>55</v>
      </c>
      <c r="O71" s="620" t="s">
        <v>4700</v>
      </c>
      <c r="P71" s="620">
        <v>1700</v>
      </c>
      <c r="Q71" s="798">
        <v>50</v>
      </c>
      <c r="R71" s="237">
        <v>33861</v>
      </c>
      <c r="S71" s="302">
        <v>1881.1666666666667</v>
      </c>
      <c r="T71" s="303">
        <v>37.623333333333335</v>
      </c>
      <c r="U71" s="1480">
        <v>1881.1666666666667</v>
      </c>
      <c r="V71" s="1482">
        <v>0.7410681245490196</v>
      </c>
      <c r="W71" s="306">
        <v>1.117413</v>
      </c>
      <c r="X71" s="392">
        <v>51</v>
      </c>
      <c r="Y71" s="801">
        <v>8</v>
      </c>
      <c r="Z71" s="802">
        <v>19</v>
      </c>
      <c r="AA71" s="490">
        <v>9</v>
      </c>
      <c r="AB71" s="310">
        <v>79</v>
      </c>
      <c r="AC71" s="311" t="s">
        <v>8898</v>
      </c>
      <c r="AD71" s="311" t="s">
        <v>8898</v>
      </c>
      <c r="AE71" s="803">
        <v>73</v>
      </c>
      <c r="AF71" s="250">
        <v>6</v>
      </c>
      <c r="AG71" s="313">
        <v>50</v>
      </c>
      <c r="AH71" s="616">
        <v>50</v>
      </c>
      <c r="AI71" s="617">
        <v>0</v>
      </c>
      <c r="AJ71" s="1511" t="s">
        <v>8917</v>
      </c>
      <c r="AK71" s="253" t="s">
        <v>2799</v>
      </c>
      <c r="AL71" s="254" t="str">
        <f t="shared" si="0"/>
        <v>TTC042</v>
      </c>
      <c r="AM71" s="255">
        <f t="shared" si="0"/>
        <v>1700</v>
      </c>
      <c r="AN71" s="618" t="s">
        <v>8918</v>
      </c>
      <c r="AO71" s="619">
        <v>3.2</v>
      </c>
      <c r="AP71" s="620">
        <v>215</v>
      </c>
      <c r="AQ71" s="620">
        <v>124</v>
      </c>
      <c r="AR71" s="621">
        <f t="shared" si="2"/>
        <v>0.66969919999999994</v>
      </c>
      <c r="AS71" s="622">
        <v>1146.6289519667521</v>
      </c>
      <c r="AT71" s="620">
        <v>508</v>
      </c>
      <c r="AU71" s="623">
        <v>0.61221515569975293</v>
      </c>
      <c r="AV71" s="624">
        <v>50</v>
      </c>
      <c r="AW71" s="625">
        <v>1026</v>
      </c>
      <c r="AX71" s="620">
        <v>330</v>
      </c>
      <c r="AY71" s="626">
        <v>500</v>
      </c>
      <c r="AZ71" s="626">
        <v>180</v>
      </c>
      <c r="BA71" s="627">
        <v>2.9700000000000001E-2</v>
      </c>
      <c r="BB71" s="627">
        <v>1.885</v>
      </c>
      <c r="BC71" s="325">
        <v>60</v>
      </c>
      <c r="BD71" s="628">
        <v>0.20499999999999999</v>
      </c>
      <c r="BE71" s="629">
        <v>0.20499999999999999</v>
      </c>
      <c r="BF71" s="620">
        <v>3</v>
      </c>
      <c r="BG71" s="165" t="s">
        <v>8904</v>
      </c>
      <c r="BH71" s="165">
        <v>1</v>
      </c>
      <c r="BK71" s="163">
        <v>0</v>
      </c>
      <c r="BM71" s="165" t="s">
        <v>8905</v>
      </c>
    </row>
    <row r="72" spans="1:65" s="165" customFormat="1" ht="35.25" customHeight="1">
      <c r="A72" s="163" t="s">
        <v>8994</v>
      </c>
      <c r="B72" s="163" t="s">
        <v>2831</v>
      </c>
      <c r="C72" s="164" t="s">
        <v>8981</v>
      </c>
      <c r="D72" s="1497"/>
      <c r="E72" s="1509">
        <v>0</v>
      </c>
      <c r="F72" s="293">
        <v>53</v>
      </c>
      <c r="G72" s="804"/>
      <c r="H72" s="231"/>
      <c r="I72" s="805"/>
      <c r="J72" s="757" t="s">
        <v>2831</v>
      </c>
      <c r="K72" s="490" t="s">
        <v>2830</v>
      </c>
      <c r="L72" s="758" t="s">
        <v>7931</v>
      </c>
      <c r="M72" s="490">
        <v>1</v>
      </c>
      <c r="N72" s="759">
        <v>55</v>
      </c>
      <c r="O72" s="642" t="s">
        <v>4700</v>
      </c>
      <c r="P72" s="642">
        <v>1700</v>
      </c>
      <c r="Q72" s="490">
        <v>50</v>
      </c>
      <c r="R72" s="237">
        <v>33771</v>
      </c>
      <c r="S72" s="302">
        <v>1876.1666666666667</v>
      </c>
      <c r="T72" s="399">
        <v>37.523333333333333</v>
      </c>
      <c r="U72" s="1481">
        <v>1876.1666666666667</v>
      </c>
      <c r="V72" s="1483">
        <v>0.73909842101960777</v>
      </c>
      <c r="W72" s="402">
        <v>1.1144430000000001</v>
      </c>
      <c r="X72" s="392">
        <v>51</v>
      </c>
      <c r="Y72" s="760">
        <v>8</v>
      </c>
      <c r="Z72" s="761">
        <v>19</v>
      </c>
      <c r="AA72" s="490">
        <v>9</v>
      </c>
      <c r="AB72" s="310">
        <v>79</v>
      </c>
      <c r="AC72" s="397" t="s">
        <v>8898</v>
      </c>
      <c r="AD72" s="397" t="s">
        <v>8898</v>
      </c>
      <c r="AE72" s="762">
        <v>73</v>
      </c>
      <c r="AF72" s="250">
        <v>6</v>
      </c>
      <c r="AG72" s="313">
        <v>50</v>
      </c>
      <c r="AH72" s="638">
        <v>50</v>
      </c>
      <c r="AI72" s="639">
        <v>0</v>
      </c>
      <c r="AJ72" s="1512"/>
      <c r="AK72" s="253" t="s">
        <v>2831</v>
      </c>
      <c r="AL72" s="254" t="str">
        <f t="shared" si="0"/>
        <v>TTC042</v>
      </c>
      <c r="AM72" s="255">
        <f t="shared" si="0"/>
        <v>1700</v>
      </c>
      <c r="AN72" s="640" t="s">
        <v>8918</v>
      </c>
      <c r="AO72" s="641">
        <v>3.2</v>
      </c>
      <c r="AP72" s="642">
        <v>215</v>
      </c>
      <c r="AQ72" s="642">
        <v>124</v>
      </c>
      <c r="AR72" s="643">
        <f t="shared" si="2"/>
        <v>0.66969919999999994</v>
      </c>
      <c r="AS72" s="644">
        <v>1146.6289519667521</v>
      </c>
      <c r="AT72" s="642">
        <v>508</v>
      </c>
      <c r="AU72" s="645">
        <v>0.61221515569975293</v>
      </c>
      <c r="AV72" s="646">
        <v>50</v>
      </c>
      <c r="AW72" s="647">
        <v>1026</v>
      </c>
      <c r="AX72" s="642">
        <v>330</v>
      </c>
      <c r="AY72" s="648">
        <v>500</v>
      </c>
      <c r="AZ72" s="648">
        <v>180</v>
      </c>
      <c r="BA72" s="649">
        <v>2.9700000000000001E-2</v>
      </c>
      <c r="BB72" s="649">
        <v>1.885</v>
      </c>
      <c r="BC72" s="264">
        <v>60</v>
      </c>
      <c r="BD72" s="650">
        <v>0.20499999999999999</v>
      </c>
      <c r="BE72" s="651">
        <v>0.20499999999999999</v>
      </c>
      <c r="BF72" s="642">
        <v>3</v>
      </c>
      <c r="BG72" s="165" t="s">
        <v>8904</v>
      </c>
      <c r="BH72" s="165">
        <v>1</v>
      </c>
      <c r="BK72" s="163">
        <v>0</v>
      </c>
      <c r="BM72" s="165" t="s">
        <v>8905</v>
      </c>
    </row>
    <row r="73" spans="1:65" s="165" customFormat="1" ht="35.25" hidden="1" customHeight="1">
      <c r="A73" s="163" t="s">
        <v>8995</v>
      </c>
      <c r="B73" s="163" t="s">
        <v>2801</v>
      </c>
      <c r="C73" s="164" t="s">
        <v>8981</v>
      </c>
      <c r="D73" s="1497"/>
      <c r="E73" s="1508" t="s">
        <v>8916</v>
      </c>
      <c r="F73" s="1454">
        <v>52</v>
      </c>
      <c r="G73" s="389"/>
      <c r="H73" s="608"/>
      <c r="I73" s="294"/>
      <c r="J73" s="806" t="s">
        <v>2801</v>
      </c>
      <c r="K73" s="807" t="s">
        <v>2800</v>
      </c>
      <c r="L73" s="808" t="s">
        <v>5718</v>
      </c>
      <c r="M73" s="807">
        <v>1</v>
      </c>
      <c r="N73" s="809">
        <v>55</v>
      </c>
      <c r="O73" s="810" t="s">
        <v>4698</v>
      </c>
      <c r="P73" s="810">
        <v>0</v>
      </c>
      <c r="Q73" s="807">
        <v>50</v>
      </c>
      <c r="R73" s="769">
        <v>0</v>
      </c>
      <c r="S73" s="770">
        <v>0</v>
      </c>
      <c r="T73" s="811">
        <v>0</v>
      </c>
      <c r="U73" s="1513">
        <v>0</v>
      </c>
      <c r="V73" s="1482">
        <v>0</v>
      </c>
      <c r="W73" s="812">
        <v>0</v>
      </c>
      <c r="X73" s="775">
        <v>0</v>
      </c>
      <c r="Y73" s="813">
        <v>4</v>
      </c>
      <c r="Z73" s="814">
        <v>0</v>
      </c>
      <c r="AA73" s="778">
        <v>0</v>
      </c>
      <c r="AB73" s="779">
        <v>0</v>
      </c>
      <c r="AC73" s="420" t="s">
        <v>8898</v>
      </c>
      <c r="AD73" s="420" t="s">
        <v>8898</v>
      </c>
      <c r="AE73" s="815">
        <v>0</v>
      </c>
      <c r="AF73" s="781">
        <v>0</v>
      </c>
      <c r="AG73" s="782">
        <v>0</v>
      </c>
      <c r="AH73" s="816">
        <v>0</v>
      </c>
      <c r="AI73" s="817">
        <v>0</v>
      </c>
      <c r="AJ73" s="785" t="s">
        <v>8985</v>
      </c>
      <c r="AK73" s="253" t="s">
        <v>2801</v>
      </c>
      <c r="AL73" s="254" t="str">
        <f t="shared" si="0"/>
        <v>TTC043</v>
      </c>
      <c r="AM73" s="255">
        <f t="shared" si="0"/>
        <v>0</v>
      </c>
      <c r="AN73" s="618" t="s">
        <v>8918</v>
      </c>
      <c r="AO73" s="619">
        <v>3.2</v>
      </c>
      <c r="AP73" s="620">
        <v>208</v>
      </c>
      <c r="AQ73" s="620">
        <v>124</v>
      </c>
      <c r="AR73" s="621">
        <f t="shared" si="2"/>
        <v>0.64789504000000009</v>
      </c>
      <c r="AS73" s="622">
        <v>1092.8326636632119</v>
      </c>
      <c r="AT73" s="620">
        <v>508</v>
      </c>
      <c r="AU73" s="623">
        <v>0.64825314915206012</v>
      </c>
      <c r="AV73" s="624">
        <v>50</v>
      </c>
      <c r="AW73" s="625">
        <v>1026</v>
      </c>
      <c r="AX73" s="620">
        <v>330</v>
      </c>
      <c r="AY73" s="626">
        <v>500</v>
      </c>
      <c r="AZ73" s="626">
        <v>180</v>
      </c>
      <c r="BA73" s="627">
        <v>2.9700000000000001E-2</v>
      </c>
      <c r="BB73" s="627">
        <v>1.885</v>
      </c>
      <c r="BC73" s="325">
        <v>60</v>
      </c>
      <c r="BD73" s="628">
        <v>0.21</v>
      </c>
      <c r="BE73" s="629">
        <v>0.21</v>
      </c>
      <c r="BF73" s="620">
        <v>3</v>
      </c>
      <c r="BG73" s="165" t="s">
        <v>8953</v>
      </c>
      <c r="BH73" s="165">
        <v>2</v>
      </c>
      <c r="BK73" s="163">
        <v>0</v>
      </c>
      <c r="BM73" s="165" t="s">
        <v>8905</v>
      </c>
    </row>
    <row r="74" spans="1:65" ht="35.25" hidden="1" customHeight="1">
      <c r="A74" s="163" t="s">
        <v>8996</v>
      </c>
      <c r="B74" s="163" t="s">
        <v>2833</v>
      </c>
      <c r="C74" s="164" t="s">
        <v>8981</v>
      </c>
      <c r="D74" s="1497"/>
      <c r="E74" s="1509">
        <v>0</v>
      </c>
      <c r="F74" s="1454">
        <v>0</v>
      </c>
      <c r="G74" s="229"/>
      <c r="H74" s="230"/>
      <c r="I74" s="231"/>
      <c r="J74" s="818" t="s">
        <v>2833</v>
      </c>
      <c r="K74" s="778" t="s">
        <v>2832</v>
      </c>
      <c r="L74" s="819" t="s">
        <v>7967</v>
      </c>
      <c r="M74" s="778">
        <v>1</v>
      </c>
      <c r="N74" s="820">
        <v>55</v>
      </c>
      <c r="O74" s="821" t="s">
        <v>4698</v>
      </c>
      <c r="P74" s="821">
        <v>0</v>
      </c>
      <c r="Q74" s="778">
        <v>50</v>
      </c>
      <c r="R74" s="769">
        <v>0</v>
      </c>
      <c r="S74" s="770">
        <v>0</v>
      </c>
      <c r="T74" s="771">
        <v>0</v>
      </c>
      <c r="U74" s="1514">
        <v>0</v>
      </c>
      <c r="V74" s="1483" t="e">
        <v>#DIV/0!</v>
      </c>
      <c r="W74" s="822">
        <v>0</v>
      </c>
      <c r="X74" s="775">
        <v>0</v>
      </c>
      <c r="Y74" s="823">
        <v>4</v>
      </c>
      <c r="Z74" s="824">
        <v>0</v>
      </c>
      <c r="AA74" s="778">
        <v>0</v>
      </c>
      <c r="AB74" s="779">
        <v>0</v>
      </c>
      <c r="AC74" s="368" t="s">
        <v>8898</v>
      </c>
      <c r="AD74" s="368" t="s">
        <v>8898</v>
      </c>
      <c r="AE74" s="825">
        <v>0</v>
      </c>
      <c r="AF74" s="781">
        <v>0</v>
      </c>
      <c r="AG74" s="782">
        <v>0</v>
      </c>
      <c r="AH74" s="826">
        <v>0</v>
      </c>
      <c r="AI74" s="827">
        <v>0</v>
      </c>
      <c r="AJ74" s="785" t="s">
        <v>8985</v>
      </c>
      <c r="AK74" s="253" t="s">
        <v>2833</v>
      </c>
      <c r="AL74" s="254" t="str">
        <f t="shared" si="0"/>
        <v>TTC043</v>
      </c>
      <c r="AM74" s="255">
        <f t="shared" si="0"/>
        <v>0</v>
      </c>
      <c r="AN74" s="640" t="s">
        <v>8918</v>
      </c>
      <c r="AO74" s="641">
        <v>3.2</v>
      </c>
      <c r="AP74" s="642">
        <v>208</v>
      </c>
      <c r="AQ74" s="642">
        <v>124</v>
      </c>
      <c r="AR74" s="643">
        <f t="shared" si="2"/>
        <v>0.64789504000000009</v>
      </c>
      <c r="AS74" s="644">
        <v>1092.8326636632119</v>
      </c>
      <c r="AT74" s="642">
        <v>508</v>
      </c>
      <c r="AU74" s="645">
        <v>0.64825314915206012</v>
      </c>
      <c r="AV74" s="646">
        <v>50</v>
      </c>
      <c r="AW74" s="647">
        <v>1026</v>
      </c>
      <c r="AX74" s="642">
        <v>330</v>
      </c>
      <c r="AY74" s="648">
        <v>500</v>
      </c>
      <c r="AZ74" s="648">
        <v>180</v>
      </c>
      <c r="BA74" s="649">
        <v>2.9700000000000001E-2</v>
      </c>
      <c r="BB74" s="649">
        <v>1.885</v>
      </c>
      <c r="BC74" s="264">
        <v>60</v>
      </c>
      <c r="BD74" s="650">
        <v>0.21</v>
      </c>
      <c r="BE74" s="651">
        <v>0.21</v>
      </c>
      <c r="BF74" s="642">
        <v>3</v>
      </c>
      <c r="BG74" s="163" t="s">
        <v>8953</v>
      </c>
      <c r="BH74" s="163">
        <v>2</v>
      </c>
      <c r="BK74" s="163">
        <v>0</v>
      </c>
      <c r="BM74" s="163" t="s">
        <v>8905</v>
      </c>
    </row>
    <row r="75" spans="1:65" ht="35.25" hidden="1" customHeight="1">
      <c r="A75" s="163" t="s">
        <v>8997</v>
      </c>
      <c r="B75" s="163" t="s">
        <v>3763</v>
      </c>
      <c r="C75" s="164" t="s">
        <v>8981</v>
      </c>
      <c r="D75" s="1497"/>
      <c r="E75" s="763"/>
      <c r="F75" s="268">
        <v>79</v>
      </c>
      <c r="G75" s="269"/>
      <c r="H75" s="271"/>
      <c r="I75" s="440"/>
      <c r="J75" s="786" t="s">
        <v>3763</v>
      </c>
      <c r="K75" s="787" t="s">
        <v>3761</v>
      </c>
      <c r="L75" s="788" t="s">
        <v>7927</v>
      </c>
      <c r="M75" s="787">
        <v>2</v>
      </c>
      <c r="N75" s="789">
        <v>70</v>
      </c>
      <c r="O75" s="536" t="s">
        <v>8998</v>
      </c>
      <c r="P75" s="536">
        <v>500</v>
      </c>
      <c r="Q75" s="787">
        <v>500</v>
      </c>
      <c r="R75" s="237">
        <v>0</v>
      </c>
      <c r="S75" s="302">
        <v>0</v>
      </c>
      <c r="T75" s="399">
        <v>0</v>
      </c>
      <c r="U75" s="492">
        <v>0</v>
      </c>
      <c r="V75" s="790">
        <v>0</v>
      </c>
      <c r="W75" s="791">
        <v>0</v>
      </c>
      <c r="X75" s="392">
        <v>35</v>
      </c>
      <c r="Y75" s="760">
        <v>8</v>
      </c>
      <c r="Z75" s="489">
        <v>0</v>
      </c>
      <c r="AA75" s="490">
        <v>0</v>
      </c>
      <c r="AB75" s="310">
        <v>35</v>
      </c>
      <c r="AC75" s="789" t="s">
        <v>8898</v>
      </c>
      <c r="AD75" s="789" t="s">
        <v>8898</v>
      </c>
      <c r="AE75" s="689">
        <v>35</v>
      </c>
      <c r="AF75" s="250">
        <v>0</v>
      </c>
      <c r="AG75" s="313">
        <v>30</v>
      </c>
      <c r="AH75" s="531">
        <v>30</v>
      </c>
      <c r="AI75" s="532">
        <v>0</v>
      </c>
      <c r="AJ75" s="828"/>
      <c r="AK75" s="253" t="s">
        <v>3763</v>
      </c>
      <c r="AL75" s="254" t="str">
        <f t="shared" si="0"/>
        <v>TTC044</v>
      </c>
      <c r="AM75" s="255">
        <f t="shared" si="0"/>
        <v>500</v>
      </c>
      <c r="AN75" s="534" t="s">
        <v>8927</v>
      </c>
      <c r="AO75" s="535">
        <v>1</v>
      </c>
      <c r="AP75" s="536">
        <v>131</v>
      </c>
      <c r="AQ75" s="536">
        <v>56</v>
      </c>
      <c r="AR75" s="537">
        <f t="shared" si="2"/>
        <v>2.8793799999999998E-2</v>
      </c>
      <c r="AS75" s="538">
        <v>868.08371918349576</v>
      </c>
      <c r="AT75" s="536">
        <v>508</v>
      </c>
      <c r="AU75" s="539">
        <v>0.6251345775826741</v>
      </c>
      <c r="AV75" s="521">
        <v>500</v>
      </c>
      <c r="AW75" s="540">
        <v>1026</v>
      </c>
      <c r="AX75" s="536">
        <v>330</v>
      </c>
      <c r="AY75" s="290">
        <v>500</v>
      </c>
      <c r="AZ75" s="290">
        <v>180</v>
      </c>
      <c r="BA75" s="541">
        <v>2.9700000000000001E-2</v>
      </c>
      <c r="BB75" s="541">
        <v>1.885</v>
      </c>
      <c r="BC75" s="290">
        <v>60</v>
      </c>
      <c r="BD75" s="542">
        <v>1.7999999999999999E-2</v>
      </c>
      <c r="BE75" s="543">
        <v>1.7999999999999999E-2</v>
      </c>
      <c r="BF75" s="536">
        <v>3</v>
      </c>
      <c r="BG75" s="163" t="s">
        <v>8932</v>
      </c>
      <c r="BH75" s="163">
        <v>3</v>
      </c>
      <c r="BK75" s="163">
        <v>0</v>
      </c>
      <c r="BM75" s="163" t="s">
        <v>8905</v>
      </c>
    </row>
    <row r="76" spans="1:65" ht="35.25" hidden="1" customHeight="1">
      <c r="A76" s="163" t="s">
        <v>8999</v>
      </c>
      <c r="B76" s="163" t="s">
        <v>1583</v>
      </c>
      <c r="D76" s="1497"/>
      <c r="E76" s="1510" t="s">
        <v>8916</v>
      </c>
      <c r="F76" s="1454">
        <v>72</v>
      </c>
      <c r="G76" s="389"/>
      <c r="H76" s="294"/>
      <c r="I76" s="295"/>
      <c r="J76" s="806" t="s">
        <v>1583</v>
      </c>
      <c r="K76" s="798" t="s">
        <v>1582</v>
      </c>
      <c r="L76" s="799" t="s">
        <v>9000</v>
      </c>
      <c r="M76" s="798">
        <v>1</v>
      </c>
      <c r="N76" s="800">
        <v>70</v>
      </c>
      <c r="O76" s="620" t="s">
        <v>4602</v>
      </c>
      <c r="P76" s="620">
        <v>0</v>
      </c>
      <c r="Q76" s="798">
        <v>55</v>
      </c>
      <c r="R76" s="237">
        <v>0</v>
      </c>
      <c r="S76" s="302">
        <v>0</v>
      </c>
      <c r="T76" s="303">
        <v>0</v>
      </c>
      <c r="U76" s="1480">
        <v>0</v>
      </c>
      <c r="V76" s="1482">
        <v>0</v>
      </c>
      <c r="W76" s="306">
        <v>0</v>
      </c>
      <c r="X76" s="829">
        <v>0</v>
      </c>
      <c r="Y76" s="801">
        <v>4</v>
      </c>
      <c r="Z76" s="802">
        <v>0</v>
      </c>
      <c r="AA76" s="490">
        <v>0</v>
      </c>
      <c r="AB76" s="310">
        <v>0</v>
      </c>
      <c r="AC76" s="311" t="s">
        <v>8898</v>
      </c>
      <c r="AD76" s="311" t="s">
        <v>8898</v>
      </c>
      <c r="AE76" s="803">
        <v>0</v>
      </c>
      <c r="AF76" s="250">
        <v>0</v>
      </c>
      <c r="AG76" s="313">
        <v>0</v>
      </c>
      <c r="AH76" s="616">
        <v>0</v>
      </c>
      <c r="AI76" s="617">
        <v>0</v>
      </c>
      <c r="AJ76" s="830"/>
      <c r="AK76" s="253" t="s">
        <v>1583</v>
      </c>
      <c r="AL76" s="254" t="str">
        <f t="shared" si="0"/>
        <v>TTC048</v>
      </c>
      <c r="AM76" s="255">
        <f t="shared" si="0"/>
        <v>0</v>
      </c>
      <c r="AN76" s="618" t="s">
        <v>8899</v>
      </c>
      <c r="AO76" s="619">
        <v>2</v>
      </c>
      <c r="AP76" s="620">
        <v>350</v>
      </c>
      <c r="AQ76" s="620">
        <v>115</v>
      </c>
      <c r="AR76" s="621">
        <f t="shared" si="2"/>
        <v>0.63192499999999996</v>
      </c>
      <c r="AS76" s="622">
        <v>1045.2925769508608</v>
      </c>
      <c r="AT76" s="620">
        <v>508</v>
      </c>
      <c r="AU76" s="623">
        <v>0.58867745381176562</v>
      </c>
      <c r="AV76" s="624">
        <v>55</v>
      </c>
      <c r="AW76" s="625">
        <v>1026</v>
      </c>
      <c r="AX76" s="620">
        <v>330</v>
      </c>
      <c r="AY76" s="626">
        <v>500</v>
      </c>
      <c r="AZ76" s="626">
        <v>180</v>
      </c>
      <c r="BA76" s="627">
        <v>2.9700000000000001E-2</v>
      </c>
      <c r="BB76" s="627">
        <v>1.885</v>
      </c>
      <c r="BC76" s="325">
        <v>65</v>
      </c>
      <c r="BD76" s="628">
        <v>0.186</v>
      </c>
      <c r="BE76" s="629">
        <v>0.186</v>
      </c>
      <c r="BF76" s="620">
        <v>3</v>
      </c>
      <c r="BG76" s="163" t="s">
        <v>8932</v>
      </c>
      <c r="BH76" s="163">
        <v>3</v>
      </c>
      <c r="BK76" s="163">
        <v>0</v>
      </c>
      <c r="BM76" s="163" t="s">
        <v>8905</v>
      </c>
    </row>
    <row r="77" spans="1:65" ht="35.25" hidden="1" customHeight="1">
      <c r="A77" s="163" t="s">
        <v>9001</v>
      </c>
      <c r="B77" s="163" t="s">
        <v>1549</v>
      </c>
      <c r="D77" s="1497"/>
      <c r="E77" s="1505">
        <v>0</v>
      </c>
      <c r="F77" s="1454">
        <v>0</v>
      </c>
      <c r="G77" s="229"/>
      <c r="H77" s="231"/>
      <c r="I77" s="393"/>
      <c r="J77" s="818" t="s">
        <v>1549</v>
      </c>
      <c r="K77" s="490" t="s">
        <v>1548</v>
      </c>
      <c r="L77" s="758" t="s">
        <v>9002</v>
      </c>
      <c r="M77" s="490">
        <v>1</v>
      </c>
      <c r="N77" s="759">
        <v>70</v>
      </c>
      <c r="O77" s="642" t="s">
        <v>4602</v>
      </c>
      <c r="P77" s="620">
        <v>0</v>
      </c>
      <c r="Q77" s="490">
        <v>55</v>
      </c>
      <c r="R77" s="237">
        <v>0</v>
      </c>
      <c r="S77" s="302">
        <v>0</v>
      </c>
      <c r="T77" s="399">
        <v>0</v>
      </c>
      <c r="U77" s="1481">
        <v>0</v>
      </c>
      <c r="V77" s="1483" t="e">
        <v>#DIV/0!</v>
      </c>
      <c r="W77" s="402">
        <v>0</v>
      </c>
      <c r="X77" s="829">
        <v>0</v>
      </c>
      <c r="Y77" s="760">
        <v>4</v>
      </c>
      <c r="Z77" s="761">
        <v>0</v>
      </c>
      <c r="AA77" s="490">
        <v>0</v>
      </c>
      <c r="AB77" s="310">
        <v>0</v>
      </c>
      <c r="AC77" s="397" t="s">
        <v>8898</v>
      </c>
      <c r="AD77" s="397" t="s">
        <v>8898</v>
      </c>
      <c r="AE77" s="762">
        <v>0</v>
      </c>
      <c r="AF77" s="250">
        <v>0</v>
      </c>
      <c r="AG77" s="313">
        <v>0</v>
      </c>
      <c r="AH77" s="638">
        <v>0</v>
      </c>
      <c r="AI77" s="639">
        <v>0</v>
      </c>
      <c r="AJ77" s="830"/>
      <c r="AK77" s="253" t="s">
        <v>1549</v>
      </c>
      <c r="AL77" s="254" t="str">
        <f t="shared" si="0"/>
        <v>TTC048</v>
      </c>
      <c r="AM77" s="255">
        <f t="shared" si="0"/>
        <v>0</v>
      </c>
      <c r="AN77" s="640" t="s">
        <v>8899</v>
      </c>
      <c r="AO77" s="641">
        <v>2</v>
      </c>
      <c r="AP77" s="642">
        <v>350</v>
      </c>
      <c r="AQ77" s="642">
        <v>115</v>
      </c>
      <c r="AR77" s="643">
        <f t="shared" si="2"/>
        <v>0.63192499999999996</v>
      </c>
      <c r="AS77" s="644">
        <v>1045.2925769508608</v>
      </c>
      <c r="AT77" s="642">
        <v>508</v>
      </c>
      <c r="AU77" s="645">
        <v>0.58867745381176562</v>
      </c>
      <c r="AV77" s="646">
        <v>55</v>
      </c>
      <c r="AW77" s="647">
        <v>1026</v>
      </c>
      <c r="AX77" s="642">
        <v>330</v>
      </c>
      <c r="AY77" s="648">
        <v>500</v>
      </c>
      <c r="AZ77" s="648">
        <v>180</v>
      </c>
      <c r="BA77" s="649">
        <v>2.9700000000000001E-2</v>
      </c>
      <c r="BB77" s="649">
        <v>1.885</v>
      </c>
      <c r="BC77" s="264">
        <v>65</v>
      </c>
      <c r="BD77" s="650">
        <v>0.186</v>
      </c>
      <c r="BE77" s="651">
        <v>0.186</v>
      </c>
      <c r="BF77" s="642">
        <v>3</v>
      </c>
      <c r="BG77" s="163" t="s">
        <v>8932</v>
      </c>
      <c r="BH77" s="163">
        <v>3</v>
      </c>
      <c r="BK77" s="163">
        <v>0</v>
      </c>
      <c r="BM77" s="163" t="s">
        <v>8905</v>
      </c>
    </row>
    <row r="78" spans="1:65" ht="35.25" hidden="1" customHeight="1">
      <c r="A78" s="163" t="s">
        <v>9003</v>
      </c>
      <c r="B78" s="163" t="s">
        <v>1585</v>
      </c>
      <c r="C78" s="164" t="s">
        <v>8981</v>
      </c>
      <c r="D78" s="1497"/>
      <c r="E78" s="1510" t="s">
        <v>8916</v>
      </c>
      <c r="F78" s="1454">
        <v>76</v>
      </c>
      <c r="G78" s="389"/>
      <c r="H78" s="294"/>
      <c r="I78" s="295"/>
      <c r="J78" s="797" t="s">
        <v>1585</v>
      </c>
      <c r="K78" s="798" t="s">
        <v>1584</v>
      </c>
      <c r="L78" s="799" t="s">
        <v>9004</v>
      </c>
      <c r="M78" s="798">
        <v>1</v>
      </c>
      <c r="N78" s="800">
        <v>70</v>
      </c>
      <c r="O78" s="620" t="s">
        <v>4608</v>
      </c>
      <c r="P78" s="620">
        <v>0</v>
      </c>
      <c r="Q78" s="798">
        <v>55</v>
      </c>
      <c r="R78" s="237">
        <v>0</v>
      </c>
      <c r="S78" s="302">
        <v>0</v>
      </c>
      <c r="T78" s="303">
        <v>0</v>
      </c>
      <c r="U78" s="1480">
        <v>0</v>
      </c>
      <c r="V78" s="1482">
        <v>0</v>
      </c>
      <c r="W78" s="306">
        <v>0</v>
      </c>
      <c r="X78" s="392">
        <v>0</v>
      </c>
      <c r="Y78" s="801">
        <v>4</v>
      </c>
      <c r="Z78" s="802">
        <v>0</v>
      </c>
      <c r="AA78" s="490">
        <v>0</v>
      </c>
      <c r="AB78" s="310">
        <v>0</v>
      </c>
      <c r="AC78" s="311" t="s">
        <v>8898</v>
      </c>
      <c r="AD78" s="311" t="s">
        <v>8898</v>
      </c>
      <c r="AE78" s="803">
        <v>0</v>
      </c>
      <c r="AF78" s="250">
        <v>0</v>
      </c>
      <c r="AG78" s="313">
        <v>0</v>
      </c>
      <c r="AH78" s="616">
        <v>0</v>
      </c>
      <c r="AI78" s="617">
        <v>0</v>
      </c>
      <c r="AJ78" s="533"/>
      <c r="AK78" s="253" t="s">
        <v>1585</v>
      </c>
      <c r="AL78" s="254" t="str">
        <f t="shared" si="0"/>
        <v>TTC049</v>
      </c>
      <c r="AM78" s="255">
        <f t="shared" si="0"/>
        <v>0</v>
      </c>
      <c r="AN78" s="618" t="s">
        <v>8899</v>
      </c>
      <c r="AO78" s="619">
        <v>2.2999999999999998</v>
      </c>
      <c r="AP78" s="620">
        <v>291</v>
      </c>
      <c r="AQ78" s="620">
        <v>100</v>
      </c>
      <c r="AR78" s="621">
        <f t="shared" si="2"/>
        <v>0.52540050000000005</v>
      </c>
      <c r="AS78" s="622">
        <v>1019.2069958274632</v>
      </c>
      <c r="AT78" s="620">
        <v>508</v>
      </c>
      <c r="AU78" s="623">
        <v>0.6052525644722454</v>
      </c>
      <c r="AV78" s="624">
        <v>55</v>
      </c>
      <c r="AW78" s="625">
        <v>1026</v>
      </c>
      <c r="AX78" s="620">
        <v>330</v>
      </c>
      <c r="AY78" s="626">
        <v>500</v>
      </c>
      <c r="AZ78" s="626">
        <v>180</v>
      </c>
      <c r="BA78" s="627">
        <v>2.9700000000000001E-2</v>
      </c>
      <c r="BB78" s="627">
        <v>1.885</v>
      </c>
      <c r="BC78" s="325">
        <v>60</v>
      </c>
      <c r="BD78" s="628">
        <v>0.159</v>
      </c>
      <c r="BE78" s="629">
        <v>0.159</v>
      </c>
      <c r="BF78" s="620">
        <v>3</v>
      </c>
      <c r="BG78" s="163" t="s">
        <v>8932</v>
      </c>
      <c r="BH78" s="163">
        <v>3</v>
      </c>
      <c r="BK78" s="163">
        <v>0</v>
      </c>
      <c r="BM78" s="163" t="s">
        <v>8905</v>
      </c>
    </row>
    <row r="79" spans="1:65" ht="35.25" hidden="1" customHeight="1">
      <c r="A79" s="163" t="s">
        <v>9005</v>
      </c>
      <c r="B79" s="163" t="s">
        <v>1551</v>
      </c>
      <c r="C79" s="164" t="s">
        <v>8981</v>
      </c>
      <c r="D79" s="1497"/>
      <c r="E79" s="1505">
        <v>0</v>
      </c>
      <c r="F79" s="1454">
        <v>0</v>
      </c>
      <c r="G79" s="229"/>
      <c r="H79" s="231"/>
      <c r="I79" s="393"/>
      <c r="J79" s="757" t="s">
        <v>1551</v>
      </c>
      <c r="K79" s="490" t="s">
        <v>1550</v>
      </c>
      <c r="L79" s="758" t="s">
        <v>9006</v>
      </c>
      <c r="M79" s="490">
        <v>1</v>
      </c>
      <c r="N79" s="759">
        <v>70</v>
      </c>
      <c r="O79" s="642" t="s">
        <v>4608</v>
      </c>
      <c r="P79" s="642">
        <v>0</v>
      </c>
      <c r="Q79" s="490">
        <v>55</v>
      </c>
      <c r="R79" s="237">
        <v>0</v>
      </c>
      <c r="S79" s="302">
        <v>0</v>
      </c>
      <c r="T79" s="399">
        <v>0</v>
      </c>
      <c r="U79" s="1481">
        <v>0</v>
      </c>
      <c r="V79" s="1483" t="e">
        <v>#DIV/0!</v>
      </c>
      <c r="W79" s="402">
        <v>0</v>
      </c>
      <c r="X79" s="392">
        <v>0</v>
      </c>
      <c r="Y79" s="760">
        <v>4</v>
      </c>
      <c r="Z79" s="761">
        <v>0</v>
      </c>
      <c r="AA79" s="490">
        <v>0</v>
      </c>
      <c r="AB79" s="310">
        <v>0</v>
      </c>
      <c r="AC79" s="397" t="s">
        <v>8898</v>
      </c>
      <c r="AD79" s="397" t="s">
        <v>8898</v>
      </c>
      <c r="AE79" s="762">
        <v>0</v>
      </c>
      <c r="AF79" s="250">
        <v>0</v>
      </c>
      <c r="AG79" s="313">
        <v>0</v>
      </c>
      <c r="AH79" s="638">
        <v>0</v>
      </c>
      <c r="AI79" s="639">
        <v>0</v>
      </c>
      <c r="AJ79" s="533"/>
      <c r="AK79" s="253" t="s">
        <v>1551</v>
      </c>
      <c r="AL79" s="254" t="str">
        <f t="shared" ref="AL79:AM142" si="3">O79</f>
        <v>TTC049</v>
      </c>
      <c r="AM79" s="255">
        <f t="shared" si="3"/>
        <v>0</v>
      </c>
      <c r="AN79" s="640" t="s">
        <v>8899</v>
      </c>
      <c r="AO79" s="641">
        <v>2.2999999999999998</v>
      </c>
      <c r="AP79" s="642">
        <v>291</v>
      </c>
      <c r="AQ79" s="642">
        <v>100</v>
      </c>
      <c r="AR79" s="643">
        <f t="shared" si="2"/>
        <v>0.52540050000000005</v>
      </c>
      <c r="AS79" s="644">
        <v>1019.2069958274632</v>
      </c>
      <c r="AT79" s="642">
        <v>508</v>
      </c>
      <c r="AU79" s="645">
        <v>0.6052525644722454</v>
      </c>
      <c r="AV79" s="646">
        <v>55</v>
      </c>
      <c r="AW79" s="647">
        <v>1026</v>
      </c>
      <c r="AX79" s="642">
        <v>330</v>
      </c>
      <c r="AY79" s="648">
        <v>500</v>
      </c>
      <c r="AZ79" s="648">
        <v>180</v>
      </c>
      <c r="BA79" s="649">
        <v>2.9700000000000001E-2</v>
      </c>
      <c r="BB79" s="649">
        <v>1.885</v>
      </c>
      <c r="BC79" s="264">
        <v>60</v>
      </c>
      <c r="BD79" s="650">
        <v>0.159</v>
      </c>
      <c r="BE79" s="651">
        <v>0.159</v>
      </c>
      <c r="BF79" s="642">
        <v>3</v>
      </c>
      <c r="BG79" s="163" t="s">
        <v>8932</v>
      </c>
      <c r="BH79" s="163">
        <v>3</v>
      </c>
      <c r="BK79" s="163">
        <v>0</v>
      </c>
      <c r="BM79" s="163" t="s">
        <v>8905</v>
      </c>
    </row>
    <row r="80" spans="1:65" ht="35.25" hidden="1" customHeight="1">
      <c r="A80" s="163" t="s">
        <v>9007</v>
      </c>
      <c r="B80" s="163" t="s">
        <v>1689</v>
      </c>
      <c r="D80" s="1497"/>
      <c r="E80" s="1510" t="s">
        <v>8916</v>
      </c>
      <c r="F80" s="1454">
        <v>73</v>
      </c>
      <c r="G80" s="389"/>
      <c r="H80" s="294"/>
      <c r="I80" s="295"/>
      <c r="J80" s="806" t="s">
        <v>1689</v>
      </c>
      <c r="K80" s="798" t="s">
        <v>1688</v>
      </c>
      <c r="L80" s="799" t="s">
        <v>9008</v>
      </c>
      <c r="M80" s="798">
        <v>1</v>
      </c>
      <c r="N80" s="800">
        <v>70</v>
      </c>
      <c r="O80" s="620" t="s">
        <v>4604</v>
      </c>
      <c r="P80" s="620">
        <v>0</v>
      </c>
      <c r="Q80" s="798">
        <v>55</v>
      </c>
      <c r="R80" s="237">
        <v>0</v>
      </c>
      <c r="S80" s="302">
        <v>0</v>
      </c>
      <c r="T80" s="303">
        <v>0</v>
      </c>
      <c r="U80" s="1480">
        <v>0</v>
      </c>
      <c r="V80" s="1482">
        <v>0</v>
      </c>
      <c r="W80" s="306">
        <v>0</v>
      </c>
      <c r="X80" s="829">
        <v>0</v>
      </c>
      <c r="Y80" s="801">
        <v>4</v>
      </c>
      <c r="Z80" s="802">
        <v>0</v>
      </c>
      <c r="AA80" s="490">
        <v>0</v>
      </c>
      <c r="AB80" s="310">
        <v>0</v>
      </c>
      <c r="AC80" s="311" t="s">
        <v>8898</v>
      </c>
      <c r="AD80" s="311" t="s">
        <v>8898</v>
      </c>
      <c r="AE80" s="803">
        <v>0</v>
      </c>
      <c r="AF80" s="250">
        <v>0</v>
      </c>
      <c r="AG80" s="313">
        <v>0</v>
      </c>
      <c r="AH80" s="616">
        <v>0</v>
      </c>
      <c r="AI80" s="617">
        <v>0</v>
      </c>
      <c r="AJ80" s="830"/>
      <c r="AK80" s="253" t="s">
        <v>1689</v>
      </c>
      <c r="AL80" s="254" t="str">
        <f t="shared" si="3"/>
        <v>TTC050</v>
      </c>
      <c r="AM80" s="255">
        <f t="shared" si="3"/>
        <v>0</v>
      </c>
      <c r="AN80" s="618" t="s">
        <v>8899</v>
      </c>
      <c r="AO80" s="619">
        <v>2</v>
      </c>
      <c r="AP80" s="620">
        <v>364</v>
      </c>
      <c r="AQ80" s="620">
        <v>110</v>
      </c>
      <c r="AR80" s="621">
        <f t="shared" si="2"/>
        <v>0.62862799999999996</v>
      </c>
      <c r="AS80" s="622">
        <v>1051.2466382849909</v>
      </c>
      <c r="AT80" s="620">
        <v>508</v>
      </c>
      <c r="AU80" s="623">
        <v>0.57267573191140075</v>
      </c>
      <c r="AV80" s="624">
        <v>55</v>
      </c>
      <c r="AW80" s="625">
        <v>1026</v>
      </c>
      <c r="AX80" s="620">
        <v>330</v>
      </c>
      <c r="AY80" s="626">
        <v>500</v>
      </c>
      <c r="AZ80" s="626">
        <v>180</v>
      </c>
      <c r="BA80" s="627">
        <v>2.9700000000000001E-2</v>
      </c>
      <c r="BB80" s="627">
        <v>1.885</v>
      </c>
      <c r="BC80" s="325">
        <v>60</v>
      </c>
      <c r="BD80" s="628">
        <v>0.18</v>
      </c>
      <c r="BE80" s="629">
        <v>0.18</v>
      </c>
      <c r="BF80" s="620">
        <v>3</v>
      </c>
      <c r="BG80" s="163" t="s">
        <v>8932</v>
      </c>
      <c r="BH80" s="163">
        <v>3</v>
      </c>
      <c r="BK80" s="163">
        <v>0</v>
      </c>
      <c r="BM80" s="163" t="s">
        <v>8905</v>
      </c>
    </row>
    <row r="81" spans="1:65" ht="35.25" hidden="1" customHeight="1">
      <c r="A81" s="163" t="s">
        <v>9009</v>
      </c>
      <c r="B81" s="163" t="s">
        <v>1655</v>
      </c>
      <c r="D81" s="1497"/>
      <c r="E81" s="1505">
        <v>0</v>
      </c>
      <c r="F81" s="1454">
        <v>0</v>
      </c>
      <c r="G81" s="229"/>
      <c r="H81" s="231"/>
      <c r="I81" s="393"/>
      <c r="J81" s="818" t="s">
        <v>1655</v>
      </c>
      <c r="K81" s="490" t="s">
        <v>1654</v>
      </c>
      <c r="L81" s="758" t="s">
        <v>9010</v>
      </c>
      <c r="M81" s="490">
        <v>1</v>
      </c>
      <c r="N81" s="759">
        <v>70</v>
      </c>
      <c r="O81" s="642" t="s">
        <v>4604</v>
      </c>
      <c r="P81" s="620">
        <v>0</v>
      </c>
      <c r="Q81" s="490">
        <v>55</v>
      </c>
      <c r="R81" s="237">
        <v>0</v>
      </c>
      <c r="S81" s="302">
        <v>0</v>
      </c>
      <c r="T81" s="399">
        <v>0</v>
      </c>
      <c r="U81" s="1481">
        <v>0</v>
      </c>
      <c r="V81" s="1483" t="e">
        <v>#DIV/0!</v>
      </c>
      <c r="W81" s="402">
        <v>0</v>
      </c>
      <c r="X81" s="829">
        <v>0</v>
      </c>
      <c r="Y81" s="760">
        <v>4</v>
      </c>
      <c r="Z81" s="761">
        <v>0</v>
      </c>
      <c r="AA81" s="490">
        <v>0</v>
      </c>
      <c r="AB81" s="310">
        <v>0</v>
      </c>
      <c r="AC81" s="397" t="s">
        <v>8898</v>
      </c>
      <c r="AD81" s="397" t="s">
        <v>8898</v>
      </c>
      <c r="AE81" s="762">
        <v>0</v>
      </c>
      <c r="AF81" s="250">
        <v>0</v>
      </c>
      <c r="AG81" s="313">
        <v>0</v>
      </c>
      <c r="AH81" s="638">
        <v>0</v>
      </c>
      <c r="AI81" s="639">
        <v>0</v>
      </c>
      <c r="AJ81" s="830"/>
      <c r="AK81" s="253" t="s">
        <v>1655</v>
      </c>
      <c r="AL81" s="254" t="str">
        <f t="shared" si="3"/>
        <v>TTC050</v>
      </c>
      <c r="AM81" s="255">
        <f t="shared" si="3"/>
        <v>0</v>
      </c>
      <c r="AN81" s="640" t="s">
        <v>8899</v>
      </c>
      <c r="AO81" s="641">
        <v>2</v>
      </c>
      <c r="AP81" s="642">
        <v>364</v>
      </c>
      <c r="AQ81" s="642">
        <v>110</v>
      </c>
      <c r="AR81" s="643">
        <f t="shared" ref="AR81:AR144" si="4">((AO81*AP81*AQ81)*7.85/1000000)/M81</f>
        <v>0.62862799999999996</v>
      </c>
      <c r="AS81" s="644">
        <v>1051.2466382849909</v>
      </c>
      <c r="AT81" s="642">
        <v>508</v>
      </c>
      <c r="AU81" s="645">
        <v>0.57267573191140075</v>
      </c>
      <c r="AV81" s="646">
        <v>55</v>
      </c>
      <c r="AW81" s="647">
        <v>1026</v>
      </c>
      <c r="AX81" s="642">
        <v>330</v>
      </c>
      <c r="AY81" s="648">
        <v>500</v>
      </c>
      <c r="AZ81" s="648">
        <v>180</v>
      </c>
      <c r="BA81" s="649">
        <v>2.9700000000000001E-2</v>
      </c>
      <c r="BB81" s="649">
        <v>1.885</v>
      </c>
      <c r="BC81" s="264">
        <v>60</v>
      </c>
      <c r="BD81" s="650">
        <v>0.18</v>
      </c>
      <c r="BE81" s="651">
        <v>0.18</v>
      </c>
      <c r="BF81" s="642">
        <v>3</v>
      </c>
      <c r="BG81" s="163" t="s">
        <v>8932</v>
      </c>
      <c r="BH81" s="163">
        <v>3</v>
      </c>
      <c r="BK81" s="163">
        <v>0</v>
      </c>
      <c r="BM81" s="163" t="s">
        <v>8905</v>
      </c>
    </row>
    <row r="82" spans="1:65" ht="35.25" hidden="1" customHeight="1">
      <c r="A82" s="163" t="s">
        <v>9011</v>
      </c>
      <c r="B82" s="163" t="s">
        <v>1691</v>
      </c>
      <c r="C82" s="164" t="s">
        <v>8981</v>
      </c>
      <c r="D82" s="1497"/>
      <c r="E82" s="1510" t="s">
        <v>8916</v>
      </c>
      <c r="F82" s="1454">
        <v>77</v>
      </c>
      <c r="G82" s="389"/>
      <c r="H82" s="294"/>
      <c r="I82" s="295"/>
      <c r="J82" s="797" t="s">
        <v>1691</v>
      </c>
      <c r="K82" s="798" t="s">
        <v>1690</v>
      </c>
      <c r="L82" s="799" t="s">
        <v>9012</v>
      </c>
      <c r="M82" s="798">
        <v>1</v>
      </c>
      <c r="N82" s="800">
        <v>70</v>
      </c>
      <c r="O82" s="620" t="s">
        <v>4610</v>
      </c>
      <c r="P82" s="620">
        <v>0</v>
      </c>
      <c r="Q82" s="798">
        <v>55</v>
      </c>
      <c r="R82" s="237">
        <v>0</v>
      </c>
      <c r="S82" s="302">
        <v>0</v>
      </c>
      <c r="T82" s="303">
        <v>0</v>
      </c>
      <c r="U82" s="1480">
        <v>0</v>
      </c>
      <c r="V82" s="1482">
        <v>0</v>
      </c>
      <c r="W82" s="306">
        <v>0</v>
      </c>
      <c r="X82" s="392">
        <v>0</v>
      </c>
      <c r="Y82" s="801">
        <v>4</v>
      </c>
      <c r="Z82" s="802">
        <v>0</v>
      </c>
      <c r="AA82" s="490">
        <v>0</v>
      </c>
      <c r="AB82" s="310">
        <v>0</v>
      </c>
      <c r="AC82" s="311" t="s">
        <v>8898</v>
      </c>
      <c r="AD82" s="311" t="s">
        <v>8898</v>
      </c>
      <c r="AE82" s="803">
        <v>0</v>
      </c>
      <c r="AF82" s="250">
        <v>0</v>
      </c>
      <c r="AG82" s="313">
        <v>0</v>
      </c>
      <c r="AH82" s="616">
        <v>0</v>
      </c>
      <c r="AI82" s="617">
        <v>0</v>
      </c>
      <c r="AJ82" s="533"/>
      <c r="AK82" s="253" t="s">
        <v>1691</v>
      </c>
      <c r="AL82" s="254" t="str">
        <f t="shared" si="3"/>
        <v>TTC051</v>
      </c>
      <c r="AM82" s="255">
        <f t="shared" si="3"/>
        <v>0</v>
      </c>
      <c r="AN82" s="618" t="s">
        <v>8899</v>
      </c>
      <c r="AO82" s="619">
        <v>2.2999999999999998</v>
      </c>
      <c r="AP82" s="620">
        <v>306</v>
      </c>
      <c r="AQ82" s="620">
        <v>100</v>
      </c>
      <c r="AR82" s="621">
        <f t="shared" si="4"/>
        <v>0.55248299999999995</v>
      </c>
      <c r="AS82" s="622">
        <v>1076.8511709816007</v>
      </c>
      <c r="AT82" s="620">
        <v>508</v>
      </c>
      <c r="AU82" s="623">
        <v>0.49594286159031148</v>
      </c>
      <c r="AV82" s="624">
        <v>55</v>
      </c>
      <c r="AW82" s="625">
        <v>1026</v>
      </c>
      <c r="AX82" s="620">
        <v>330</v>
      </c>
      <c r="AY82" s="626">
        <v>500</v>
      </c>
      <c r="AZ82" s="626">
        <v>180</v>
      </c>
      <c r="BA82" s="627">
        <v>2.9700000000000001E-2</v>
      </c>
      <c r="BB82" s="627">
        <v>1.885</v>
      </c>
      <c r="BC82" s="325">
        <v>60</v>
      </c>
      <c r="BD82" s="628">
        <v>0.13700000000000001</v>
      </c>
      <c r="BE82" s="629">
        <v>0.13700000000000001</v>
      </c>
      <c r="BF82" s="620">
        <v>3</v>
      </c>
      <c r="BG82" s="163" t="s">
        <v>8932</v>
      </c>
      <c r="BH82" s="163">
        <v>3</v>
      </c>
      <c r="BK82" s="163">
        <v>0</v>
      </c>
      <c r="BM82" s="163" t="s">
        <v>8905</v>
      </c>
    </row>
    <row r="83" spans="1:65" ht="35.25" hidden="1" customHeight="1">
      <c r="A83" s="163" t="s">
        <v>9013</v>
      </c>
      <c r="B83" s="163" t="s">
        <v>1657</v>
      </c>
      <c r="C83" s="164" t="s">
        <v>8981</v>
      </c>
      <c r="D83" s="1497"/>
      <c r="E83" s="1505">
        <v>0</v>
      </c>
      <c r="F83" s="1454">
        <v>0</v>
      </c>
      <c r="G83" s="229"/>
      <c r="H83" s="231"/>
      <c r="I83" s="393"/>
      <c r="J83" s="757" t="s">
        <v>1657</v>
      </c>
      <c r="K83" s="490" t="s">
        <v>1656</v>
      </c>
      <c r="L83" s="758" t="s">
        <v>9014</v>
      </c>
      <c r="M83" s="490">
        <v>1</v>
      </c>
      <c r="N83" s="759">
        <v>70</v>
      </c>
      <c r="O83" s="642" t="s">
        <v>4610</v>
      </c>
      <c r="P83" s="620">
        <v>0</v>
      </c>
      <c r="Q83" s="490">
        <v>55</v>
      </c>
      <c r="R83" s="237">
        <v>0</v>
      </c>
      <c r="S83" s="302">
        <v>0</v>
      </c>
      <c r="T83" s="399">
        <v>0</v>
      </c>
      <c r="U83" s="1481">
        <v>0</v>
      </c>
      <c r="V83" s="1483" t="e">
        <v>#DIV/0!</v>
      </c>
      <c r="W83" s="402">
        <v>0</v>
      </c>
      <c r="X83" s="392">
        <v>0</v>
      </c>
      <c r="Y83" s="760">
        <v>4</v>
      </c>
      <c r="Z83" s="761">
        <v>0</v>
      </c>
      <c r="AA83" s="490">
        <v>0</v>
      </c>
      <c r="AB83" s="310">
        <v>0</v>
      </c>
      <c r="AC83" s="397" t="s">
        <v>8898</v>
      </c>
      <c r="AD83" s="397" t="s">
        <v>8898</v>
      </c>
      <c r="AE83" s="762">
        <v>0</v>
      </c>
      <c r="AF83" s="250">
        <v>0</v>
      </c>
      <c r="AG83" s="313">
        <v>0</v>
      </c>
      <c r="AH83" s="638">
        <v>0</v>
      </c>
      <c r="AI83" s="639">
        <v>0</v>
      </c>
      <c r="AJ83" s="533"/>
      <c r="AK83" s="253" t="s">
        <v>1657</v>
      </c>
      <c r="AL83" s="254" t="str">
        <f t="shared" si="3"/>
        <v>TTC051</v>
      </c>
      <c r="AM83" s="255">
        <f t="shared" si="3"/>
        <v>0</v>
      </c>
      <c r="AN83" s="640" t="s">
        <v>8899</v>
      </c>
      <c r="AO83" s="641">
        <v>2.2999999999999998</v>
      </c>
      <c r="AP83" s="642">
        <v>306</v>
      </c>
      <c r="AQ83" s="642">
        <v>100</v>
      </c>
      <c r="AR83" s="643">
        <f t="shared" si="4"/>
        <v>0.55248299999999995</v>
      </c>
      <c r="AS83" s="644">
        <v>1076.8511709816007</v>
      </c>
      <c r="AT83" s="642">
        <v>508</v>
      </c>
      <c r="AU83" s="645">
        <v>0.49594286159031148</v>
      </c>
      <c r="AV83" s="646">
        <v>55</v>
      </c>
      <c r="AW83" s="647">
        <v>1026</v>
      </c>
      <c r="AX83" s="642">
        <v>330</v>
      </c>
      <c r="AY83" s="648">
        <v>500</v>
      </c>
      <c r="AZ83" s="648">
        <v>180</v>
      </c>
      <c r="BA83" s="649">
        <v>2.9700000000000001E-2</v>
      </c>
      <c r="BB83" s="649">
        <v>1.885</v>
      </c>
      <c r="BC83" s="264">
        <v>60</v>
      </c>
      <c r="BD83" s="650">
        <v>0.13700000000000001</v>
      </c>
      <c r="BE83" s="651">
        <v>0.13700000000000001</v>
      </c>
      <c r="BF83" s="642">
        <v>3</v>
      </c>
      <c r="BG83" s="163" t="s">
        <v>8932</v>
      </c>
      <c r="BH83" s="163">
        <v>3</v>
      </c>
      <c r="BK83" s="163">
        <v>0</v>
      </c>
      <c r="BM83" s="163" t="s">
        <v>8905</v>
      </c>
    </row>
    <row r="84" spans="1:65" ht="35.25" hidden="1" customHeight="1">
      <c r="A84" s="163" t="s">
        <v>9015</v>
      </c>
      <c r="B84" s="163" t="s">
        <v>1750</v>
      </c>
      <c r="C84" s="164" t="s">
        <v>8981</v>
      </c>
      <c r="D84" s="1497"/>
      <c r="E84" s="1510" t="s">
        <v>8916</v>
      </c>
      <c r="F84" s="1454">
        <v>74</v>
      </c>
      <c r="G84" s="408"/>
      <c r="H84" s="294"/>
      <c r="I84" s="294"/>
      <c r="J84" s="797" t="s">
        <v>1750</v>
      </c>
      <c r="K84" s="798" t="s">
        <v>1749</v>
      </c>
      <c r="L84" s="799" t="s">
        <v>8309</v>
      </c>
      <c r="M84" s="798">
        <v>1</v>
      </c>
      <c r="N84" s="800">
        <v>70</v>
      </c>
      <c r="O84" s="620" t="s">
        <v>4616</v>
      </c>
      <c r="P84" s="620">
        <v>0</v>
      </c>
      <c r="Q84" s="798">
        <v>55</v>
      </c>
      <c r="R84" s="237">
        <v>0</v>
      </c>
      <c r="S84" s="302">
        <v>0</v>
      </c>
      <c r="T84" s="303">
        <v>0</v>
      </c>
      <c r="U84" s="1480">
        <v>0</v>
      </c>
      <c r="V84" s="1482">
        <v>0</v>
      </c>
      <c r="W84" s="306">
        <v>0</v>
      </c>
      <c r="X84" s="392">
        <v>0</v>
      </c>
      <c r="Y84" s="801">
        <v>4</v>
      </c>
      <c r="Z84" s="802">
        <v>0</v>
      </c>
      <c r="AA84" s="490">
        <v>0</v>
      </c>
      <c r="AB84" s="310">
        <v>0</v>
      </c>
      <c r="AC84" s="311" t="s">
        <v>8898</v>
      </c>
      <c r="AD84" s="311" t="s">
        <v>8898</v>
      </c>
      <c r="AE84" s="803">
        <v>0</v>
      </c>
      <c r="AF84" s="250">
        <v>0</v>
      </c>
      <c r="AG84" s="313">
        <v>0</v>
      </c>
      <c r="AH84" s="616">
        <v>0</v>
      </c>
      <c r="AI84" s="617">
        <v>0</v>
      </c>
      <c r="AJ84" s="533"/>
      <c r="AK84" s="253" t="s">
        <v>1750</v>
      </c>
      <c r="AL84" s="254" t="str">
        <f t="shared" si="3"/>
        <v>TTC054</v>
      </c>
      <c r="AM84" s="255">
        <f t="shared" si="3"/>
        <v>0</v>
      </c>
      <c r="AN84" s="618" t="s">
        <v>8899</v>
      </c>
      <c r="AO84" s="619">
        <v>2.6</v>
      </c>
      <c r="AP84" s="620">
        <v>305</v>
      </c>
      <c r="AQ84" s="620">
        <v>90</v>
      </c>
      <c r="AR84" s="621">
        <f t="shared" si="4"/>
        <v>0.56025449999999999</v>
      </c>
      <c r="AS84" s="622">
        <v>1149.861745074983</v>
      </c>
      <c r="AT84" s="620">
        <v>508</v>
      </c>
      <c r="AU84" s="623">
        <v>0.54618035196504444</v>
      </c>
      <c r="AV84" s="624">
        <v>55</v>
      </c>
      <c r="AW84" s="625">
        <v>1026</v>
      </c>
      <c r="AX84" s="620">
        <v>330</v>
      </c>
      <c r="AY84" s="626">
        <v>500</v>
      </c>
      <c r="AZ84" s="626">
        <v>180</v>
      </c>
      <c r="BA84" s="627">
        <v>2.9700000000000001E-2</v>
      </c>
      <c r="BB84" s="627">
        <v>1.885</v>
      </c>
      <c r="BC84" s="325">
        <v>60</v>
      </c>
      <c r="BD84" s="628">
        <v>0.153</v>
      </c>
      <c r="BE84" s="629">
        <v>0.153</v>
      </c>
      <c r="BF84" s="620">
        <v>3</v>
      </c>
      <c r="BG84" s="163" t="s">
        <v>8904</v>
      </c>
      <c r="BH84" s="163">
        <v>1</v>
      </c>
      <c r="BK84" s="163">
        <v>0</v>
      </c>
      <c r="BM84" s="163" t="s">
        <v>8905</v>
      </c>
    </row>
    <row r="85" spans="1:65" ht="35.25" hidden="1" customHeight="1">
      <c r="A85" s="163" t="s">
        <v>9016</v>
      </c>
      <c r="B85" s="163" t="s">
        <v>1715</v>
      </c>
      <c r="C85" s="164" t="s">
        <v>8981</v>
      </c>
      <c r="D85" s="1497"/>
      <c r="E85" s="1505">
        <v>0</v>
      </c>
      <c r="F85" s="1454">
        <v>0</v>
      </c>
      <c r="G85" s="422"/>
      <c r="H85" s="231"/>
      <c r="I85" s="231"/>
      <c r="J85" s="757" t="s">
        <v>1715</v>
      </c>
      <c r="K85" s="490" t="s">
        <v>1714</v>
      </c>
      <c r="L85" s="758" t="s">
        <v>8307</v>
      </c>
      <c r="M85" s="490">
        <v>1</v>
      </c>
      <c r="N85" s="759">
        <v>70</v>
      </c>
      <c r="O85" s="642" t="s">
        <v>4616</v>
      </c>
      <c r="P85" s="620">
        <v>0</v>
      </c>
      <c r="Q85" s="490">
        <v>55</v>
      </c>
      <c r="R85" s="237">
        <v>0</v>
      </c>
      <c r="S85" s="302">
        <v>0</v>
      </c>
      <c r="T85" s="399">
        <v>0</v>
      </c>
      <c r="U85" s="1481">
        <v>0</v>
      </c>
      <c r="V85" s="1483" t="e">
        <v>#DIV/0!</v>
      </c>
      <c r="W85" s="402">
        <v>0</v>
      </c>
      <c r="X85" s="392">
        <v>0</v>
      </c>
      <c r="Y85" s="760">
        <v>4</v>
      </c>
      <c r="Z85" s="761">
        <v>0</v>
      </c>
      <c r="AA85" s="490">
        <v>0</v>
      </c>
      <c r="AB85" s="310">
        <v>0</v>
      </c>
      <c r="AC85" s="397" t="s">
        <v>8898</v>
      </c>
      <c r="AD85" s="397" t="s">
        <v>8898</v>
      </c>
      <c r="AE85" s="762">
        <v>0</v>
      </c>
      <c r="AF85" s="250">
        <v>0</v>
      </c>
      <c r="AG85" s="313">
        <v>0</v>
      </c>
      <c r="AH85" s="638">
        <v>0</v>
      </c>
      <c r="AI85" s="639">
        <v>0</v>
      </c>
      <c r="AJ85" s="533"/>
      <c r="AK85" s="253" t="s">
        <v>1715</v>
      </c>
      <c r="AL85" s="254" t="str">
        <f t="shared" si="3"/>
        <v>TTC054</v>
      </c>
      <c r="AM85" s="255">
        <f t="shared" si="3"/>
        <v>0</v>
      </c>
      <c r="AN85" s="640" t="s">
        <v>8899</v>
      </c>
      <c r="AO85" s="641">
        <v>2.6</v>
      </c>
      <c r="AP85" s="642">
        <v>305</v>
      </c>
      <c r="AQ85" s="642">
        <v>90</v>
      </c>
      <c r="AR85" s="643">
        <f t="shared" si="4"/>
        <v>0.56025449999999999</v>
      </c>
      <c r="AS85" s="644">
        <v>1149.861745074983</v>
      </c>
      <c r="AT85" s="642">
        <v>508</v>
      </c>
      <c r="AU85" s="645">
        <v>0.54618035196504444</v>
      </c>
      <c r="AV85" s="646">
        <v>55</v>
      </c>
      <c r="AW85" s="647">
        <v>1026</v>
      </c>
      <c r="AX85" s="642">
        <v>330</v>
      </c>
      <c r="AY85" s="648">
        <v>500</v>
      </c>
      <c r="AZ85" s="648">
        <v>180</v>
      </c>
      <c r="BA85" s="649">
        <v>2.9700000000000001E-2</v>
      </c>
      <c r="BB85" s="649">
        <v>1.885</v>
      </c>
      <c r="BC85" s="264">
        <v>60</v>
      </c>
      <c r="BD85" s="650">
        <v>0.153</v>
      </c>
      <c r="BE85" s="651">
        <v>0.153</v>
      </c>
      <c r="BF85" s="642">
        <v>3</v>
      </c>
      <c r="BG85" s="163" t="s">
        <v>8904</v>
      </c>
      <c r="BH85" s="163">
        <v>1</v>
      </c>
      <c r="BK85" s="163">
        <v>0</v>
      </c>
      <c r="BM85" s="163" t="s">
        <v>8905</v>
      </c>
    </row>
    <row r="86" spans="1:65" ht="35.25" hidden="1" customHeight="1">
      <c r="A86" s="163" t="s">
        <v>9017</v>
      </c>
      <c r="B86" s="163" t="s">
        <v>1601</v>
      </c>
      <c r="C86" s="164" t="s">
        <v>8981</v>
      </c>
      <c r="D86" s="1497"/>
      <c r="E86" s="831"/>
      <c r="F86" s="268">
        <v>75</v>
      </c>
      <c r="G86" s="269"/>
      <c r="H86" s="271"/>
      <c r="I86" s="440"/>
      <c r="J86" s="786" t="s">
        <v>1601</v>
      </c>
      <c r="K86" s="787" t="s">
        <v>1600</v>
      </c>
      <c r="L86" s="788" t="s">
        <v>8298</v>
      </c>
      <c r="M86" s="787">
        <v>2</v>
      </c>
      <c r="N86" s="789">
        <v>70</v>
      </c>
      <c r="O86" s="536" t="s">
        <v>4620</v>
      </c>
      <c r="P86" s="620">
        <v>0</v>
      </c>
      <c r="Q86" s="787">
        <v>55</v>
      </c>
      <c r="R86" s="237">
        <v>0</v>
      </c>
      <c r="S86" s="302">
        <v>0</v>
      </c>
      <c r="T86" s="399">
        <v>0</v>
      </c>
      <c r="U86" s="492">
        <v>0</v>
      </c>
      <c r="V86" s="790">
        <v>0</v>
      </c>
      <c r="W86" s="791">
        <v>0</v>
      </c>
      <c r="X86" s="392">
        <v>0</v>
      </c>
      <c r="Y86" s="488">
        <v>4</v>
      </c>
      <c r="Z86" s="489">
        <v>0</v>
      </c>
      <c r="AA86" s="490">
        <v>0</v>
      </c>
      <c r="AB86" s="310">
        <v>0</v>
      </c>
      <c r="AC86" s="789" t="s">
        <v>8898</v>
      </c>
      <c r="AD86" s="789" t="s">
        <v>8898</v>
      </c>
      <c r="AE86" s="689">
        <v>0</v>
      </c>
      <c r="AF86" s="250">
        <v>0</v>
      </c>
      <c r="AG86" s="313">
        <v>0</v>
      </c>
      <c r="AH86" s="531">
        <v>0</v>
      </c>
      <c r="AI86" s="532">
        <v>0</v>
      </c>
      <c r="AJ86" s="533"/>
      <c r="AK86" s="253" t="s">
        <v>1601</v>
      </c>
      <c r="AL86" s="254" t="str">
        <f t="shared" si="3"/>
        <v>TTC052</v>
      </c>
      <c r="AM86" s="255">
        <f t="shared" si="3"/>
        <v>0</v>
      </c>
      <c r="AN86" s="534" t="s">
        <v>8899</v>
      </c>
      <c r="AO86" s="535">
        <v>2.6</v>
      </c>
      <c r="AP86" s="536">
        <v>318</v>
      </c>
      <c r="AQ86" s="536">
        <v>89</v>
      </c>
      <c r="AR86" s="537">
        <f t="shared" si="4"/>
        <v>0.28882191000000002</v>
      </c>
      <c r="AS86" s="538">
        <v>1175.049780826916</v>
      </c>
      <c r="AT86" s="536">
        <v>508</v>
      </c>
      <c r="AU86" s="539">
        <v>0.66476951142660889</v>
      </c>
      <c r="AV86" s="521">
        <v>55</v>
      </c>
      <c r="AW86" s="540">
        <v>1026</v>
      </c>
      <c r="AX86" s="536">
        <v>330</v>
      </c>
      <c r="AY86" s="290">
        <v>500</v>
      </c>
      <c r="AZ86" s="290">
        <v>180</v>
      </c>
      <c r="BA86" s="541">
        <v>2.9700000000000001E-2</v>
      </c>
      <c r="BB86" s="541">
        <v>1.885</v>
      </c>
      <c r="BC86" s="290">
        <v>60</v>
      </c>
      <c r="BD86" s="542">
        <v>0.192</v>
      </c>
      <c r="BE86" s="543">
        <v>0.192</v>
      </c>
      <c r="BF86" s="536">
        <v>3</v>
      </c>
      <c r="BG86" s="163" t="s">
        <v>8932</v>
      </c>
      <c r="BH86" s="163">
        <v>3</v>
      </c>
      <c r="BK86" s="163">
        <v>0</v>
      </c>
      <c r="BM86" s="163" t="s">
        <v>8905</v>
      </c>
    </row>
    <row r="87" spans="1:65" ht="35.25" hidden="1" customHeight="1">
      <c r="A87" s="163" t="s">
        <v>9018</v>
      </c>
      <c r="B87" s="163" t="s">
        <v>1358</v>
      </c>
      <c r="C87" s="164" t="s">
        <v>8981</v>
      </c>
      <c r="D87" s="1517" t="s">
        <v>8981</v>
      </c>
      <c r="E87" s="1522" t="s">
        <v>8978</v>
      </c>
      <c r="F87" s="1454">
        <v>71</v>
      </c>
      <c r="G87" s="294"/>
      <c r="H87" s="294"/>
      <c r="I87" s="295"/>
      <c r="J87" s="832" t="s">
        <v>1358</v>
      </c>
      <c r="K87" s="798" t="s">
        <v>1357</v>
      </c>
      <c r="L87" s="799" t="s">
        <v>9019</v>
      </c>
      <c r="M87" s="798">
        <v>1</v>
      </c>
      <c r="N87" s="800">
        <v>70</v>
      </c>
      <c r="O87" s="620" t="s">
        <v>4552</v>
      </c>
      <c r="P87" s="620">
        <v>0</v>
      </c>
      <c r="Q87" s="798">
        <v>20</v>
      </c>
      <c r="R87" s="237">
        <v>0</v>
      </c>
      <c r="S87" s="302">
        <v>0</v>
      </c>
      <c r="T87" s="303">
        <v>0</v>
      </c>
      <c r="U87" s="304">
        <v>0</v>
      </c>
      <c r="V87" s="790">
        <v>0</v>
      </c>
      <c r="W87" s="833">
        <v>0</v>
      </c>
      <c r="X87" s="307">
        <v>0</v>
      </c>
      <c r="Y87" s="801">
        <v>4</v>
      </c>
      <c r="Z87" s="802">
        <v>0</v>
      </c>
      <c r="AA87" s="490">
        <v>0</v>
      </c>
      <c r="AB87" s="310">
        <v>0</v>
      </c>
      <c r="AC87" s="311" t="s">
        <v>8898</v>
      </c>
      <c r="AD87" s="311" t="s">
        <v>8898</v>
      </c>
      <c r="AE87" s="803">
        <v>0</v>
      </c>
      <c r="AF87" s="250">
        <v>0</v>
      </c>
      <c r="AG87" s="313">
        <v>0</v>
      </c>
      <c r="AH87" s="616">
        <v>0</v>
      </c>
      <c r="AI87" s="617">
        <v>0</v>
      </c>
      <c r="AJ87" s="533"/>
      <c r="AK87" s="253" t="s">
        <v>1358</v>
      </c>
      <c r="AL87" s="254" t="str">
        <f t="shared" si="3"/>
        <v>HAN046</v>
      </c>
      <c r="AM87" s="255">
        <f t="shared" si="3"/>
        <v>0</v>
      </c>
      <c r="AN87" s="618" t="s">
        <v>9020</v>
      </c>
      <c r="AO87" s="619">
        <v>1.4</v>
      </c>
      <c r="AP87" s="620">
        <v>381</v>
      </c>
      <c r="AQ87" s="620">
        <v>123</v>
      </c>
      <c r="AR87" s="621">
        <f t="shared" si="4"/>
        <v>0.5150243699999999</v>
      </c>
      <c r="AS87" s="622">
        <v>1053.5259932117021</v>
      </c>
      <c r="AT87" s="620">
        <v>508</v>
      </c>
      <c r="AU87" s="623">
        <v>0.82326201379558028</v>
      </c>
      <c r="AV87" s="624">
        <v>20</v>
      </c>
      <c r="AW87" s="625">
        <v>1026</v>
      </c>
      <c r="AX87" s="620">
        <v>330</v>
      </c>
      <c r="AY87" s="626">
        <v>500</v>
      </c>
      <c r="AZ87" s="626">
        <v>180</v>
      </c>
      <c r="BA87" s="627">
        <v>2.9700000000000001E-2</v>
      </c>
      <c r="BB87" s="627">
        <v>1.885</v>
      </c>
      <c r="BC87" s="325">
        <v>60</v>
      </c>
      <c r="BD87" s="628">
        <v>0.42399999999999999</v>
      </c>
      <c r="BE87" s="629">
        <v>0.42399999999999999</v>
      </c>
      <c r="BF87" s="620">
        <v>3</v>
      </c>
      <c r="BG87" s="163" t="s">
        <v>8932</v>
      </c>
      <c r="BH87" s="163">
        <v>3</v>
      </c>
      <c r="BK87" s="163">
        <v>0</v>
      </c>
      <c r="BM87" s="163" t="s">
        <v>8905</v>
      </c>
    </row>
    <row r="88" spans="1:65" ht="35.25" hidden="1" customHeight="1">
      <c r="A88" s="163" t="s">
        <v>9021</v>
      </c>
      <c r="B88" s="163" t="s">
        <v>1364</v>
      </c>
      <c r="C88" s="164" t="s">
        <v>8981</v>
      </c>
      <c r="D88" s="1497"/>
      <c r="E88" s="1509">
        <v>0</v>
      </c>
      <c r="F88" s="1454">
        <v>0</v>
      </c>
      <c r="G88" s="231"/>
      <c r="H88" s="231"/>
      <c r="I88" s="393"/>
      <c r="J88" s="834" t="s">
        <v>1364</v>
      </c>
      <c r="K88" s="490" t="s">
        <v>1363</v>
      </c>
      <c r="L88" s="758" t="s">
        <v>9022</v>
      </c>
      <c r="M88" s="490">
        <v>1</v>
      </c>
      <c r="N88" s="759">
        <v>70</v>
      </c>
      <c r="O88" s="642" t="s">
        <v>4552</v>
      </c>
      <c r="P88" s="620">
        <v>0</v>
      </c>
      <c r="Q88" s="490">
        <v>20</v>
      </c>
      <c r="R88" s="237">
        <v>0</v>
      </c>
      <c r="S88" s="302">
        <v>0</v>
      </c>
      <c r="T88" s="399">
        <v>0</v>
      </c>
      <c r="U88" s="492">
        <v>0</v>
      </c>
      <c r="V88" s="790">
        <v>0</v>
      </c>
      <c r="W88" s="835">
        <v>0</v>
      </c>
      <c r="X88" s="307">
        <v>0</v>
      </c>
      <c r="Y88" s="760">
        <v>4</v>
      </c>
      <c r="Z88" s="761">
        <v>0</v>
      </c>
      <c r="AA88" s="490">
        <v>0</v>
      </c>
      <c r="AB88" s="310">
        <v>0</v>
      </c>
      <c r="AC88" s="397" t="s">
        <v>8898</v>
      </c>
      <c r="AD88" s="397" t="s">
        <v>8898</v>
      </c>
      <c r="AE88" s="762">
        <v>0</v>
      </c>
      <c r="AF88" s="250">
        <v>0</v>
      </c>
      <c r="AG88" s="313">
        <v>0</v>
      </c>
      <c r="AH88" s="638">
        <v>0</v>
      </c>
      <c r="AI88" s="639">
        <v>0</v>
      </c>
      <c r="AJ88" s="533"/>
      <c r="AK88" s="253" t="s">
        <v>1364</v>
      </c>
      <c r="AL88" s="254" t="str">
        <f t="shared" si="3"/>
        <v>HAN046</v>
      </c>
      <c r="AM88" s="255">
        <f t="shared" si="3"/>
        <v>0</v>
      </c>
      <c r="AN88" s="640" t="s">
        <v>9020</v>
      </c>
      <c r="AO88" s="641">
        <v>1.4</v>
      </c>
      <c r="AP88" s="642">
        <v>381</v>
      </c>
      <c r="AQ88" s="642">
        <v>123</v>
      </c>
      <c r="AR88" s="643">
        <f t="shared" si="4"/>
        <v>0.5150243699999999</v>
      </c>
      <c r="AS88" s="644">
        <v>1053.5259932117021</v>
      </c>
      <c r="AT88" s="642">
        <v>508</v>
      </c>
      <c r="AU88" s="645">
        <v>0.82908698087432264</v>
      </c>
      <c r="AV88" s="646">
        <v>20</v>
      </c>
      <c r="AW88" s="647">
        <v>1026</v>
      </c>
      <c r="AX88" s="642">
        <v>330</v>
      </c>
      <c r="AY88" s="648">
        <v>500</v>
      </c>
      <c r="AZ88" s="648">
        <v>180</v>
      </c>
      <c r="BA88" s="649">
        <v>2.9700000000000001E-2</v>
      </c>
      <c r="BB88" s="649">
        <v>1.885</v>
      </c>
      <c r="BC88" s="264">
        <v>60</v>
      </c>
      <c r="BD88" s="650">
        <v>0.42699999999999999</v>
      </c>
      <c r="BE88" s="651">
        <v>0.42699999999999999</v>
      </c>
      <c r="BF88" s="642">
        <v>3</v>
      </c>
      <c r="BG88" s="163" t="s">
        <v>8932</v>
      </c>
      <c r="BH88" s="163">
        <v>3</v>
      </c>
      <c r="BK88" s="163">
        <v>0</v>
      </c>
      <c r="BM88" s="163" t="s">
        <v>8905</v>
      </c>
    </row>
    <row r="89" spans="1:65" ht="35.25" customHeight="1">
      <c r="A89" s="163" t="s">
        <v>9023</v>
      </c>
      <c r="B89" s="163" t="s">
        <v>1360</v>
      </c>
      <c r="C89" s="164" t="s">
        <v>8981</v>
      </c>
      <c r="D89" s="1497"/>
      <c r="E89" s="836"/>
      <c r="F89" s="268" t="s">
        <v>9024</v>
      </c>
      <c r="G89" s="271"/>
      <c r="H89" s="271"/>
      <c r="I89" s="440"/>
      <c r="J89" s="837" t="s">
        <v>1360</v>
      </c>
      <c r="K89" s="787" t="s">
        <v>1359</v>
      </c>
      <c r="L89" s="788" t="s">
        <v>9025</v>
      </c>
      <c r="M89" s="787">
        <v>1</v>
      </c>
      <c r="N89" s="789">
        <v>70</v>
      </c>
      <c r="O89" s="536" t="s">
        <v>4554</v>
      </c>
      <c r="P89" s="536">
        <v>3500</v>
      </c>
      <c r="Q89" s="787">
        <v>30</v>
      </c>
      <c r="R89" s="237">
        <v>150166</v>
      </c>
      <c r="S89" s="302">
        <v>8342.5555555555547</v>
      </c>
      <c r="T89" s="838">
        <v>278.08518518518514</v>
      </c>
      <c r="U89" s="839">
        <v>8342.5555555555547</v>
      </c>
      <c r="V89" s="840">
        <v>1.3435997733799998</v>
      </c>
      <c r="W89" s="791">
        <v>8.259129999999999</v>
      </c>
      <c r="X89" s="841">
        <v>207</v>
      </c>
      <c r="Y89" s="488">
        <v>8</v>
      </c>
      <c r="Z89" s="489">
        <v>140</v>
      </c>
      <c r="AA89" s="787">
        <v>70</v>
      </c>
      <c r="AB89" s="842">
        <v>417</v>
      </c>
      <c r="AC89" s="792">
        <v>5.8</v>
      </c>
      <c r="AD89" s="843">
        <v>101</v>
      </c>
      <c r="AE89" s="689">
        <v>370</v>
      </c>
      <c r="AF89" s="844">
        <v>47</v>
      </c>
      <c r="AG89" s="845">
        <v>200</v>
      </c>
      <c r="AH89" s="531">
        <v>200</v>
      </c>
      <c r="AI89" s="532">
        <v>0</v>
      </c>
      <c r="AJ89" s="441"/>
      <c r="AK89" s="253" t="s">
        <v>1360</v>
      </c>
      <c r="AL89" s="254" t="str">
        <f t="shared" si="3"/>
        <v>HAN047</v>
      </c>
      <c r="AM89" s="255">
        <f t="shared" si="3"/>
        <v>3500</v>
      </c>
      <c r="AN89" s="618" t="s">
        <v>9020</v>
      </c>
      <c r="AO89" s="619">
        <v>1.4</v>
      </c>
      <c r="AP89" s="620">
        <v>417</v>
      </c>
      <c r="AQ89" s="620">
        <v>123</v>
      </c>
      <c r="AR89" s="621">
        <f t="shared" si="4"/>
        <v>0.56368808999999997</v>
      </c>
      <c r="AS89" s="622">
        <v>1193.9562914526146</v>
      </c>
      <c r="AT89" s="620">
        <v>508</v>
      </c>
      <c r="AU89" s="623">
        <v>0.83379444827368976</v>
      </c>
      <c r="AV89" s="624">
        <v>30</v>
      </c>
      <c r="AW89" s="625">
        <v>1026</v>
      </c>
      <c r="AX89" s="620">
        <v>330</v>
      </c>
      <c r="AY89" s="626">
        <v>500</v>
      </c>
      <c r="AZ89" s="626">
        <v>180</v>
      </c>
      <c r="BA89" s="627">
        <v>2.9700000000000001E-2</v>
      </c>
      <c r="BB89" s="627">
        <v>1.885</v>
      </c>
      <c r="BC89" s="325">
        <v>65</v>
      </c>
      <c r="BD89" s="628">
        <v>0.47</v>
      </c>
      <c r="BE89" s="629">
        <v>0.47</v>
      </c>
      <c r="BF89" s="620">
        <v>3</v>
      </c>
      <c r="BG89" s="163" t="s">
        <v>8932</v>
      </c>
      <c r="BH89" s="163">
        <v>3</v>
      </c>
      <c r="BK89" s="163">
        <v>0</v>
      </c>
      <c r="BM89" s="163" t="s">
        <v>8905</v>
      </c>
    </row>
    <row r="90" spans="1:65" ht="35.25" customHeight="1">
      <c r="A90" s="163" t="s">
        <v>9026</v>
      </c>
      <c r="B90" s="163" t="s">
        <v>1366</v>
      </c>
      <c r="C90" s="164" t="s">
        <v>8981</v>
      </c>
      <c r="D90" s="1497"/>
      <c r="E90" s="846"/>
      <c r="F90" s="228">
        <v>70</v>
      </c>
      <c r="G90" s="661"/>
      <c r="H90" s="328"/>
      <c r="I90" s="329"/>
      <c r="J90" s="847" t="s">
        <v>1366</v>
      </c>
      <c r="K90" s="848" t="s">
        <v>1365</v>
      </c>
      <c r="L90" s="849" t="s">
        <v>9027</v>
      </c>
      <c r="M90" s="848">
        <v>1</v>
      </c>
      <c r="N90" s="850">
        <v>70</v>
      </c>
      <c r="O90" s="851" t="s">
        <v>4554</v>
      </c>
      <c r="P90" s="851">
        <v>3500</v>
      </c>
      <c r="Q90" s="848">
        <v>30</v>
      </c>
      <c r="R90" s="237">
        <v>62208</v>
      </c>
      <c r="S90" s="302">
        <v>3456</v>
      </c>
      <c r="T90" s="852">
        <v>115.2</v>
      </c>
      <c r="U90" s="853">
        <v>3456</v>
      </c>
      <c r="V90" s="790">
        <v>0.55660172543999997</v>
      </c>
      <c r="W90" s="854">
        <v>3.42144</v>
      </c>
      <c r="X90" s="855">
        <v>207</v>
      </c>
      <c r="Y90" s="856">
        <v>8</v>
      </c>
      <c r="Z90" s="857">
        <v>58</v>
      </c>
      <c r="AA90" s="858">
        <v>29</v>
      </c>
      <c r="AB90" s="859">
        <v>294</v>
      </c>
      <c r="AC90" s="860" t="s">
        <v>8898</v>
      </c>
      <c r="AD90" s="860" t="s">
        <v>8898</v>
      </c>
      <c r="AE90" s="861">
        <v>274</v>
      </c>
      <c r="AF90" s="862">
        <v>20</v>
      </c>
      <c r="AG90" s="863">
        <v>200</v>
      </c>
      <c r="AH90" s="864">
        <v>200</v>
      </c>
      <c r="AI90" s="865">
        <v>0</v>
      </c>
      <c r="AJ90" s="441" t="s">
        <v>8917</v>
      </c>
      <c r="AK90" s="253" t="s">
        <v>1366</v>
      </c>
      <c r="AL90" s="254" t="str">
        <f t="shared" si="3"/>
        <v>HAN047</v>
      </c>
      <c r="AM90" s="255">
        <f t="shared" si="3"/>
        <v>3500</v>
      </c>
      <c r="AN90" s="640" t="s">
        <v>9020</v>
      </c>
      <c r="AO90" s="641">
        <v>1.4</v>
      </c>
      <c r="AP90" s="642">
        <v>417</v>
      </c>
      <c r="AQ90" s="642">
        <v>123</v>
      </c>
      <c r="AR90" s="643">
        <f t="shared" si="4"/>
        <v>0.56368808999999997</v>
      </c>
      <c r="AS90" s="644">
        <v>1193.9562914526146</v>
      </c>
      <c r="AT90" s="642">
        <v>508</v>
      </c>
      <c r="AU90" s="645">
        <v>0.83911654049671336</v>
      </c>
      <c r="AV90" s="646">
        <v>30</v>
      </c>
      <c r="AW90" s="647">
        <v>1026</v>
      </c>
      <c r="AX90" s="642">
        <v>330</v>
      </c>
      <c r="AY90" s="648">
        <v>500</v>
      </c>
      <c r="AZ90" s="648">
        <v>180</v>
      </c>
      <c r="BA90" s="649">
        <v>2.9700000000000001E-2</v>
      </c>
      <c r="BB90" s="649">
        <v>1.885</v>
      </c>
      <c r="BC90" s="264">
        <v>65</v>
      </c>
      <c r="BD90" s="650">
        <v>0.47299999999999998</v>
      </c>
      <c r="BE90" s="651">
        <v>0.47299999999999998</v>
      </c>
      <c r="BF90" s="642">
        <v>3</v>
      </c>
      <c r="BG90" s="163" t="s">
        <v>8932</v>
      </c>
      <c r="BH90" s="163">
        <v>3</v>
      </c>
      <c r="BK90" s="163">
        <v>0</v>
      </c>
      <c r="BM90" s="163" t="s">
        <v>8905</v>
      </c>
    </row>
    <row r="91" spans="1:65" ht="35.25" customHeight="1">
      <c r="A91" s="163" t="s">
        <v>9028</v>
      </c>
      <c r="B91" s="163" t="s">
        <v>1346</v>
      </c>
      <c r="C91" s="164" t="s">
        <v>8981</v>
      </c>
      <c r="D91" s="1497"/>
      <c r="E91" s="1523" t="s">
        <v>8978</v>
      </c>
      <c r="F91" s="494">
        <v>69</v>
      </c>
      <c r="G91" s="389"/>
      <c r="H91" s="294"/>
      <c r="I91" s="295"/>
      <c r="J91" s="866" t="s">
        <v>1346</v>
      </c>
      <c r="K91" s="798" t="s">
        <v>1345</v>
      </c>
      <c r="L91" s="799" t="s">
        <v>9029</v>
      </c>
      <c r="M91" s="798">
        <v>1</v>
      </c>
      <c r="N91" s="800">
        <v>63</v>
      </c>
      <c r="O91" s="620" t="s">
        <v>4560</v>
      </c>
      <c r="P91" s="620">
        <v>2000</v>
      </c>
      <c r="Q91" s="798">
        <v>30</v>
      </c>
      <c r="R91" s="237">
        <v>75886</v>
      </c>
      <c r="S91" s="302">
        <v>4215.8888888888887</v>
      </c>
      <c r="T91" s="867">
        <v>140.52962962962962</v>
      </c>
      <c r="U91" s="868">
        <v>4215.8888888888887</v>
      </c>
      <c r="V91" s="790">
        <v>1.0678510338416665</v>
      </c>
      <c r="W91" s="869">
        <v>4.1737299999999999</v>
      </c>
      <c r="X91" s="855">
        <v>132</v>
      </c>
      <c r="Y91" s="760">
        <v>8</v>
      </c>
      <c r="Z91" s="870">
        <v>71</v>
      </c>
      <c r="AA91" s="490">
        <v>35</v>
      </c>
      <c r="AB91" s="310">
        <v>238</v>
      </c>
      <c r="AC91" s="792">
        <v>5.9</v>
      </c>
      <c r="AD91" s="843">
        <v>52</v>
      </c>
      <c r="AE91" s="803">
        <v>214</v>
      </c>
      <c r="AF91" s="250">
        <v>24</v>
      </c>
      <c r="AG91" s="313">
        <v>130</v>
      </c>
      <c r="AH91" s="616">
        <v>130</v>
      </c>
      <c r="AI91" s="617">
        <v>0</v>
      </c>
      <c r="AJ91" s="441"/>
      <c r="AK91" s="253" t="s">
        <v>1346</v>
      </c>
      <c r="AL91" s="254" t="str">
        <f t="shared" si="3"/>
        <v>HAN045</v>
      </c>
      <c r="AM91" s="255">
        <f t="shared" si="3"/>
        <v>2000</v>
      </c>
      <c r="AN91" s="618" t="s">
        <v>9020</v>
      </c>
      <c r="AO91" s="619">
        <v>1.4</v>
      </c>
      <c r="AP91" s="620">
        <v>439</v>
      </c>
      <c r="AQ91" s="620">
        <v>105</v>
      </c>
      <c r="AR91" s="621">
        <f t="shared" si="4"/>
        <v>0.50658404999999995</v>
      </c>
      <c r="AS91" s="622">
        <v>1169.1985612488684</v>
      </c>
      <c r="AT91" s="620">
        <v>508</v>
      </c>
      <c r="AU91" s="623">
        <v>0.84882261887242605</v>
      </c>
      <c r="AV91" s="624">
        <v>30</v>
      </c>
      <c r="AW91" s="625">
        <v>1026</v>
      </c>
      <c r="AX91" s="620">
        <v>330</v>
      </c>
      <c r="AY91" s="626">
        <v>500</v>
      </c>
      <c r="AZ91" s="626">
        <v>180</v>
      </c>
      <c r="BA91" s="627">
        <v>2.9700000000000001E-2</v>
      </c>
      <c r="BB91" s="627">
        <v>1.885</v>
      </c>
      <c r="BC91" s="325">
        <v>60</v>
      </c>
      <c r="BD91" s="628">
        <v>0.43</v>
      </c>
      <c r="BE91" s="629">
        <v>0.43</v>
      </c>
      <c r="BF91" s="620">
        <v>3</v>
      </c>
      <c r="BG91" s="163" t="s">
        <v>8932</v>
      </c>
      <c r="BH91" s="163">
        <v>3</v>
      </c>
      <c r="BK91" s="163">
        <v>0</v>
      </c>
      <c r="BM91" s="163" t="s">
        <v>8905</v>
      </c>
    </row>
    <row r="92" spans="1:65" ht="35.25" customHeight="1">
      <c r="A92" s="163" t="s">
        <v>9030</v>
      </c>
      <c r="B92" s="163" t="s">
        <v>1338</v>
      </c>
      <c r="C92" s="164" t="s">
        <v>8981</v>
      </c>
      <c r="D92" s="1497"/>
      <c r="E92" s="1524"/>
      <c r="F92" s="494">
        <v>69</v>
      </c>
      <c r="G92" s="229"/>
      <c r="H92" s="231"/>
      <c r="I92" s="393"/>
      <c r="J92" s="871" t="s">
        <v>1338</v>
      </c>
      <c r="K92" s="490" t="s">
        <v>1337</v>
      </c>
      <c r="L92" s="758" t="s">
        <v>9031</v>
      </c>
      <c r="M92" s="490">
        <v>1</v>
      </c>
      <c r="N92" s="759">
        <v>63</v>
      </c>
      <c r="O92" s="642" t="s">
        <v>4560</v>
      </c>
      <c r="P92" s="642">
        <v>2000</v>
      </c>
      <c r="Q92" s="490">
        <v>30</v>
      </c>
      <c r="R92" s="237">
        <v>75671</v>
      </c>
      <c r="S92" s="302">
        <v>4203.9444444444443</v>
      </c>
      <c r="T92" s="872">
        <v>140.13148148148147</v>
      </c>
      <c r="U92" s="873">
        <v>4203.9444444444443</v>
      </c>
      <c r="V92" s="790">
        <v>1.064825601320833</v>
      </c>
      <c r="W92" s="874">
        <v>4.161905</v>
      </c>
      <c r="X92" s="875">
        <v>132</v>
      </c>
      <c r="Y92" s="760">
        <v>8</v>
      </c>
      <c r="Z92" s="876">
        <v>71</v>
      </c>
      <c r="AA92" s="490">
        <v>35</v>
      </c>
      <c r="AB92" s="310">
        <v>238</v>
      </c>
      <c r="AC92" s="792">
        <v>5.9</v>
      </c>
      <c r="AD92" s="843">
        <v>52</v>
      </c>
      <c r="AE92" s="877">
        <v>214</v>
      </c>
      <c r="AF92" s="250">
        <v>24</v>
      </c>
      <c r="AG92" s="313">
        <v>130</v>
      </c>
      <c r="AH92" s="638">
        <v>130</v>
      </c>
      <c r="AI92" s="639">
        <v>0</v>
      </c>
      <c r="AJ92" s="441"/>
      <c r="AK92" s="253" t="s">
        <v>1338</v>
      </c>
      <c r="AL92" s="254" t="str">
        <f t="shared" si="3"/>
        <v>HAN045</v>
      </c>
      <c r="AM92" s="255">
        <f t="shared" si="3"/>
        <v>2000</v>
      </c>
      <c r="AN92" s="640" t="s">
        <v>9020</v>
      </c>
      <c r="AO92" s="641">
        <v>1.4</v>
      </c>
      <c r="AP92" s="642">
        <v>439</v>
      </c>
      <c r="AQ92" s="642">
        <v>105</v>
      </c>
      <c r="AR92" s="643">
        <f t="shared" si="4"/>
        <v>0.50658404999999995</v>
      </c>
      <c r="AS92" s="644">
        <v>1169.1985612488684</v>
      </c>
      <c r="AT92" s="642">
        <v>508</v>
      </c>
      <c r="AU92" s="645">
        <v>0.84882261887242605</v>
      </c>
      <c r="AV92" s="646">
        <v>30</v>
      </c>
      <c r="AW92" s="647">
        <v>1026</v>
      </c>
      <c r="AX92" s="642">
        <v>330</v>
      </c>
      <c r="AY92" s="648">
        <v>500</v>
      </c>
      <c r="AZ92" s="648">
        <v>180</v>
      </c>
      <c r="BA92" s="649">
        <v>2.9700000000000001E-2</v>
      </c>
      <c r="BB92" s="649">
        <v>1.885</v>
      </c>
      <c r="BC92" s="264">
        <v>60</v>
      </c>
      <c r="BD92" s="650">
        <v>0.43</v>
      </c>
      <c r="BE92" s="651">
        <v>0.43</v>
      </c>
      <c r="BF92" s="642">
        <v>3</v>
      </c>
      <c r="BG92" s="163" t="s">
        <v>8932</v>
      </c>
      <c r="BH92" s="163">
        <v>3</v>
      </c>
      <c r="BK92" s="163">
        <v>0</v>
      </c>
      <c r="BM92" s="163" t="s">
        <v>8905</v>
      </c>
    </row>
    <row r="93" spans="1:65" ht="35.25" customHeight="1">
      <c r="A93" s="163" t="s">
        <v>9032</v>
      </c>
      <c r="B93" s="163" t="s">
        <v>1320</v>
      </c>
      <c r="C93" s="164" t="s">
        <v>8981</v>
      </c>
      <c r="D93" s="1497"/>
      <c r="E93" s="878"/>
      <c r="F93" s="879">
        <v>69</v>
      </c>
      <c r="G93" s="880"/>
      <c r="H93" s="328"/>
      <c r="I93" s="328"/>
      <c r="J93" s="881" t="s">
        <v>1320</v>
      </c>
      <c r="K93" s="882" t="s">
        <v>1319</v>
      </c>
      <c r="L93" s="883" t="s">
        <v>9033</v>
      </c>
      <c r="M93" s="882">
        <v>1</v>
      </c>
      <c r="N93" s="884">
        <v>63</v>
      </c>
      <c r="O93" s="678" t="s">
        <v>4560</v>
      </c>
      <c r="P93" s="642">
        <v>2000</v>
      </c>
      <c r="Q93" s="882">
        <v>30</v>
      </c>
      <c r="R93" s="237">
        <v>62208</v>
      </c>
      <c r="S93" s="302">
        <v>3456</v>
      </c>
      <c r="T93" s="885">
        <v>115.2</v>
      </c>
      <c r="U93" s="886">
        <v>3456</v>
      </c>
      <c r="V93" s="790">
        <v>0.87537723839999992</v>
      </c>
      <c r="W93" s="887">
        <v>3.42144</v>
      </c>
      <c r="X93" s="888">
        <v>132</v>
      </c>
      <c r="Y93" s="889">
        <v>8</v>
      </c>
      <c r="Z93" s="890">
        <v>58</v>
      </c>
      <c r="AA93" s="490">
        <v>29</v>
      </c>
      <c r="AB93" s="310">
        <v>219</v>
      </c>
      <c r="AC93" s="792">
        <v>7</v>
      </c>
      <c r="AD93" s="891">
        <v>51</v>
      </c>
      <c r="AE93" s="892">
        <v>199</v>
      </c>
      <c r="AF93" s="250">
        <v>20</v>
      </c>
      <c r="AG93" s="313">
        <v>130</v>
      </c>
      <c r="AH93" s="674">
        <v>130</v>
      </c>
      <c r="AI93" s="675">
        <v>0</v>
      </c>
      <c r="AJ93" s="441"/>
      <c r="AK93" s="253" t="s">
        <v>1320</v>
      </c>
      <c r="AL93" s="254" t="str">
        <f t="shared" si="3"/>
        <v>HAN045</v>
      </c>
      <c r="AM93" s="255">
        <f t="shared" si="3"/>
        <v>2000</v>
      </c>
      <c r="AN93" s="676" t="s">
        <v>9020</v>
      </c>
      <c r="AO93" s="677">
        <v>1.4</v>
      </c>
      <c r="AP93" s="678">
        <v>439</v>
      </c>
      <c r="AQ93" s="678">
        <v>105</v>
      </c>
      <c r="AR93" s="679">
        <f t="shared" si="4"/>
        <v>0.50658404999999995</v>
      </c>
      <c r="AS93" s="680">
        <v>1169.1985612488684</v>
      </c>
      <c r="AT93" s="678">
        <v>508</v>
      </c>
      <c r="AU93" s="681">
        <v>0.87053668586683697</v>
      </c>
      <c r="AV93" s="682">
        <v>30</v>
      </c>
      <c r="AW93" s="683">
        <v>1026</v>
      </c>
      <c r="AX93" s="678">
        <v>330</v>
      </c>
      <c r="AY93" s="684">
        <v>500</v>
      </c>
      <c r="AZ93" s="684">
        <v>180</v>
      </c>
      <c r="BA93" s="685">
        <v>2.9700000000000001E-2</v>
      </c>
      <c r="BB93" s="685">
        <v>1.885</v>
      </c>
      <c r="BC93" s="686">
        <v>60</v>
      </c>
      <c r="BD93" s="687">
        <v>0.441</v>
      </c>
      <c r="BE93" s="688">
        <v>0.441</v>
      </c>
      <c r="BF93" s="678">
        <v>3</v>
      </c>
      <c r="BG93" s="163" t="s">
        <v>8932</v>
      </c>
      <c r="BH93" s="163">
        <v>3</v>
      </c>
      <c r="BK93" s="163">
        <v>0</v>
      </c>
      <c r="BM93" s="163" t="s">
        <v>8905</v>
      </c>
    </row>
    <row r="94" spans="1:65" ht="35.25" customHeight="1">
      <c r="A94" s="163" t="s">
        <v>9034</v>
      </c>
      <c r="B94" s="163" t="s">
        <v>1469</v>
      </c>
      <c r="C94" s="164" t="s">
        <v>8981</v>
      </c>
      <c r="D94" s="1497"/>
      <c r="E94" s="893"/>
      <c r="F94" s="268">
        <v>66</v>
      </c>
      <c r="G94" s="269"/>
      <c r="H94" s="271"/>
      <c r="I94" s="440"/>
      <c r="J94" s="786" t="s">
        <v>1469</v>
      </c>
      <c r="K94" s="787" t="s">
        <v>1468</v>
      </c>
      <c r="L94" s="788" t="s">
        <v>9035</v>
      </c>
      <c r="M94" s="787">
        <v>2</v>
      </c>
      <c r="N94" s="789">
        <v>70</v>
      </c>
      <c r="O94" s="536" t="s">
        <v>4682</v>
      </c>
      <c r="P94" s="536">
        <v>2500</v>
      </c>
      <c r="Q94" s="787">
        <v>70</v>
      </c>
      <c r="R94" s="237">
        <v>15866</v>
      </c>
      <c r="S94" s="302">
        <v>881.44444444444446</v>
      </c>
      <c r="T94" s="399">
        <v>12.592063492063492</v>
      </c>
      <c r="U94" s="492">
        <v>440.72222222222223</v>
      </c>
      <c r="V94" s="790">
        <v>0.16468026555555557</v>
      </c>
      <c r="W94" s="791">
        <v>0.37398428571428571</v>
      </c>
      <c r="X94" s="392">
        <v>77</v>
      </c>
      <c r="Y94" s="488">
        <v>4</v>
      </c>
      <c r="Z94" s="489">
        <v>4</v>
      </c>
      <c r="AA94" s="490">
        <v>3</v>
      </c>
      <c r="AB94" s="310">
        <v>84</v>
      </c>
      <c r="AC94" s="789" t="s">
        <v>8898</v>
      </c>
      <c r="AD94" s="789" t="s">
        <v>8898</v>
      </c>
      <c r="AE94" s="689">
        <v>82</v>
      </c>
      <c r="AF94" s="250">
        <v>2</v>
      </c>
      <c r="AG94" s="313">
        <v>70</v>
      </c>
      <c r="AH94" s="531">
        <v>70</v>
      </c>
      <c r="AI94" s="532">
        <v>0</v>
      </c>
      <c r="AJ94" s="894"/>
      <c r="AK94" s="253" t="s">
        <v>1469</v>
      </c>
      <c r="AL94" s="254" t="str">
        <f t="shared" si="3"/>
        <v>TTC053</v>
      </c>
      <c r="AM94" s="255">
        <f t="shared" si="3"/>
        <v>2500</v>
      </c>
      <c r="AN94" s="534" t="s">
        <v>8918</v>
      </c>
      <c r="AO94" s="535">
        <v>2</v>
      </c>
      <c r="AP94" s="536">
        <v>425</v>
      </c>
      <c r="AQ94" s="536">
        <v>140</v>
      </c>
      <c r="AR94" s="537">
        <f t="shared" si="4"/>
        <v>0.46707500000000002</v>
      </c>
      <c r="AS94" s="538">
        <v>952.45787308415902</v>
      </c>
      <c r="AT94" s="536">
        <v>508</v>
      </c>
      <c r="AU94" s="539">
        <v>0.36610822673018251</v>
      </c>
      <c r="AV94" s="521">
        <v>70</v>
      </c>
      <c r="AW94" s="540">
        <v>1026</v>
      </c>
      <c r="AX94" s="536">
        <v>330</v>
      </c>
      <c r="AY94" s="290">
        <v>500</v>
      </c>
      <c r="AZ94" s="290">
        <v>180</v>
      </c>
      <c r="BA94" s="541">
        <v>2.9700000000000001E-2</v>
      </c>
      <c r="BB94" s="541">
        <v>1.885</v>
      </c>
      <c r="BC94" s="290">
        <v>60</v>
      </c>
      <c r="BD94" s="542">
        <v>0.17100000000000001</v>
      </c>
      <c r="BE94" s="543">
        <v>0.17100000000000001</v>
      </c>
      <c r="BF94" s="536">
        <v>3</v>
      </c>
      <c r="BG94" s="163" t="s">
        <v>8932</v>
      </c>
      <c r="BH94" s="163">
        <v>3</v>
      </c>
      <c r="BK94" s="163">
        <v>0</v>
      </c>
      <c r="BM94" s="163" t="s">
        <v>8905</v>
      </c>
    </row>
    <row r="95" spans="1:65" ht="35.25" customHeight="1">
      <c r="A95" s="163" t="s">
        <v>9036</v>
      </c>
      <c r="B95" s="163" t="s">
        <v>1435</v>
      </c>
      <c r="C95" s="164" t="s">
        <v>8981</v>
      </c>
      <c r="D95" s="1497"/>
      <c r="E95" s="893"/>
      <c r="F95" s="268">
        <v>63</v>
      </c>
      <c r="G95" s="269"/>
      <c r="H95" s="271"/>
      <c r="I95" s="440"/>
      <c r="J95" s="786" t="s">
        <v>1435</v>
      </c>
      <c r="K95" s="787" t="s">
        <v>1434</v>
      </c>
      <c r="L95" s="788" t="s">
        <v>9037</v>
      </c>
      <c r="M95" s="787">
        <v>2</v>
      </c>
      <c r="N95" s="789">
        <v>63</v>
      </c>
      <c r="O95" s="536" t="s">
        <v>4590</v>
      </c>
      <c r="P95" s="536">
        <v>1250</v>
      </c>
      <c r="Q95" s="787">
        <v>50</v>
      </c>
      <c r="R95" s="237">
        <v>11731</v>
      </c>
      <c r="S95" s="302">
        <v>651.72222222222217</v>
      </c>
      <c r="T95" s="399">
        <v>13.034444444444443</v>
      </c>
      <c r="U95" s="492">
        <v>325.86111111111109</v>
      </c>
      <c r="V95" s="790">
        <v>0.24862749439799994</v>
      </c>
      <c r="W95" s="791">
        <v>0.38712299999999994</v>
      </c>
      <c r="X95" s="392">
        <v>53</v>
      </c>
      <c r="Y95" s="488">
        <v>4</v>
      </c>
      <c r="Z95" s="489">
        <v>4</v>
      </c>
      <c r="AA95" s="490">
        <v>3</v>
      </c>
      <c r="AB95" s="310">
        <v>60</v>
      </c>
      <c r="AC95" s="789" t="s">
        <v>8898</v>
      </c>
      <c r="AD95" s="789" t="s">
        <v>8898</v>
      </c>
      <c r="AE95" s="689">
        <v>59</v>
      </c>
      <c r="AF95" s="250">
        <v>1</v>
      </c>
      <c r="AG95" s="313">
        <v>50</v>
      </c>
      <c r="AH95" s="531">
        <v>50</v>
      </c>
      <c r="AI95" s="532">
        <v>0</v>
      </c>
      <c r="AJ95" s="894"/>
      <c r="AK95" s="253" t="s">
        <v>1435</v>
      </c>
      <c r="AL95" s="254" t="str">
        <f t="shared" si="3"/>
        <v>TTC055</v>
      </c>
      <c r="AM95" s="255">
        <f t="shared" si="3"/>
        <v>1250</v>
      </c>
      <c r="AN95" s="534" t="s">
        <v>8899</v>
      </c>
      <c r="AO95" s="535">
        <v>1.8</v>
      </c>
      <c r="AP95" s="536">
        <v>453</v>
      </c>
      <c r="AQ95" s="536">
        <v>149</v>
      </c>
      <c r="AR95" s="537">
        <f t="shared" si="4"/>
        <v>0.47686630499999993</v>
      </c>
      <c r="AS95" s="538">
        <v>987.1793966386773</v>
      </c>
      <c r="AT95" s="536">
        <v>508</v>
      </c>
      <c r="AU95" s="539">
        <v>0.45924821633182916</v>
      </c>
      <c r="AV95" s="521">
        <v>50</v>
      </c>
      <c r="AW95" s="540">
        <v>1026</v>
      </c>
      <c r="AX95" s="536">
        <v>330</v>
      </c>
      <c r="AY95" s="290">
        <v>500</v>
      </c>
      <c r="AZ95" s="290">
        <v>180</v>
      </c>
      <c r="BA95" s="541">
        <v>2.9700000000000001E-2</v>
      </c>
      <c r="BB95" s="541">
        <v>1.885</v>
      </c>
      <c r="BC95" s="290">
        <v>63</v>
      </c>
      <c r="BD95" s="542">
        <v>0.219</v>
      </c>
      <c r="BE95" s="543">
        <v>0.219</v>
      </c>
      <c r="BF95" s="536">
        <v>3</v>
      </c>
      <c r="BG95" s="163" t="s">
        <v>8932</v>
      </c>
      <c r="BH95" s="163">
        <v>3</v>
      </c>
      <c r="BK95" s="163">
        <v>0</v>
      </c>
      <c r="BM95" s="163" t="s">
        <v>8905</v>
      </c>
    </row>
    <row r="96" spans="1:65" ht="35.25" customHeight="1">
      <c r="A96" s="163" t="s">
        <v>9038</v>
      </c>
      <c r="B96" s="163" t="s">
        <v>1467</v>
      </c>
      <c r="C96" s="164" t="s">
        <v>8981</v>
      </c>
      <c r="D96" s="1497"/>
      <c r="E96" s="893"/>
      <c r="F96" s="268">
        <v>64</v>
      </c>
      <c r="G96" s="271"/>
      <c r="H96" s="271"/>
      <c r="I96" s="440"/>
      <c r="J96" s="786" t="s">
        <v>1467</v>
      </c>
      <c r="K96" s="787" t="s">
        <v>1466</v>
      </c>
      <c r="L96" s="788" t="s">
        <v>9039</v>
      </c>
      <c r="M96" s="787">
        <v>2</v>
      </c>
      <c r="N96" s="789">
        <v>63</v>
      </c>
      <c r="O96" s="536" t="s">
        <v>4590</v>
      </c>
      <c r="P96" s="536">
        <v>1250</v>
      </c>
      <c r="Q96" s="787">
        <v>50</v>
      </c>
      <c r="R96" s="237">
        <v>7794</v>
      </c>
      <c r="S96" s="302">
        <v>433</v>
      </c>
      <c r="T96" s="399">
        <v>8.66</v>
      </c>
      <c r="U96" s="492">
        <v>216.5</v>
      </c>
      <c r="V96" s="790">
        <v>0.16518648805199998</v>
      </c>
      <c r="W96" s="791">
        <v>0.25720199999999999</v>
      </c>
      <c r="X96" s="392">
        <v>53</v>
      </c>
      <c r="Y96" s="488">
        <v>4</v>
      </c>
      <c r="Z96" s="489">
        <v>3</v>
      </c>
      <c r="AA96" s="490">
        <v>2</v>
      </c>
      <c r="AB96" s="310">
        <v>58</v>
      </c>
      <c r="AC96" s="789" t="s">
        <v>8898</v>
      </c>
      <c r="AD96" s="789" t="s">
        <v>8898</v>
      </c>
      <c r="AE96" s="689">
        <v>57</v>
      </c>
      <c r="AF96" s="250">
        <v>1</v>
      </c>
      <c r="AG96" s="313">
        <v>50</v>
      </c>
      <c r="AH96" s="531">
        <v>50</v>
      </c>
      <c r="AI96" s="532">
        <v>0</v>
      </c>
      <c r="AJ96" s="894"/>
      <c r="AK96" s="253" t="s">
        <v>1467</v>
      </c>
      <c r="AL96" s="254" t="str">
        <f t="shared" si="3"/>
        <v>TTC055</v>
      </c>
      <c r="AM96" s="255">
        <f t="shared" si="3"/>
        <v>1250</v>
      </c>
      <c r="AN96" s="534" t="s">
        <v>8899</v>
      </c>
      <c r="AO96" s="535">
        <v>1.8</v>
      </c>
      <c r="AP96" s="536">
        <v>453</v>
      </c>
      <c r="AQ96" s="536">
        <v>149</v>
      </c>
      <c r="AR96" s="537">
        <f t="shared" si="4"/>
        <v>0.47686630499999993</v>
      </c>
      <c r="AS96" s="538">
        <v>987.1793966386773</v>
      </c>
      <c r="AT96" s="536">
        <v>508</v>
      </c>
      <c r="AU96" s="539">
        <v>0.45924821633182916</v>
      </c>
      <c r="AV96" s="521">
        <v>50</v>
      </c>
      <c r="AW96" s="540">
        <v>1026</v>
      </c>
      <c r="AX96" s="536">
        <v>330</v>
      </c>
      <c r="AY96" s="290">
        <v>500</v>
      </c>
      <c r="AZ96" s="290">
        <v>180</v>
      </c>
      <c r="BA96" s="541">
        <v>2.9700000000000001E-2</v>
      </c>
      <c r="BB96" s="541">
        <v>1.885</v>
      </c>
      <c r="BC96" s="290">
        <v>60</v>
      </c>
      <c r="BD96" s="542">
        <v>0.219</v>
      </c>
      <c r="BE96" s="543">
        <v>0.219</v>
      </c>
      <c r="BF96" s="536">
        <v>3</v>
      </c>
      <c r="BG96" s="163" t="s">
        <v>8932</v>
      </c>
      <c r="BH96" s="163">
        <v>3</v>
      </c>
      <c r="BK96" s="163">
        <v>0</v>
      </c>
      <c r="BM96" s="163" t="s">
        <v>8905</v>
      </c>
    </row>
    <row r="97" spans="1:65" ht="35.25" customHeight="1">
      <c r="A97" s="163" t="s">
        <v>9040</v>
      </c>
      <c r="B97" s="163" t="s">
        <v>1437</v>
      </c>
      <c r="C97" s="164" t="s">
        <v>8981</v>
      </c>
      <c r="D97" s="1497"/>
      <c r="E97" s="763"/>
      <c r="F97" s="268">
        <v>65</v>
      </c>
      <c r="G97" s="269"/>
      <c r="H97" s="271"/>
      <c r="I97" s="440"/>
      <c r="J97" s="786" t="s">
        <v>1437</v>
      </c>
      <c r="K97" s="787" t="s">
        <v>1436</v>
      </c>
      <c r="L97" s="788" t="s">
        <v>9041</v>
      </c>
      <c r="M97" s="787">
        <v>2</v>
      </c>
      <c r="N97" s="789">
        <v>70</v>
      </c>
      <c r="O97" s="536" t="s">
        <v>4682</v>
      </c>
      <c r="P97" s="536">
        <v>2500</v>
      </c>
      <c r="Q97" s="787">
        <v>70</v>
      </c>
      <c r="R97" s="237">
        <v>15065</v>
      </c>
      <c r="S97" s="302">
        <v>836.94444444444446</v>
      </c>
      <c r="T97" s="399">
        <v>11.956349206349207</v>
      </c>
      <c r="U97" s="492">
        <v>418.47222222222223</v>
      </c>
      <c r="V97" s="790">
        <v>0.15636633055555554</v>
      </c>
      <c r="W97" s="791">
        <v>0.35510357142857146</v>
      </c>
      <c r="X97" s="392">
        <v>77</v>
      </c>
      <c r="Y97" s="488">
        <v>4</v>
      </c>
      <c r="Z97" s="489">
        <v>3</v>
      </c>
      <c r="AA97" s="490">
        <v>3</v>
      </c>
      <c r="AB97" s="310">
        <v>83</v>
      </c>
      <c r="AC97" s="789" t="s">
        <v>8898</v>
      </c>
      <c r="AD97" s="789" t="s">
        <v>8898</v>
      </c>
      <c r="AE97" s="689">
        <v>82</v>
      </c>
      <c r="AF97" s="250">
        <v>1</v>
      </c>
      <c r="AG97" s="313">
        <v>70</v>
      </c>
      <c r="AH97" s="531">
        <v>70</v>
      </c>
      <c r="AI97" s="532">
        <v>0</v>
      </c>
      <c r="AJ97" s="894"/>
      <c r="AK97" s="253" t="s">
        <v>1437</v>
      </c>
      <c r="AL97" s="254" t="str">
        <f t="shared" si="3"/>
        <v>TTC053</v>
      </c>
      <c r="AM97" s="255">
        <f t="shared" si="3"/>
        <v>2500</v>
      </c>
      <c r="AN97" s="534" t="s">
        <v>8918</v>
      </c>
      <c r="AO97" s="535">
        <v>2</v>
      </c>
      <c r="AP97" s="536">
        <v>425</v>
      </c>
      <c r="AQ97" s="536">
        <v>140</v>
      </c>
      <c r="AR97" s="537">
        <f t="shared" si="4"/>
        <v>0.46707500000000002</v>
      </c>
      <c r="AS97" s="538">
        <v>952.45787308415902</v>
      </c>
      <c r="AT97" s="536">
        <v>508</v>
      </c>
      <c r="AU97" s="539">
        <v>0.36610822673018251</v>
      </c>
      <c r="AV97" s="521">
        <v>70</v>
      </c>
      <c r="AW97" s="540">
        <v>1026</v>
      </c>
      <c r="AX97" s="536">
        <v>330</v>
      </c>
      <c r="AY97" s="290">
        <v>500</v>
      </c>
      <c r="AZ97" s="290">
        <v>180</v>
      </c>
      <c r="BA97" s="541">
        <v>2.9700000000000001E-2</v>
      </c>
      <c r="BB97" s="541">
        <v>1.885</v>
      </c>
      <c r="BC97" s="290">
        <v>60</v>
      </c>
      <c r="BD97" s="542">
        <v>0.17100000000000001</v>
      </c>
      <c r="BE97" s="543">
        <v>0.17100000000000001</v>
      </c>
      <c r="BF97" s="536">
        <v>3</v>
      </c>
      <c r="BG97" s="163" t="s">
        <v>8932</v>
      </c>
      <c r="BH97" s="163">
        <v>3</v>
      </c>
      <c r="BK97" s="163">
        <v>0</v>
      </c>
      <c r="BM97" s="163" t="s">
        <v>8905</v>
      </c>
    </row>
    <row r="98" spans="1:65" ht="35.25" customHeight="1">
      <c r="A98" s="163" t="s">
        <v>9042</v>
      </c>
      <c r="B98" s="163" t="s">
        <v>3382</v>
      </c>
      <c r="C98" s="164" t="s">
        <v>8981</v>
      </c>
      <c r="D98" s="1497"/>
      <c r="E98" s="763"/>
      <c r="F98" s="268">
        <v>68</v>
      </c>
      <c r="G98" s="269"/>
      <c r="H98" s="270"/>
      <c r="I98" s="271"/>
      <c r="J98" s="786" t="s">
        <v>3382</v>
      </c>
      <c r="K98" s="787" t="s">
        <v>3381</v>
      </c>
      <c r="L98" s="788" t="s">
        <v>9043</v>
      </c>
      <c r="M98" s="787">
        <v>1</v>
      </c>
      <c r="N98" s="789">
        <v>46</v>
      </c>
      <c r="O98" s="536" t="s">
        <v>4682</v>
      </c>
      <c r="P98" s="536">
        <v>2500</v>
      </c>
      <c r="Q98" s="787">
        <v>20</v>
      </c>
      <c r="R98" s="237">
        <v>23538</v>
      </c>
      <c r="S98" s="302">
        <v>1307.6666666666667</v>
      </c>
      <c r="T98" s="399">
        <v>65.38333333333334</v>
      </c>
      <c r="U98" s="492">
        <v>1307.6666666666667</v>
      </c>
      <c r="V98" s="790">
        <v>0.47466207733333338</v>
      </c>
      <c r="W98" s="791">
        <v>1.9418850000000003</v>
      </c>
      <c r="X98" s="392">
        <v>138</v>
      </c>
      <c r="Y98" s="488">
        <v>4</v>
      </c>
      <c r="Z98" s="895">
        <v>17</v>
      </c>
      <c r="AA98" s="896">
        <v>16</v>
      </c>
      <c r="AB98" s="310">
        <v>171</v>
      </c>
      <c r="AC98" s="897">
        <v>9.5</v>
      </c>
      <c r="AD98" s="843">
        <v>39</v>
      </c>
      <c r="AE98" s="689">
        <v>164</v>
      </c>
      <c r="AF98" s="250">
        <v>7</v>
      </c>
      <c r="AG98" s="313">
        <v>130</v>
      </c>
      <c r="AH98" s="531">
        <v>130</v>
      </c>
      <c r="AI98" s="532">
        <v>0</v>
      </c>
      <c r="AJ98" s="441" t="s">
        <v>8917</v>
      </c>
      <c r="AK98" s="253" t="s">
        <v>3382</v>
      </c>
      <c r="AL98" s="254" t="str">
        <f t="shared" si="3"/>
        <v>TTC053</v>
      </c>
      <c r="AM98" s="255">
        <f t="shared" si="3"/>
        <v>2500</v>
      </c>
      <c r="AN98" s="534" t="s">
        <v>8918</v>
      </c>
      <c r="AO98" s="535">
        <v>2</v>
      </c>
      <c r="AP98" s="536">
        <v>425</v>
      </c>
      <c r="AQ98" s="536">
        <v>136</v>
      </c>
      <c r="AR98" s="537">
        <f t="shared" si="4"/>
        <v>0.90746000000000004</v>
      </c>
      <c r="AS98" s="538">
        <v>952.45787308415902</v>
      </c>
      <c r="AT98" s="536">
        <v>508</v>
      </c>
      <c r="AU98" s="539">
        <v>0.52454102660172341</v>
      </c>
      <c r="AV98" s="521">
        <v>20</v>
      </c>
      <c r="AW98" s="540">
        <v>1026</v>
      </c>
      <c r="AX98" s="536">
        <v>330</v>
      </c>
      <c r="AY98" s="290">
        <v>500</v>
      </c>
      <c r="AZ98" s="290">
        <v>180</v>
      </c>
      <c r="BA98" s="541">
        <v>2.9700000000000001E-2</v>
      </c>
      <c r="BB98" s="541">
        <v>1.885</v>
      </c>
      <c r="BC98" s="290">
        <v>30</v>
      </c>
      <c r="BD98" s="542">
        <v>0.47599999999999998</v>
      </c>
      <c r="BE98" s="543">
        <v>0.47599999999999998</v>
      </c>
      <c r="BF98" s="536">
        <v>3</v>
      </c>
      <c r="BG98" s="163" t="s">
        <v>8953</v>
      </c>
      <c r="BH98" s="163">
        <v>2</v>
      </c>
      <c r="BK98" s="163">
        <v>0</v>
      </c>
      <c r="BM98" s="163" t="s">
        <v>8905</v>
      </c>
    </row>
    <row r="99" spans="1:65" ht="35.25" customHeight="1" thickBot="1">
      <c r="A99" s="163" t="s">
        <v>9044</v>
      </c>
      <c r="B99" s="163" t="s">
        <v>3352</v>
      </c>
      <c r="C99" s="164" t="s">
        <v>8981</v>
      </c>
      <c r="D99" s="1497"/>
      <c r="E99" s="763"/>
      <c r="F99" s="268">
        <v>67</v>
      </c>
      <c r="G99" s="269"/>
      <c r="H99" s="270"/>
      <c r="I99" s="271"/>
      <c r="J99" s="786" t="s">
        <v>3352</v>
      </c>
      <c r="K99" s="787" t="s">
        <v>3351</v>
      </c>
      <c r="L99" s="788" t="s">
        <v>9045</v>
      </c>
      <c r="M99" s="787">
        <v>1</v>
      </c>
      <c r="N99" s="789">
        <v>46</v>
      </c>
      <c r="O99" s="536" t="s">
        <v>4682</v>
      </c>
      <c r="P99" s="536">
        <v>2500</v>
      </c>
      <c r="Q99" s="787">
        <v>20</v>
      </c>
      <c r="R99" s="237">
        <v>27072</v>
      </c>
      <c r="S99" s="302">
        <v>1504</v>
      </c>
      <c r="T99" s="399">
        <v>75.2</v>
      </c>
      <c r="U99" s="492">
        <v>1504</v>
      </c>
      <c r="V99" s="790">
        <v>0.545927936</v>
      </c>
      <c r="W99" s="791">
        <v>2.2334400000000003</v>
      </c>
      <c r="X99" s="392">
        <v>138</v>
      </c>
      <c r="Y99" s="488">
        <v>4</v>
      </c>
      <c r="Z99" s="895">
        <v>19</v>
      </c>
      <c r="AA99" s="896">
        <v>19</v>
      </c>
      <c r="AB99" s="310">
        <v>176</v>
      </c>
      <c r="AC99" s="897">
        <v>12.2</v>
      </c>
      <c r="AD99" s="843">
        <v>58</v>
      </c>
      <c r="AE99" s="689">
        <v>167</v>
      </c>
      <c r="AF99" s="250">
        <v>9</v>
      </c>
      <c r="AG99" s="313">
        <v>130</v>
      </c>
      <c r="AH99" s="531">
        <v>130</v>
      </c>
      <c r="AI99" s="532">
        <v>0</v>
      </c>
      <c r="AJ99" s="441" t="s">
        <v>8917</v>
      </c>
      <c r="AK99" s="253" t="s">
        <v>3352</v>
      </c>
      <c r="AL99" s="254" t="str">
        <f t="shared" si="3"/>
        <v>TTC053</v>
      </c>
      <c r="AM99" s="255">
        <f t="shared" si="3"/>
        <v>2500</v>
      </c>
      <c r="AN99" s="534" t="s">
        <v>8918</v>
      </c>
      <c r="AO99" s="535">
        <v>2</v>
      </c>
      <c r="AP99" s="536">
        <v>425</v>
      </c>
      <c r="AQ99" s="536">
        <v>136</v>
      </c>
      <c r="AR99" s="537">
        <f t="shared" si="4"/>
        <v>0.90746000000000004</v>
      </c>
      <c r="AS99" s="538">
        <v>952.45787308415902</v>
      </c>
      <c r="AT99" s="536">
        <v>508</v>
      </c>
      <c r="AU99" s="539">
        <v>0.52454102660172341</v>
      </c>
      <c r="AV99" s="521">
        <v>20</v>
      </c>
      <c r="AW99" s="540">
        <v>1026</v>
      </c>
      <c r="AX99" s="536">
        <v>330</v>
      </c>
      <c r="AY99" s="290">
        <v>500</v>
      </c>
      <c r="AZ99" s="290">
        <v>180</v>
      </c>
      <c r="BA99" s="541">
        <v>2.9700000000000001E-2</v>
      </c>
      <c r="BB99" s="541">
        <v>1.885</v>
      </c>
      <c r="BC99" s="290">
        <v>30</v>
      </c>
      <c r="BD99" s="542">
        <v>0.47599999999999998</v>
      </c>
      <c r="BE99" s="543">
        <v>0.47599999999999998</v>
      </c>
      <c r="BF99" s="536">
        <v>3</v>
      </c>
      <c r="BG99" s="163" t="s">
        <v>8953</v>
      </c>
      <c r="BH99" s="163">
        <v>2</v>
      </c>
      <c r="BK99" s="163">
        <v>0</v>
      </c>
      <c r="BM99" s="163" t="s">
        <v>8905</v>
      </c>
    </row>
    <row r="100" spans="1:65" ht="35.25" hidden="1" customHeight="1">
      <c r="A100" s="163" t="s">
        <v>9046</v>
      </c>
      <c r="B100" s="163" t="s">
        <v>359</v>
      </c>
      <c r="C100" s="164" t="s">
        <v>8981</v>
      </c>
      <c r="D100" s="1497"/>
      <c r="E100" s="763"/>
      <c r="F100" s="268">
        <v>54</v>
      </c>
      <c r="G100" s="269"/>
      <c r="H100" s="271"/>
      <c r="I100" s="440"/>
      <c r="J100" s="764" t="s">
        <v>359</v>
      </c>
      <c r="K100" s="787" t="s">
        <v>358</v>
      </c>
      <c r="L100" s="788" t="s">
        <v>9047</v>
      </c>
      <c r="M100" s="787">
        <v>1</v>
      </c>
      <c r="N100" s="789">
        <v>70</v>
      </c>
      <c r="O100" s="536" t="s">
        <v>4482</v>
      </c>
      <c r="P100" s="898">
        <v>1100</v>
      </c>
      <c r="Q100" s="787">
        <v>50</v>
      </c>
      <c r="R100" s="237">
        <v>0</v>
      </c>
      <c r="S100" s="302">
        <v>0</v>
      </c>
      <c r="T100" s="399">
        <v>0</v>
      </c>
      <c r="U100" s="492">
        <v>0</v>
      </c>
      <c r="V100" s="790">
        <v>0</v>
      </c>
      <c r="W100" s="791">
        <v>0</v>
      </c>
      <c r="X100" s="392">
        <v>82</v>
      </c>
      <c r="Y100" s="488">
        <v>4</v>
      </c>
      <c r="Z100" s="489">
        <v>0</v>
      </c>
      <c r="AA100" s="787">
        <v>0</v>
      </c>
      <c r="AB100" s="310">
        <v>82</v>
      </c>
      <c r="AC100" s="789" t="s">
        <v>8898</v>
      </c>
      <c r="AD100" s="789" t="s">
        <v>8898</v>
      </c>
      <c r="AE100" s="689">
        <v>82</v>
      </c>
      <c r="AF100" s="250">
        <v>0</v>
      </c>
      <c r="AG100" s="313">
        <v>80</v>
      </c>
      <c r="AH100" s="531">
        <v>80</v>
      </c>
      <c r="AI100" s="532">
        <v>0</v>
      </c>
      <c r="AJ100" s="441" t="s">
        <v>8917</v>
      </c>
      <c r="AK100" s="253" t="s">
        <v>359</v>
      </c>
      <c r="AL100" s="254" t="str">
        <f t="shared" si="3"/>
        <v>TTC056</v>
      </c>
      <c r="AM100" s="255">
        <f t="shared" si="3"/>
        <v>1100</v>
      </c>
      <c r="AN100" s="534" t="s">
        <v>8982</v>
      </c>
      <c r="AO100" s="535">
        <v>1</v>
      </c>
      <c r="AP100" s="536">
        <v>440</v>
      </c>
      <c r="AQ100" s="536">
        <v>78</v>
      </c>
      <c r="AR100" s="537">
        <f t="shared" si="4"/>
        <v>0.26941199999999998</v>
      </c>
      <c r="AS100" s="538">
        <v>900.7133031911178</v>
      </c>
      <c r="AT100" s="536">
        <v>508</v>
      </c>
      <c r="AU100" s="539">
        <v>0.73864564310424186</v>
      </c>
      <c r="AV100" s="521">
        <v>50</v>
      </c>
      <c r="AW100" s="540">
        <v>1026</v>
      </c>
      <c r="AX100" s="536">
        <v>330</v>
      </c>
      <c r="AY100" s="290">
        <v>500</v>
      </c>
      <c r="AZ100" s="290">
        <v>180</v>
      </c>
      <c r="BA100" s="541">
        <v>2.9700000000000001E-2</v>
      </c>
      <c r="BB100" s="541">
        <v>1.885</v>
      </c>
      <c r="BC100" s="290">
        <v>60</v>
      </c>
      <c r="BD100" s="542">
        <v>0.19900000000000001</v>
      </c>
      <c r="BE100" s="543">
        <v>0.19900000000000001</v>
      </c>
      <c r="BF100" s="536">
        <v>3</v>
      </c>
      <c r="BG100" s="163" t="s">
        <v>8932</v>
      </c>
      <c r="BH100" s="163">
        <v>3</v>
      </c>
      <c r="BK100" s="163">
        <v>0</v>
      </c>
      <c r="BM100" s="163" t="s">
        <v>8905</v>
      </c>
    </row>
    <row r="101" spans="1:65" ht="35.25" customHeight="1" thickBot="1">
      <c r="A101" s="163" t="s">
        <v>9048</v>
      </c>
      <c r="B101" s="163" t="s">
        <v>343</v>
      </c>
      <c r="C101" s="164" t="s">
        <v>8981</v>
      </c>
      <c r="D101" s="1518"/>
      <c r="E101" s="763"/>
      <c r="F101" s="268">
        <v>78</v>
      </c>
      <c r="G101" s="269"/>
      <c r="H101" s="270"/>
      <c r="I101" s="271"/>
      <c r="J101" s="786" t="s">
        <v>343</v>
      </c>
      <c r="K101" s="787" t="s">
        <v>342</v>
      </c>
      <c r="L101" s="788" t="s">
        <v>7929</v>
      </c>
      <c r="M101" s="787">
        <v>1</v>
      </c>
      <c r="N101" s="789">
        <v>63</v>
      </c>
      <c r="O101" s="536" t="s">
        <v>4506</v>
      </c>
      <c r="P101" s="898">
        <v>650</v>
      </c>
      <c r="Q101" s="787">
        <v>40</v>
      </c>
      <c r="R101" s="237">
        <v>13290</v>
      </c>
      <c r="S101" s="302">
        <v>738.33333333333337</v>
      </c>
      <c r="T101" s="399">
        <v>18.458333333333336</v>
      </c>
      <c r="U101" s="492">
        <v>738.33333333333337</v>
      </c>
      <c r="V101" s="790">
        <v>0.44941716169230772</v>
      </c>
      <c r="W101" s="791">
        <v>0.5482125000000001</v>
      </c>
      <c r="X101" s="392">
        <v>42</v>
      </c>
      <c r="Y101" s="488">
        <v>4</v>
      </c>
      <c r="Z101" s="489">
        <v>5</v>
      </c>
      <c r="AA101" s="787">
        <v>5</v>
      </c>
      <c r="AB101" s="310">
        <v>52</v>
      </c>
      <c r="AC101" s="789" t="s">
        <v>8898</v>
      </c>
      <c r="AD101" s="789" t="s">
        <v>8898</v>
      </c>
      <c r="AE101" s="689">
        <v>50</v>
      </c>
      <c r="AF101" s="250">
        <v>2</v>
      </c>
      <c r="AG101" s="313">
        <v>40</v>
      </c>
      <c r="AH101" s="531">
        <v>40</v>
      </c>
      <c r="AI101" s="532">
        <v>0</v>
      </c>
      <c r="AJ101" s="894" t="s">
        <v>9049</v>
      </c>
      <c r="AK101" s="253" t="s">
        <v>343</v>
      </c>
      <c r="AL101" s="254" t="str">
        <f t="shared" si="3"/>
        <v>TTC057</v>
      </c>
      <c r="AM101" s="255">
        <f t="shared" si="3"/>
        <v>650</v>
      </c>
      <c r="AN101" s="534" t="s">
        <v>8982</v>
      </c>
      <c r="AO101" s="535">
        <v>1.2</v>
      </c>
      <c r="AP101" s="536">
        <v>433</v>
      </c>
      <c r="AQ101" s="536">
        <v>97</v>
      </c>
      <c r="AR101" s="537">
        <f t="shared" si="4"/>
        <v>0.39564942000000003</v>
      </c>
      <c r="AS101" s="538">
        <v>946.14119907719055</v>
      </c>
      <c r="AT101" s="536">
        <v>508</v>
      </c>
      <c r="AU101" s="539">
        <v>0.76077452609433871</v>
      </c>
      <c r="AV101" s="521">
        <v>40</v>
      </c>
      <c r="AW101" s="540">
        <v>1026</v>
      </c>
      <c r="AX101" s="536">
        <v>330</v>
      </c>
      <c r="AY101" s="290">
        <v>500</v>
      </c>
      <c r="AZ101" s="290">
        <v>180</v>
      </c>
      <c r="BA101" s="541">
        <v>2.9700000000000001E-2</v>
      </c>
      <c r="BB101" s="541">
        <v>1.885</v>
      </c>
      <c r="BC101" s="290">
        <v>68</v>
      </c>
      <c r="BD101" s="542">
        <v>0.30099999999999999</v>
      </c>
      <c r="BE101" s="543">
        <v>0.30099999999999999</v>
      </c>
      <c r="BF101" s="536">
        <v>3</v>
      </c>
      <c r="BG101" s="163" t="s">
        <v>8953</v>
      </c>
      <c r="BH101" s="163">
        <v>2</v>
      </c>
      <c r="BK101" s="163">
        <v>0</v>
      </c>
      <c r="BM101" s="163" t="s">
        <v>8905</v>
      </c>
    </row>
    <row r="102" spans="1:65" ht="35.25" customHeight="1">
      <c r="A102" s="163" t="s">
        <v>9050</v>
      </c>
      <c r="B102" s="163" t="s">
        <v>228</v>
      </c>
      <c r="C102" s="164" t="s">
        <v>8981</v>
      </c>
      <c r="D102" s="1497"/>
      <c r="E102" s="1453" t="s">
        <v>8902</v>
      </c>
      <c r="F102" s="1525">
        <v>55</v>
      </c>
      <c r="G102" s="294"/>
      <c r="H102" s="608"/>
      <c r="I102" s="294"/>
      <c r="J102" s="797" t="s">
        <v>228</v>
      </c>
      <c r="K102" s="798" t="s">
        <v>227</v>
      </c>
      <c r="L102" s="799" t="s">
        <v>9051</v>
      </c>
      <c r="M102" s="798">
        <v>1</v>
      </c>
      <c r="N102" s="800">
        <v>45</v>
      </c>
      <c r="O102" s="620" t="s">
        <v>4500</v>
      </c>
      <c r="P102" s="620">
        <v>2500</v>
      </c>
      <c r="Q102" s="798">
        <v>16</v>
      </c>
      <c r="R102" s="237">
        <v>53260</v>
      </c>
      <c r="S102" s="302">
        <v>2958.8888888888887</v>
      </c>
      <c r="T102" s="303">
        <v>184.93055555555554</v>
      </c>
      <c r="U102" s="304">
        <v>2958.8888888888887</v>
      </c>
      <c r="V102" s="790">
        <v>1.041473971911111</v>
      </c>
      <c r="W102" s="833">
        <v>7.8040694444444441</v>
      </c>
      <c r="X102" s="392">
        <v>178</v>
      </c>
      <c r="Y102" s="488">
        <v>4</v>
      </c>
      <c r="Z102" s="895">
        <v>47</v>
      </c>
      <c r="AA102" s="896">
        <v>46</v>
      </c>
      <c r="AB102" s="310">
        <v>271</v>
      </c>
      <c r="AC102" s="792">
        <v>6.4</v>
      </c>
      <c r="AD102" s="843">
        <v>73</v>
      </c>
      <c r="AE102" s="803">
        <v>251</v>
      </c>
      <c r="AF102" s="250">
        <v>20</v>
      </c>
      <c r="AG102" s="313">
        <v>170</v>
      </c>
      <c r="AH102" s="616">
        <v>170</v>
      </c>
      <c r="AI102" s="617">
        <v>0</v>
      </c>
      <c r="AJ102" s="441"/>
      <c r="AK102" s="253" t="s">
        <v>228</v>
      </c>
      <c r="AL102" s="254" t="str">
        <f t="shared" si="3"/>
        <v>TTC058</v>
      </c>
      <c r="AM102" s="255">
        <f t="shared" si="3"/>
        <v>2500</v>
      </c>
      <c r="AN102" s="618" t="s">
        <v>8982</v>
      </c>
      <c r="AO102" s="619">
        <v>1</v>
      </c>
      <c r="AP102" s="620">
        <v>496</v>
      </c>
      <c r="AQ102" s="620">
        <v>226</v>
      </c>
      <c r="AR102" s="621">
        <f t="shared" si="4"/>
        <v>0.8799536</v>
      </c>
      <c r="AS102" s="622">
        <v>955.20195466380221</v>
      </c>
      <c r="AT102" s="620">
        <v>508</v>
      </c>
      <c r="AU102" s="623">
        <v>0.81026999605433736</v>
      </c>
      <c r="AV102" s="624">
        <v>16</v>
      </c>
      <c r="AW102" s="625">
        <v>2546</v>
      </c>
      <c r="AX102" s="620">
        <v>370</v>
      </c>
      <c r="AY102" s="626">
        <v>570</v>
      </c>
      <c r="AZ102" s="626">
        <v>200</v>
      </c>
      <c r="BA102" s="627">
        <v>4.2200000000000001E-2</v>
      </c>
      <c r="BB102" s="627">
        <v>2.085</v>
      </c>
      <c r="BC102" s="325">
        <v>50</v>
      </c>
      <c r="BD102" s="628">
        <v>0.71299999999999997</v>
      </c>
      <c r="BE102" s="629">
        <v>0.71299999999999997</v>
      </c>
      <c r="BF102" s="620">
        <v>3</v>
      </c>
      <c r="BG102" s="163" t="s">
        <v>8953</v>
      </c>
      <c r="BH102" s="163">
        <v>2</v>
      </c>
      <c r="BK102" s="163">
        <v>0</v>
      </c>
      <c r="BM102" s="163" t="s">
        <v>8905</v>
      </c>
    </row>
    <row r="103" spans="1:65" ht="35.25" customHeight="1">
      <c r="A103" s="163" t="s">
        <v>9052</v>
      </c>
      <c r="B103" s="163" t="s">
        <v>234</v>
      </c>
      <c r="C103" s="164" t="s">
        <v>8981</v>
      </c>
      <c r="D103" s="1497"/>
      <c r="E103" s="1453">
        <v>0</v>
      </c>
      <c r="F103" s="1507">
        <v>0</v>
      </c>
      <c r="G103" s="231"/>
      <c r="H103" s="230"/>
      <c r="I103" s="231"/>
      <c r="J103" s="757" t="s">
        <v>234</v>
      </c>
      <c r="K103" s="490" t="s">
        <v>233</v>
      </c>
      <c r="L103" s="758" t="s">
        <v>7924</v>
      </c>
      <c r="M103" s="490">
        <v>1</v>
      </c>
      <c r="N103" s="899">
        <v>45</v>
      </c>
      <c r="O103" s="642" t="s">
        <v>4500</v>
      </c>
      <c r="P103" s="642">
        <v>2500</v>
      </c>
      <c r="Q103" s="490">
        <v>16</v>
      </c>
      <c r="R103" s="237">
        <v>125</v>
      </c>
      <c r="S103" s="302">
        <v>6.9444444444444446</v>
      </c>
      <c r="T103" s="399">
        <v>0.43402777777777779</v>
      </c>
      <c r="U103" s="492">
        <v>6.9444444444444446</v>
      </c>
      <c r="V103" s="790">
        <v>2.4443155555555554E-3</v>
      </c>
      <c r="W103" s="900">
        <v>1.8315972222222223E-2</v>
      </c>
      <c r="X103" s="392">
        <v>178</v>
      </c>
      <c r="Y103" s="488">
        <v>4</v>
      </c>
      <c r="Z103" s="761">
        <v>1</v>
      </c>
      <c r="AA103" s="490">
        <v>0</v>
      </c>
      <c r="AB103" s="310">
        <v>179</v>
      </c>
      <c r="AC103" s="759" t="s">
        <v>8898</v>
      </c>
      <c r="AD103" s="759" t="s">
        <v>8898</v>
      </c>
      <c r="AE103" s="762">
        <v>179</v>
      </c>
      <c r="AF103" s="250">
        <v>0</v>
      </c>
      <c r="AG103" s="313">
        <v>170</v>
      </c>
      <c r="AH103" s="638">
        <v>170</v>
      </c>
      <c r="AI103" s="639">
        <v>0</v>
      </c>
      <c r="AJ103" s="901"/>
      <c r="AK103" s="253" t="s">
        <v>234</v>
      </c>
      <c r="AL103" s="254" t="str">
        <f t="shared" si="3"/>
        <v>TTC058</v>
      </c>
      <c r="AM103" s="255">
        <f t="shared" si="3"/>
        <v>2500</v>
      </c>
      <c r="AN103" s="640" t="s">
        <v>8982</v>
      </c>
      <c r="AO103" s="641">
        <v>1</v>
      </c>
      <c r="AP103" s="642">
        <v>496</v>
      </c>
      <c r="AQ103" s="642">
        <v>226</v>
      </c>
      <c r="AR103" s="643">
        <f t="shared" si="4"/>
        <v>0.8799536</v>
      </c>
      <c r="AS103" s="644">
        <v>955.20195466380221</v>
      </c>
      <c r="AT103" s="642">
        <v>508</v>
      </c>
      <c r="AU103" s="645">
        <v>0.81481569028185119</v>
      </c>
      <c r="AV103" s="646">
        <v>16</v>
      </c>
      <c r="AW103" s="647">
        <v>2546</v>
      </c>
      <c r="AX103" s="642">
        <v>370</v>
      </c>
      <c r="AY103" s="648">
        <v>570</v>
      </c>
      <c r="AZ103" s="648">
        <v>200</v>
      </c>
      <c r="BA103" s="649">
        <v>4.2200000000000001E-2</v>
      </c>
      <c r="BB103" s="649">
        <v>2.085</v>
      </c>
      <c r="BC103" s="264">
        <v>0</v>
      </c>
      <c r="BD103" s="650">
        <v>0.71699999999999997</v>
      </c>
      <c r="BE103" s="651">
        <v>0.71699999999999997</v>
      </c>
      <c r="BF103" s="642">
        <v>3</v>
      </c>
      <c r="BG103" s="163" t="s">
        <v>8953</v>
      </c>
      <c r="BH103" s="163">
        <v>2</v>
      </c>
      <c r="BK103" s="163">
        <v>0</v>
      </c>
      <c r="BM103" s="163" t="s">
        <v>8905</v>
      </c>
    </row>
    <row r="104" spans="1:65" ht="35.25" customHeight="1">
      <c r="A104" s="163" t="s">
        <v>9053</v>
      </c>
      <c r="B104" s="163" t="s">
        <v>295</v>
      </c>
      <c r="C104" s="164" t="s">
        <v>8981</v>
      </c>
      <c r="D104" s="1497"/>
      <c r="E104" s="1453" t="s">
        <v>8902</v>
      </c>
      <c r="F104" s="494">
        <v>50</v>
      </c>
      <c r="G104" s="902"/>
      <c r="H104" s="608"/>
      <c r="I104" s="294"/>
      <c r="J104" s="832" t="s">
        <v>295</v>
      </c>
      <c r="K104" s="798" t="s">
        <v>294</v>
      </c>
      <c r="L104" s="799" t="s">
        <v>5762</v>
      </c>
      <c r="M104" s="798">
        <v>1</v>
      </c>
      <c r="N104" s="800">
        <v>45</v>
      </c>
      <c r="O104" s="620" t="s">
        <v>4568</v>
      </c>
      <c r="P104" s="620">
        <v>2500</v>
      </c>
      <c r="Q104" s="798">
        <v>18</v>
      </c>
      <c r="R104" s="237">
        <v>33761</v>
      </c>
      <c r="S104" s="302">
        <v>1875.6111111111111</v>
      </c>
      <c r="T104" s="303">
        <v>104.20061728395062</v>
      </c>
      <c r="U104" s="304">
        <v>1875.6111111111111</v>
      </c>
      <c r="V104" s="790">
        <v>0.64757694334666671</v>
      </c>
      <c r="W104" s="833">
        <v>4.3972660493827167</v>
      </c>
      <c r="X104" s="392">
        <v>161</v>
      </c>
      <c r="Y104" s="488">
        <v>4</v>
      </c>
      <c r="Z104" s="489">
        <v>27</v>
      </c>
      <c r="AA104" s="787">
        <v>26</v>
      </c>
      <c r="AB104" s="310">
        <v>214</v>
      </c>
      <c r="AC104" s="792">
        <v>11.5</v>
      </c>
      <c r="AD104" s="903">
        <v>74</v>
      </c>
      <c r="AE104" s="803">
        <v>202</v>
      </c>
      <c r="AF104" s="250">
        <v>12</v>
      </c>
      <c r="AG104" s="313">
        <v>150</v>
      </c>
      <c r="AH104" s="616">
        <v>150</v>
      </c>
      <c r="AI104" s="617">
        <v>0</v>
      </c>
      <c r="AJ104" s="441"/>
      <c r="AK104" s="253" t="s">
        <v>295</v>
      </c>
      <c r="AL104" s="254" t="str">
        <f t="shared" si="3"/>
        <v>HAN041</v>
      </c>
      <c r="AM104" s="255">
        <f t="shared" si="3"/>
        <v>2500</v>
      </c>
      <c r="AN104" s="618" t="s">
        <v>9020</v>
      </c>
      <c r="AO104" s="619">
        <v>1.4</v>
      </c>
      <c r="AP104" s="620">
        <v>510</v>
      </c>
      <c r="AQ104" s="620">
        <v>154</v>
      </c>
      <c r="AR104" s="621">
        <f t="shared" si="4"/>
        <v>0.86315459999999999</v>
      </c>
      <c r="AS104" s="622">
        <v>1171.2115731240056</v>
      </c>
      <c r="AT104" s="620">
        <v>508</v>
      </c>
      <c r="AU104" s="623">
        <v>0.63603901317330647</v>
      </c>
      <c r="AV104" s="624">
        <v>18</v>
      </c>
      <c r="AW104" s="625">
        <v>2546</v>
      </c>
      <c r="AX104" s="620">
        <v>370</v>
      </c>
      <c r="AY104" s="626">
        <v>570</v>
      </c>
      <c r="AZ104" s="626">
        <v>200</v>
      </c>
      <c r="BA104" s="627">
        <v>4.2200000000000001E-2</v>
      </c>
      <c r="BB104" s="627">
        <v>2.085</v>
      </c>
      <c r="BC104" s="325">
        <v>45</v>
      </c>
      <c r="BD104" s="628">
        <v>0.54900000000000004</v>
      </c>
      <c r="BE104" s="629">
        <v>0.54900000000000004</v>
      </c>
      <c r="BF104" s="620">
        <v>1</v>
      </c>
      <c r="BG104" s="163" t="s">
        <v>8953</v>
      </c>
      <c r="BH104" s="163">
        <v>2</v>
      </c>
      <c r="BK104" s="163">
        <v>0</v>
      </c>
      <c r="BM104" s="163" t="s">
        <v>8905</v>
      </c>
    </row>
    <row r="105" spans="1:65" ht="35.25" customHeight="1">
      <c r="A105" s="163" t="s">
        <v>9054</v>
      </c>
      <c r="B105" s="163" t="s">
        <v>251</v>
      </c>
      <c r="C105" s="164" t="s">
        <v>8981</v>
      </c>
      <c r="D105" s="1497"/>
      <c r="E105" s="1453">
        <v>0</v>
      </c>
      <c r="F105" s="494">
        <v>50</v>
      </c>
      <c r="G105" s="904"/>
      <c r="H105" s="230"/>
      <c r="I105" s="231"/>
      <c r="J105" s="834" t="s">
        <v>251</v>
      </c>
      <c r="K105" s="490" t="s">
        <v>250</v>
      </c>
      <c r="L105" s="758" t="s">
        <v>5193</v>
      </c>
      <c r="M105" s="490">
        <v>1</v>
      </c>
      <c r="N105" s="899">
        <v>45</v>
      </c>
      <c r="O105" s="642" t="s">
        <v>4568</v>
      </c>
      <c r="P105" s="642">
        <v>2500</v>
      </c>
      <c r="Q105" s="490">
        <v>1000</v>
      </c>
      <c r="R105" s="237">
        <v>62156</v>
      </c>
      <c r="S105" s="302">
        <v>3453.1111111111113</v>
      </c>
      <c r="T105" s="399">
        <v>3.4531111111111112</v>
      </c>
      <c r="U105" s="492">
        <v>3453.1111111111113</v>
      </c>
      <c r="V105" s="790">
        <v>1.1922274959466668</v>
      </c>
      <c r="W105" s="900">
        <v>0.10255740000000001</v>
      </c>
      <c r="X105" s="392">
        <v>3</v>
      </c>
      <c r="Y105" s="488">
        <v>4</v>
      </c>
      <c r="Z105" s="761">
        <v>1</v>
      </c>
      <c r="AA105" s="490">
        <v>1</v>
      </c>
      <c r="AB105" s="310">
        <v>5</v>
      </c>
      <c r="AC105" s="759"/>
      <c r="AD105" s="759"/>
      <c r="AE105" s="762">
        <v>5</v>
      </c>
      <c r="AF105" s="250">
        <v>0</v>
      </c>
      <c r="AG105" s="313">
        <v>3</v>
      </c>
      <c r="AH105" s="638">
        <v>3</v>
      </c>
      <c r="AI105" s="639">
        <v>0</v>
      </c>
      <c r="AJ105" s="441"/>
      <c r="AK105" s="253" t="s">
        <v>251</v>
      </c>
      <c r="AL105" s="254" t="str">
        <f t="shared" si="3"/>
        <v>HAN041</v>
      </c>
      <c r="AM105" s="255">
        <f t="shared" si="3"/>
        <v>2500</v>
      </c>
      <c r="AN105" s="640" t="s">
        <v>9020</v>
      </c>
      <c r="AO105" s="641">
        <v>1.4</v>
      </c>
      <c r="AP105" s="642">
        <v>510</v>
      </c>
      <c r="AQ105" s="642">
        <v>154</v>
      </c>
      <c r="AR105" s="643">
        <f t="shared" si="4"/>
        <v>0.86315459999999999</v>
      </c>
      <c r="AS105" s="644">
        <v>1171.2115731240056</v>
      </c>
      <c r="AT105" s="642">
        <v>508</v>
      </c>
      <c r="AU105" s="645">
        <v>9.2683280608132079E-3</v>
      </c>
      <c r="AV105" s="646">
        <v>1000</v>
      </c>
      <c r="AW105" s="647">
        <v>1026</v>
      </c>
      <c r="AX105" s="642">
        <v>330</v>
      </c>
      <c r="AY105" s="648">
        <v>500</v>
      </c>
      <c r="AZ105" s="648">
        <v>180</v>
      </c>
      <c r="BA105" s="649">
        <v>2.9700000000000001E-2</v>
      </c>
      <c r="BB105" s="649">
        <v>1.885</v>
      </c>
      <c r="BC105" s="264">
        <v>0</v>
      </c>
      <c r="BD105" s="650">
        <v>8.0000000000000002E-3</v>
      </c>
      <c r="BE105" s="651">
        <v>8.0000000000000002E-3</v>
      </c>
      <c r="BF105" s="642">
        <v>1</v>
      </c>
      <c r="BG105" s="163" t="s">
        <v>8953</v>
      </c>
      <c r="BH105" s="163">
        <v>2</v>
      </c>
      <c r="BK105" s="163">
        <v>0</v>
      </c>
      <c r="BM105" s="163" t="s">
        <v>8905</v>
      </c>
    </row>
    <row r="106" spans="1:65" ht="35.25" customHeight="1" thickBot="1">
      <c r="A106" s="163" t="s">
        <v>9055</v>
      </c>
      <c r="B106" s="163" t="s">
        <v>319</v>
      </c>
      <c r="C106" s="164" t="s">
        <v>8981</v>
      </c>
      <c r="D106" s="1497"/>
      <c r="E106" s="763"/>
      <c r="F106" s="268">
        <v>51</v>
      </c>
      <c r="G106" s="269"/>
      <c r="H106" s="270"/>
      <c r="I106" s="271"/>
      <c r="J106" s="905" t="s">
        <v>319</v>
      </c>
      <c r="K106" s="787" t="s">
        <v>318</v>
      </c>
      <c r="L106" s="788" t="s">
        <v>5735</v>
      </c>
      <c r="M106" s="787">
        <v>1</v>
      </c>
      <c r="N106" s="789">
        <v>45</v>
      </c>
      <c r="O106" s="536" t="s">
        <v>4568</v>
      </c>
      <c r="P106" s="536">
        <v>2500</v>
      </c>
      <c r="Q106" s="787">
        <v>18</v>
      </c>
      <c r="R106" s="237">
        <v>33759</v>
      </c>
      <c r="S106" s="302">
        <v>1875.5</v>
      </c>
      <c r="T106" s="399">
        <v>104.19444444444444</v>
      </c>
      <c r="U106" s="492">
        <v>1875.5</v>
      </c>
      <c r="V106" s="790">
        <v>0.64753858092000005</v>
      </c>
      <c r="W106" s="791">
        <v>4.3970055555555554</v>
      </c>
      <c r="X106" s="392">
        <v>161</v>
      </c>
      <c r="Y106" s="488">
        <v>4</v>
      </c>
      <c r="Z106" s="489">
        <v>27</v>
      </c>
      <c r="AA106" s="787">
        <v>26</v>
      </c>
      <c r="AB106" s="310">
        <v>214</v>
      </c>
      <c r="AC106" s="792">
        <v>11.4</v>
      </c>
      <c r="AD106" s="843">
        <v>75</v>
      </c>
      <c r="AE106" s="689">
        <v>202</v>
      </c>
      <c r="AF106" s="250">
        <v>12</v>
      </c>
      <c r="AG106" s="313">
        <v>150</v>
      </c>
      <c r="AH106" s="531">
        <v>150</v>
      </c>
      <c r="AI106" s="532">
        <v>0</v>
      </c>
      <c r="AJ106" s="441"/>
      <c r="AK106" s="253" t="s">
        <v>319</v>
      </c>
      <c r="AL106" s="254" t="str">
        <f t="shared" si="3"/>
        <v>HAN041</v>
      </c>
      <c r="AM106" s="255">
        <f t="shared" si="3"/>
        <v>2500</v>
      </c>
      <c r="AN106" s="534" t="s">
        <v>9020</v>
      </c>
      <c r="AO106" s="535">
        <v>1.4</v>
      </c>
      <c r="AP106" s="536">
        <v>510</v>
      </c>
      <c r="AQ106" s="536">
        <v>154</v>
      </c>
      <c r="AR106" s="537">
        <f t="shared" si="4"/>
        <v>0.86315459999999999</v>
      </c>
      <c r="AS106" s="538">
        <v>1171.2115731240056</v>
      </c>
      <c r="AT106" s="536">
        <v>508</v>
      </c>
      <c r="AU106" s="539">
        <v>0.63603901317330647</v>
      </c>
      <c r="AV106" s="521">
        <v>18</v>
      </c>
      <c r="AW106" s="540">
        <v>2546</v>
      </c>
      <c r="AX106" s="536">
        <v>370</v>
      </c>
      <c r="AY106" s="290">
        <v>570</v>
      </c>
      <c r="AZ106" s="290">
        <v>200</v>
      </c>
      <c r="BA106" s="541">
        <v>4.2200000000000001E-2</v>
      </c>
      <c r="BB106" s="541">
        <v>2.085</v>
      </c>
      <c r="BC106" s="290">
        <v>45</v>
      </c>
      <c r="BD106" s="542">
        <v>0.54900000000000004</v>
      </c>
      <c r="BE106" s="543">
        <v>0.54900000000000004</v>
      </c>
      <c r="BF106" s="536">
        <v>1</v>
      </c>
      <c r="BG106" s="163" t="s">
        <v>8953</v>
      </c>
      <c r="BH106" s="163">
        <v>2</v>
      </c>
      <c r="BK106" s="163">
        <v>0</v>
      </c>
      <c r="BM106" s="163" t="s">
        <v>8905</v>
      </c>
    </row>
    <row r="107" spans="1:65" ht="35.25" customHeight="1">
      <c r="A107" s="163" t="s">
        <v>9056</v>
      </c>
      <c r="B107" s="163" t="s">
        <v>2759</v>
      </c>
      <c r="C107" s="164" t="s">
        <v>8981</v>
      </c>
      <c r="D107" s="1519"/>
      <c r="E107" s="763"/>
      <c r="F107" s="268">
        <v>92</v>
      </c>
      <c r="G107" s="269"/>
      <c r="H107" s="270"/>
      <c r="I107" s="271"/>
      <c r="J107" s="786" t="s">
        <v>2759</v>
      </c>
      <c r="K107" s="787" t="s">
        <v>2758</v>
      </c>
      <c r="L107" s="788" t="s">
        <v>4821</v>
      </c>
      <c r="M107" s="787">
        <v>1</v>
      </c>
      <c r="N107" s="789">
        <v>52</v>
      </c>
      <c r="O107" s="536" t="s">
        <v>4530</v>
      </c>
      <c r="P107" s="906">
        <v>1250</v>
      </c>
      <c r="Q107" s="787">
        <v>12</v>
      </c>
      <c r="R107" s="237">
        <v>3572</v>
      </c>
      <c r="S107" s="302">
        <v>198.44444444444446</v>
      </c>
      <c r="T107" s="399">
        <v>16.537037037037038</v>
      </c>
      <c r="U107" s="492">
        <v>198.44444444444446</v>
      </c>
      <c r="V107" s="790">
        <v>0.1800973442986667</v>
      </c>
      <c r="W107" s="791">
        <v>0.69786296296296302</v>
      </c>
      <c r="X107" s="392">
        <v>92</v>
      </c>
      <c r="Y107" s="488">
        <v>4</v>
      </c>
      <c r="Z107" s="489">
        <v>5</v>
      </c>
      <c r="AA107" s="787">
        <v>4</v>
      </c>
      <c r="AB107" s="310">
        <v>101</v>
      </c>
      <c r="AC107" s="759" t="s">
        <v>8898</v>
      </c>
      <c r="AD107" s="759" t="s">
        <v>8898</v>
      </c>
      <c r="AE107" s="689">
        <v>99</v>
      </c>
      <c r="AF107" s="250">
        <v>2</v>
      </c>
      <c r="AG107" s="313">
        <v>90</v>
      </c>
      <c r="AH107" s="531">
        <v>90</v>
      </c>
      <c r="AI107" s="532">
        <v>0</v>
      </c>
      <c r="AJ107" s="894" t="s">
        <v>9057</v>
      </c>
      <c r="AK107" s="253" t="s">
        <v>2759</v>
      </c>
      <c r="AL107" s="254" t="str">
        <f t="shared" si="3"/>
        <v>TTC063</v>
      </c>
      <c r="AM107" s="255">
        <f t="shared" si="3"/>
        <v>1250</v>
      </c>
      <c r="AN107" s="534" t="s">
        <v>9058</v>
      </c>
      <c r="AO107" s="535">
        <v>1.4</v>
      </c>
      <c r="AP107" s="536">
        <v>561</v>
      </c>
      <c r="AQ107" s="536">
        <v>184</v>
      </c>
      <c r="AR107" s="537">
        <f t="shared" si="4"/>
        <v>1.13443176</v>
      </c>
      <c r="AS107" s="538">
        <v>1061.0658751669712</v>
      </c>
      <c r="AT107" s="536">
        <v>508</v>
      </c>
      <c r="AU107" s="539">
        <v>0.563277600761107</v>
      </c>
      <c r="AV107" s="521">
        <v>12</v>
      </c>
      <c r="AW107" s="540">
        <v>2546</v>
      </c>
      <c r="AX107" s="536">
        <v>370</v>
      </c>
      <c r="AY107" s="290">
        <v>570</v>
      </c>
      <c r="AZ107" s="290">
        <v>200</v>
      </c>
      <c r="BA107" s="541">
        <v>4.2200000000000001E-2</v>
      </c>
      <c r="BB107" s="541">
        <v>2.085</v>
      </c>
      <c r="BC107" s="290">
        <v>45</v>
      </c>
      <c r="BD107" s="542">
        <v>0.63900000000000001</v>
      </c>
      <c r="BE107" s="543">
        <v>0.63900000000000001</v>
      </c>
      <c r="BF107" s="536">
        <v>3</v>
      </c>
      <c r="BG107" s="163" t="s">
        <v>8953</v>
      </c>
      <c r="BH107" s="163">
        <v>2</v>
      </c>
      <c r="BK107" s="163">
        <v>0</v>
      </c>
      <c r="BM107" s="163" t="s">
        <v>8905</v>
      </c>
    </row>
    <row r="108" spans="1:65" ht="35.25" customHeight="1" thickBot="1">
      <c r="A108" s="163" t="s">
        <v>9059</v>
      </c>
      <c r="B108" s="163" t="s">
        <v>2703</v>
      </c>
      <c r="C108" s="164" t="s">
        <v>8981</v>
      </c>
      <c r="D108" s="1520"/>
      <c r="E108" s="763"/>
      <c r="F108" s="268">
        <v>91</v>
      </c>
      <c r="G108" s="269"/>
      <c r="H108" s="270"/>
      <c r="I108" s="271"/>
      <c r="J108" s="786" t="s">
        <v>2703</v>
      </c>
      <c r="K108" s="787" t="s">
        <v>2702</v>
      </c>
      <c r="L108" s="788" t="s">
        <v>4823</v>
      </c>
      <c r="M108" s="787">
        <v>1</v>
      </c>
      <c r="N108" s="907">
        <v>52</v>
      </c>
      <c r="O108" s="536" t="s">
        <v>4530</v>
      </c>
      <c r="P108" s="906">
        <v>1250</v>
      </c>
      <c r="Q108" s="787">
        <v>12</v>
      </c>
      <c r="R108" s="237">
        <v>3510</v>
      </c>
      <c r="S108" s="302">
        <v>195</v>
      </c>
      <c r="T108" s="399">
        <v>16.25</v>
      </c>
      <c r="U108" s="492">
        <v>195</v>
      </c>
      <c r="V108" s="790">
        <v>0.17697135456000002</v>
      </c>
      <c r="W108" s="791">
        <v>0.68574999999999997</v>
      </c>
      <c r="X108" s="392">
        <v>92</v>
      </c>
      <c r="Y108" s="488">
        <v>4</v>
      </c>
      <c r="Z108" s="489">
        <v>5</v>
      </c>
      <c r="AA108" s="787">
        <v>4</v>
      </c>
      <c r="AB108" s="310">
        <v>101</v>
      </c>
      <c r="AC108" s="759" t="s">
        <v>8898</v>
      </c>
      <c r="AD108" s="759" t="s">
        <v>9060</v>
      </c>
      <c r="AE108" s="689">
        <v>99</v>
      </c>
      <c r="AF108" s="250">
        <v>2</v>
      </c>
      <c r="AG108" s="313">
        <v>90</v>
      </c>
      <c r="AH108" s="531">
        <v>90</v>
      </c>
      <c r="AI108" s="532">
        <v>0</v>
      </c>
      <c r="AJ108" s="894" t="s">
        <v>9057</v>
      </c>
      <c r="AK108" s="253" t="s">
        <v>2703</v>
      </c>
      <c r="AL108" s="254" t="str">
        <f t="shared" si="3"/>
        <v>TTC063</v>
      </c>
      <c r="AM108" s="255">
        <f t="shared" si="3"/>
        <v>1250</v>
      </c>
      <c r="AN108" s="534" t="s">
        <v>9058</v>
      </c>
      <c r="AO108" s="535">
        <v>1.4</v>
      </c>
      <c r="AP108" s="536">
        <v>561</v>
      </c>
      <c r="AQ108" s="536">
        <v>184</v>
      </c>
      <c r="AR108" s="537">
        <f t="shared" si="4"/>
        <v>1.13443176</v>
      </c>
      <c r="AS108" s="538">
        <v>1061.0658751669712</v>
      </c>
      <c r="AT108" s="536">
        <v>508</v>
      </c>
      <c r="AU108" s="539">
        <v>0.563277600761107</v>
      </c>
      <c r="AV108" s="521">
        <v>12</v>
      </c>
      <c r="AW108" s="540">
        <v>2546</v>
      </c>
      <c r="AX108" s="536">
        <v>370</v>
      </c>
      <c r="AY108" s="290">
        <v>570</v>
      </c>
      <c r="AZ108" s="290">
        <v>200</v>
      </c>
      <c r="BA108" s="541">
        <v>4.2200000000000001E-2</v>
      </c>
      <c r="BB108" s="541">
        <v>2.085</v>
      </c>
      <c r="BC108" s="290">
        <v>0</v>
      </c>
      <c r="BD108" s="542">
        <v>0.63900000000000001</v>
      </c>
      <c r="BE108" s="543">
        <v>0.63900000000000001</v>
      </c>
      <c r="BF108" s="536">
        <v>3</v>
      </c>
      <c r="BG108" s="163" t="s">
        <v>8953</v>
      </c>
      <c r="BH108" s="163">
        <v>2</v>
      </c>
      <c r="BK108" s="163">
        <v>0</v>
      </c>
      <c r="BM108" s="163" t="s">
        <v>8905</v>
      </c>
    </row>
    <row r="109" spans="1:65" ht="35.25" hidden="1" customHeight="1">
      <c r="A109" s="163" t="s">
        <v>9061</v>
      </c>
      <c r="B109" s="163" t="s">
        <v>345</v>
      </c>
      <c r="C109" s="164" t="s">
        <v>8981</v>
      </c>
      <c r="D109" s="1497"/>
      <c r="E109" s="763"/>
      <c r="F109" s="268">
        <v>89</v>
      </c>
      <c r="G109" s="424"/>
      <c r="H109" s="271"/>
      <c r="I109" s="271"/>
      <c r="J109" s="764" t="s">
        <v>345</v>
      </c>
      <c r="K109" s="787" t="s">
        <v>344</v>
      </c>
      <c r="L109" s="788" t="s">
        <v>7929</v>
      </c>
      <c r="M109" s="787">
        <v>2</v>
      </c>
      <c r="N109" s="789">
        <v>70</v>
      </c>
      <c r="O109" s="536" t="s">
        <v>4504</v>
      </c>
      <c r="P109" s="908" t="e">
        <v>#N/A</v>
      </c>
      <c r="Q109" s="787">
        <v>36</v>
      </c>
      <c r="R109" s="237">
        <v>0</v>
      </c>
      <c r="S109" s="302">
        <v>0</v>
      </c>
      <c r="T109" s="399">
        <v>0</v>
      </c>
      <c r="U109" s="492">
        <v>0</v>
      </c>
      <c r="V109" s="790" t="e">
        <v>#N/A</v>
      </c>
      <c r="W109" s="791">
        <v>0</v>
      </c>
      <c r="X109" s="392" t="e">
        <v>#N/A</v>
      </c>
      <c r="Y109" s="488">
        <v>4</v>
      </c>
      <c r="Z109" s="489">
        <v>0</v>
      </c>
      <c r="AA109" s="787">
        <v>0</v>
      </c>
      <c r="AB109" s="310">
        <v>0</v>
      </c>
      <c r="AC109" s="759" t="s">
        <v>8898</v>
      </c>
      <c r="AD109" s="759" t="s">
        <v>8898</v>
      </c>
      <c r="AE109" s="689">
        <v>0</v>
      </c>
      <c r="AF109" s="250">
        <v>0</v>
      </c>
      <c r="AG109" s="313" t="e">
        <v>#N/A</v>
      </c>
      <c r="AH109" s="531" t="e">
        <v>#N/A</v>
      </c>
      <c r="AI109" s="532" t="e">
        <v>#N/A</v>
      </c>
      <c r="AJ109" s="830" t="s">
        <v>6786</v>
      </c>
      <c r="AK109" s="253" t="s">
        <v>345</v>
      </c>
      <c r="AL109" s="254" t="str">
        <f t="shared" si="3"/>
        <v>TTC068</v>
      </c>
      <c r="AM109" s="255" t="e">
        <f t="shared" si="3"/>
        <v>#N/A</v>
      </c>
      <c r="AN109" s="534" t="s">
        <v>8931</v>
      </c>
      <c r="AO109" s="535">
        <v>1.2</v>
      </c>
      <c r="AP109" s="536">
        <v>425</v>
      </c>
      <c r="AQ109" s="536">
        <v>180</v>
      </c>
      <c r="AR109" s="537">
        <f t="shared" si="4"/>
        <v>0.360315</v>
      </c>
      <c r="AS109" s="538">
        <v>1047.8985132719902</v>
      </c>
      <c r="AT109" s="536">
        <v>508</v>
      </c>
      <c r="AU109" s="539">
        <v>0.69938803546896466</v>
      </c>
      <c r="AV109" s="521">
        <v>36</v>
      </c>
      <c r="AW109" s="540">
        <v>1026</v>
      </c>
      <c r="AX109" s="536">
        <v>330</v>
      </c>
      <c r="AY109" s="290">
        <v>500</v>
      </c>
      <c r="AZ109" s="290">
        <v>180</v>
      </c>
      <c r="BA109" s="541">
        <v>2.9700000000000001E-2</v>
      </c>
      <c r="BB109" s="541">
        <v>1.885</v>
      </c>
      <c r="BC109" s="290">
        <v>60</v>
      </c>
      <c r="BD109" s="542">
        <v>0.252</v>
      </c>
      <c r="BE109" s="543">
        <v>0.252</v>
      </c>
      <c r="BF109" s="536">
        <v>3</v>
      </c>
      <c r="BG109" s="163" t="s">
        <v>8904</v>
      </c>
      <c r="BH109" s="163">
        <v>1</v>
      </c>
      <c r="BK109" s="163">
        <v>0</v>
      </c>
      <c r="BM109" s="163" t="s">
        <v>8905</v>
      </c>
    </row>
    <row r="110" spans="1:65" ht="35.25" customHeight="1" thickBot="1">
      <c r="A110" s="163" t="s">
        <v>9062</v>
      </c>
      <c r="B110" s="163" t="s">
        <v>232</v>
      </c>
      <c r="C110" s="164" t="s">
        <v>8981</v>
      </c>
      <c r="D110" s="1497"/>
      <c r="E110" s="763"/>
      <c r="F110" s="268">
        <v>90</v>
      </c>
      <c r="G110" s="269"/>
      <c r="H110" s="909"/>
      <c r="I110" s="270"/>
      <c r="J110" s="786" t="s">
        <v>232</v>
      </c>
      <c r="K110" s="787" t="s">
        <v>231</v>
      </c>
      <c r="L110" s="788" t="s">
        <v>7924</v>
      </c>
      <c r="M110" s="787">
        <v>1</v>
      </c>
      <c r="N110" s="789">
        <v>68</v>
      </c>
      <c r="O110" s="536" t="s">
        <v>4498</v>
      </c>
      <c r="P110" s="898">
        <v>1750</v>
      </c>
      <c r="Q110" s="787">
        <v>30</v>
      </c>
      <c r="R110" s="237">
        <v>45480</v>
      </c>
      <c r="S110" s="302">
        <v>2526.6666666666665</v>
      </c>
      <c r="T110" s="399">
        <v>84.222222222222214</v>
      </c>
      <c r="U110" s="492">
        <v>2526.6666666666665</v>
      </c>
      <c r="V110" s="790">
        <v>0.66915373714285709</v>
      </c>
      <c r="W110" s="791">
        <v>2.5013999999999998</v>
      </c>
      <c r="X110" s="392">
        <v>126</v>
      </c>
      <c r="Y110" s="488">
        <v>4</v>
      </c>
      <c r="Z110" s="489">
        <v>22</v>
      </c>
      <c r="AA110" s="787">
        <v>21</v>
      </c>
      <c r="AB110" s="310">
        <v>169</v>
      </c>
      <c r="AC110" s="759" t="s">
        <v>8898</v>
      </c>
      <c r="AD110" s="759" t="s">
        <v>8898</v>
      </c>
      <c r="AE110" s="689">
        <v>159</v>
      </c>
      <c r="AF110" s="250">
        <v>10</v>
      </c>
      <c r="AG110" s="313">
        <v>120</v>
      </c>
      <c r="AH110" s="531">
        <v>120</v>
      </c>
      <c r="AI110" s="532">
        <v>0</v>
      </c>
      <c r="AJ110" s="894"/>
      <c r="AK110" s="253" t="s">
        <v>232</v>
      </c>
      <c r="AL110" s="254" t="str">
        <f t="shared" si="3"/>
        <v>TTC069</v>
      </c>
      <c r="AM110" s="255">
        <f t="shared" si="3"/>
        <v>1750</v>
      </c>
      <c r="AN110" s="534" t="s">
        <v>8931</v>
      </c>
      <c r="AO110" s="535">
        <v>1</v>
      </c>
      <c r="AP110" s="536">
        <v>492</v>
      </c>
      <c r="AQ110" s="536">
        <v>120</v>
      </c>
      <c r="AR110" s="537">
        <f t="shared" si="4"/>
        <v>0.46346399999999999</v>
      </c>
      <c r="AS110" s="538">
        <v>1146.0936552772059</v>
      </c>
      <c r="AT110" s="536">
        <v>508</v>
      </c>
      <c r="AU110" s="539">
        <v>0.61061916351647594</v>
      </c>
      <c r="AV110" s="521">
        <v>30</v>
      </c>
      <c r="AW110" s="540">
        <v>1026</v>
      </c>
      <c r="AX110" s="536">
        <v>330</v>
      </c>
      <c r="AY110" s="290">
        <v>500</v>
      </c>
      <c r="AZ110" s="290">
        <v>180</v>
      </c>
      <c r="BA110" s="541">
        <v>2.9700000000000001E-2</v>
      </c>
      <c r="BB110" s="541">
        <v>1.885</v>
      </c>
      <c r="BC110" s="290">
        <v>65</v>
      </c>
      <c r="BD110" s="542">
        <v>0.28299999999999997</v>
      </c>
      <c r="BE110" s="543">
        <v>0.28299999999999997</v>
      </c>
      <c r="BF110" s="536">
        <v>3</v>
      </c>
      <c r="BG110" s="163" t="s">
        <v>8953</v>
      </c>
      <c r="BH110" s="163">
        <v>2</v>
      </c>
      <c r="BK110" s="163">
        <v>0</v>
      </c>
      <c r="BM110" s="163" t="s">
        <v>8905</v>
      </c>
    </row>
    <row r="111" spans="1:65" ht="35.25" hidden="1" customHeight="1">
      <c r="A111" s="163" t="s">
        <v>9063</v>
      </c>
      <c r="B111" s="163" t="s">
        <v>1726</v>
      </c>
      <c r="C111" s="164" t="s">
        <v>8981</v>
      </c>
      <c r="D111" s="1497"/>
      <c r="E111" s="763"/>
      <c r="F111" s="268">
        <v>88</v>
      </c>
      <c r="G111" s="910"/>
      <c r="H111" s="271"/>
      <c r="I111" s="911"/>
      <c r="J111" s="786" t="s">
        <v>1726</v>
      </c>
      <c r="K111" s="787" t="s">
        <v>1724</v>
      </c>
      <c r="L111" s="788" t="s">
        <v>8078</v>
      </c>
      <c r="M111" s="787">
        <v>4</v>
      </c>
      <c r="N111" s="789">
        <v>70</v>
      </c>
      <c r="O111" s="536" t="s">
        <v>9064</v>
      </c>
      <c r="P111" s="536">
        <v>500</v>
      </c>
      <c r="Q111" s="787">
        <v>500</v>
      </c>
      <c r="R111" s="237">
        <v>0</v>
      </c>
      <c r="S111" s="302">
        <v>0</v>
      </c>
      <c r="T111" s="399">
        <v>0</v>
      </c>
      <c r="U111" s="492">
        <v>0</v>
      </c>
      <c r="V111" s="790">
        <v>0</v>
      </c>
      <c r="W111" s="791">
        <v>0</v>
      </c>
      <c r="X111" s="392">
        <v>15</v>
      </c>
      <c r="Y111" s="488">
        <v>4</v>
      </c>
      <c r="Z111" s="489">
        <v>0</v>
      </c>
      <c r="AA111" s="787">
        <v>0</v>
      </c>
      <c r="AB111" s="310">
        <v>15</v>
      </c>
      <c r="AC111" s="759" t="s">
        <v>8898</v>
      </c>
      <c r="AD111" s="759" t="s">
        <v>8898</v>
      </c>
      <c r="AE111" s="689">
        <v>15</v>
      </c>
      <c r="AF111" s="250">
        <v>0</v>
      </c>
      <c r="AG111" s="313">
        <v>10</v>
      </c>
      <c r="AH111" s="531">
        <v>10</v>
      </c>
      <c r="AI111" s="532">
        <v>0</v>
      </c>
      <c r="AJ111" s="828"/>
      <c r="AK111" s="253" t="s">
        <v>1726</v>
      </c>
      <c r="AL111" s="254" t="str">
        <f t="shared" si="3"/>
        <v>TTC064</v>
      </c>
      <c r="AM111" s="255">
        <f t="shared" si="3"/>
        <v>500</v>
      </c>
      <c r="AN111" s="534" t="s">
        <v>9065</v>
      </c>
      <c r="AO111" s="535">
        <v>2</v>
      </c>
      <c r="AP111" s="536">
        <v>130</v>
      </c>
      <c r="AQ111" s="536">
        <v>134</v>
      </c>
      <c r="AR111" s="537">
        <f t="shared" si="4"/>
        <v>6.8373500000000004E-2</v>
      </c>
      <c r="AS111" s="538">
        <v>1121.0253548220246</v>
      </c>
      <c r="AT111" s="536">
        <v>508</v>
      </c>
      <c r="AU111" s="539">
        <v>0.58502197488793173</v>
      </c>
      <c r="AV111" s="521">
        <v>500</v>
      </c>
      <c r="AW111" s="540">
        <v>1026</v>
      </c>
      <c r="AX111" s="536">
        <v>330</v>
      </c>
      <c r="AY111" s="290">
        <v>500</v>
      </c>
      <c r="AZ111" s="290">
        <v>180</v>
      </c>
      <c r="BA111" s="541">
        <v>2.9700000000000001E-2</v>
      </c>
      <c r="BB111" s="541">
        <v>1.885</v>
      </c>
      <c r="BC111" s="290">
        <v>68</v>
      </c>
      <c r="BD111" s="542">
        <v>0.04</v>
      </c>
      <c r="BE111" s="543">
        <v>0.04</v>
      </c>
      <c r="BF111" s="536">
        <v>3</v>
      </c>
      <c r="BG111" s="163" t="s">
        <v>8904</v>
      </c>
      <c r="BH111" s="163">
        <v>1</v>
      </c>
      <c r="BK111" s="163">
        <v>0</v>
      </c>
      <c r="BM111" s="163" t="s">
        <v>8905</v>
      </c>
    </row>
    <row r="112" spans="1:65" ht="35.25" customHeight="1" thickBot="1">
      <c r="A112" s="163" t="s">
        <v>9066</v>
      </c>
      <c r="B112" s="163" t="s">
        <v>1408</v>
      </c>
      <c r="C112" s="164" t="s">
        <v>8981</v>
      </c>
      <c r="D112" s="1518"/>
      <c r="E112" s="763"/>
      <c r="F112" s="268">
        <v>93</v>
      </c>
      <c r="G112" s="269"/>
      <c r="H112" s="271"/>
      <c r="I112" s="912"/>
      <c r="J112" s="905" t="s">
        <v>1408</v>
      </c>
      <c r="K112" s="787" t="s">
        <v>1407</v>
      </c>
      <c r="L112" s="788" t="s">
        <v>4850</v>
      </c>
      <c r="M112" s="787">
        <v>1</v>
      </c>
      <c r="N112" s="789">
        <v>70</v>
      </c>
      <c r="O112" s="536" t="s">
        <v>4554</v>
      </c>
      <c r="P112" s="898">
        <v>1750</v>
      </c>
      <c r="Q112" s="787">
        <v>30</v>
      </c>
      <c r="R112" s="237">
        <v>15173</v>
      </c>
      <c r="S112" s="302">
        <v>842.94444444444446</v>
      </c>
      <c r="T112" s="399">
        <v>28.098148148148148</v>
      </c>
      <c r="U112" s="492">
        <v>842.94444444444446</v>
      </c>
      <c r="V112" s="790">
        <v>0.27151871078000001</v>
      </c>
      <c r="W112" s="791">
        <v>0.83451500000000001</v>
      </c>
      <c r="X112" s="392">
        <v>104</v>
      </c>
      <c r="Y112" s="488">
        <v>4</v>
      </c>
      <c r="Z112" s="489">
        <v>8</v>
      </c>
      <c r="AA112" s="787">
        <v>7</v>
      </c>
      <c r="AB112" s="310">
        <v>119</v>
      </c>
      <c r="AC112" s="759" t="s">
        <v>8898</v>
      </c>
      <c r="AD112" s="759" t="s">
        <v>8898</v>
      </c>
      <c r="AE112" s="689">
        <v>115</v>
      </c>
      <c r="AF112" s="250">
        <v>4</v>
      </c>
      <c r="AG112" s="313">
        <v>100</v>
      </c>
      <c r="AH112" s="531">
        <v>100</v>
      </c>
      <c r="AI112" s="532">
        <v>0</v>
      </c>
      <c r="AJ112" s="894" t="s">
        <v>9067</v>
      </c>
      <c r="AK112" s="253" t="s">
        <v>1408</v>
      </c>
      <c r="AL112" s="254" t="str">
        <f t="shared" si="3"/>
        <v>HAN047</v>
      </c>
      <c r="AM112" s="255">
        <f t="shared" si="3"/>
        <v>1750</v>
      </c>
      <c r="AN112" s="534" t="s">
        <v>9068</v>
      </c>
      <c r="AO112" s="535">
        <v>1.4</v>
      </c>
      <c r="AP112" s="536">
        <v>417</v>
      </c>
      <c r="AQ112" s="536">
        <v>123</v>
      </c>
      <c r="AR112" s="537">
        <f t="shared" si="4"/>
        <v>0.56368808999999997</v>
      </c>
      <c r="AS112" s="538">
        <v>1193.9562914526146</v>
      </c>
      <c r="AT112" s="536">
        <v>508</v>
      </c>
      <c r="AU112" s="539">
        <v>0.82669832530965848</v>
      </c>
      <c r="AV112" s="521">
        <v>30</v>
      </c>
      <c r="AW112" s="540">
        <v>1026</v>
      </c>
      <c r="AX112" s="536">
        <v>330</v>
      </c>
      <c r="AY112" s="290">
        <v>500</v>
      </c>
      <c r="AZ112" s="290">
        <v>180</v>
      </c>
      <c r="BA112" s="541">
        <v>2.9700000000000001E-2</v>
      </c>
      <c r="BB112" s="541">
        <v>1.885</v>
      </c>
      <c r="BC112" s="290">
        <v>60</v>
      </c>
      <c r="BD112" s="542">
        <v>0.46600000000000003</v>
      </c>
      <c r="BE112" s="543">
        <v>0.46600000000000003</v>
      </c>
      <c r="BF112" s="536">
        <v>3</v>
      </c>
      <c r="BG112" s="163" t="s">
        <v>8932</v>
      </c>
      <c r="BH112" s="163">
        <v>3</v>
      </c>
      <c r="BK112" s="163">
        <v>0</v>
      </c>
      <c r="BM112" s="163" t="s">
        <v>8905</v>
      </c>
    </row>
    <row r="113" spans="1:65" ht="35.25" customHeight="1">
      <c r="A113" s="163" t="s">
        <v>9069</v>
      </c>
      <c r="B113" s="163" t="s">
        <v>1665</v>
      </c>
      <c r="C113" s="164" t="s">
        <v>8981</v>
      </c>
      <c r="D113" s="1497"/>
      <c r="E113" s="1510" t="s">
        <v>8916</v>
      </c>
      <c r="F113" s="913">
        <v>95</v>
      </c>
      <c r="G113" s="914"/>
      <c r="H113" s="915"/>
      <c r="I113" s="294"/>
      <c r="J113" s="797" t="s">
        <v>1665</v>
      </c>
      <c r="K113" s="798" t="s">
        <v>1664</v>
      </c>
      <c r="L113" s="799" t="s">
        <v>4852</v>
      </c>
      <c r="M113" s="798">
        <v>1</v>
      </c>
      <c r="N113" s="800">
        <v>70</v>
      </c>
      <c r="O113" s="620" t="s">
        <v>4586</v>
      </c>
      <c r="P113" s="620">
        <v>1000</v>
      </c>
      <c r="Q113" s="798">
        <v>60</v>
      </c>
      <c r="R113" s="237">
        <v>7610</v>
      </c>
      <c r="S113" s="302">
        <v>422.77777777777777</v>
      </c>
      <c r="T113" s="303">
        <v>7.0462962962962958</v>
      </c>
      <c r="U113" s="1480">
        <v>422.77777777777777</v>
      </c>
      <c r="V113" s="1482">
        <v>0.21008835679999999</v>
      </c>
      <c r="W113" s="306">
        <v>0.20927499999999999</v>
      </c>
      <c r="X113" s="392">
        <v>34</v>
      </c>
      <c r="Y113" s="801">
        <v>4</v>
      </c>
      <c r="Z113" s="802">
        <v>2</v>
      </c>
      <c r="AA113" s="787">
        <v>2</v>
      </c>
      <c r="AB113" s="310">
        <v>38</v>
      </c>
      <c r="AC113" s="311" t="s">
        <v>8898</v>
      </c>
      <c r="AD113" s="311" t="s">
        <v>8898</v>
      </c>
      <c r="AE113" s="803">
        <v>37</v>
      </c>
      <c r="AF113" s="250">
        <v>1</v>
      </c>
      <c r="AG113" s="313">
        <v>30</v>
      </c>
      <c r="AH113" s="616">
        <v>30</v>
      </c>
      <c r="AI113" s="617">
        <v>0</v>
      </c>
      <c r="AJ113" s="1515"/>
      <c r="AK113" s="253" t="s">
        <v>1665</v>
      </c>
      <c r="AL113" s="254" t="str">
        <f t="shared" si="3"/>
        <v>TTC065</v>
      </c>
      <c r="AM113" s="255">
        <f t="shared" si="3"/>
        <v>1000</v>
      </c>
      <c r="AN113" s="618" t="s">
        <v>9065</v>
      </c>
      <c r="AO113" s="619">
        <v>1.8</v>
      </c>
      <c r="AP113" s="620">
        <v>314</v>
      </c>
      <c r="AQ113" s="620">
        <v>112</v>
      </c>
      <c r="AR113" s="621">
        <f t="shared" si="4"/>
        <v>0.49692384000000001</v>
      </c>
      <c r="AS113" s="622">
        <v>1136.5218143066611</v>
      </c>
      <c r="AT113" s="620">
        <v>508</v>
      </c>
      <c r="AU113" s="623">
        <v>0.56749138862003479</v>
      </c>
      <c r="AV113" s="624">
        <v>60</v>
      </c>
      <c r="AW113" s="625">
        <v>1026</v>
      </c>
      <c r="AX113" s="620">
        <v>330</v>
      </c>
      <c r="AY113" s="626">
        <v>500</v>
      </c>
      <c r="AZ113" s="626">
        <v>180</v>
      </c>
      <c r="BA113" s="627">
        <v>2.9700000000000001E-2</v>
      </c>
      <c r="BB113" s="627">
        <v>1.885</v>
      </c>
      <c r="BC113" s="325">
        <v>60</v>
      </c>
      <c r="BD113" s="628">
        <v>0.14099999999999999</v>
      </c>
      <c r="BE113" s="629">
        <v>0.14099999999999999</v>
      </c>
      <c r="BF113" s="620">
        <v>3</v>
      </c>
      <c r="BG113" s="163" t="s">
        <v>8904</v>
      </c>
      <c r="BH113" s="163">
        <v>1</v>
      </c>
      <c r="BK113" s="163">
        <v>0</v>
      </c>
      <c r="BM113" s="163" t="s">
        <v>8905</v>
      </c>
    </row>
    <row r="114" spans="1:65" ht="35.25" customHeight="1">
      <c r="A114" s="163" t="s">
        <v>9070</v>
      </c>
      <c r="B114" s="163" t="s">
        <v>1699</v>
      </c>
      <c r="C114" s="164" t="s">
        <v>8981</v>
      </c>
      <c r="D114" s="1497"/>
      <c r="E114" s="1505">
        <v>0</v>
      </c>
      <c r="F114" s="913">
        <v>95</v>
      </c>
      <c r="G114" s="916"/>
      <c r="H114" s="355"/>
      <c r="I114" s="231"/>
      <c r="J114" s="757" t="s">
        <v>1699</v>
      </c>
      <c r="K114" s="490" t="s">
        <v>1698</v>
      </c>
      <c r="L114" s="758" t="s">
        <v>107</v>
      </c>
      <c r="M114" s="490">
        <v>1</v>
      </c>
      <c r="N114" s="759">
        <v>70</v>
      </c>
      <c r="O114" s="642" t="s">
        <v>4586</v>
      </c>
      <c r="P114" s="642">
        <v>1000</v>
      </c>
      <c r="Q114" s="490">
        <v>60</v>
      </c>
      <c r="R114" s="237">
        <v>7547</v>
      </c>
      <c r="S114" s="302">
        <v>419.27777777777777</v>
      </c>
      <c r="T114" s="399">
        <v>6.9879629629629632</v>
      </c>
      <c r="U114" s="1481">
        <v>419.27777777777777</v>
      </c>
      <c r="V114" s="1483">
        <v>0.20834912336</v>
      </c>
      <c r="W114" s="402">
        <v>0.20754250000000002</v>
      </c>
      <c r="X114" s="392">
        <v>34</v>
      </c>
      <c r="Y114" s="760">
        <v>4</v>
      </c>
      <c r="Z114" s="761">
        <v>2</v>
      </c>
      <c r="AA114" s="787">
        <v>2</v>
      </c>
      <c r="AB114" s="310">
        <v>38</v>
      </c>
      <c r="AC114" s="397" t="s">
        <v>8898</v>
      </c>
      <c r="AD114" s="397" t="s">
        <v>8898</v>
      </c>
      <c r="AE114" s="762">
        <v>37</v>
      </c>
      <c r="AF114" s="250">
        <v>1</v>
      </c>
      <c r="AG114" s="313">
        <v>30</v>
      </c>
      <c r="AH114" s="638">
        <v>30</v>
      </c>
      <c r="AI114" s="639">
        <v>0</v>
      </c>
      <c r="AJ114" s="1516"/>
      <c r="AK114" s="253" t="s">
        <v>1699</v>
      </c>
      <c r="AL114" s="254" t="str">
        <f t="shared" si="3"/>
        <v>TTC065</v>
      </c>
      <c r="AM114" s="255">
        <f t="shared" si="3"/>
        <v>1000</v>
      </c>
      <c r="AN114" s="640" t="s">
        <v>9065</v>
      </c>
      <c r="AO114" s="641">
        <v>1.8</v>
      </c>
      <c r="AP114" s="642">
        <v>314</v>
      </c>
      <c r="AQ114" s="642">
        <v>112</v>
      </c>
      <c r="AR114" s="643">
        <f t="shared" si="4"/>
        <v>0.49692384000000001</v>
      </c>
      <c r="AS114" s="644">
        <v>1136.5218143066611</v>
      </c>
      <c r="AT114" s="642">
        <v>508</v>
      </c>
      <c r="AU114" s="645">
        <v>0.56749138862003479</v>
      </c>
      <c r="AV114" s="646">
        <v>60</v>
      </c>
      <c r="AW114" s="647">
        <v>1026</v>
      </c>
      <c r="AX114" s="642">
        <v>330</v>
      </c>
      <c r="AY114" s="648">
        <v>500</v>
      </c>
      <c r="AZ114" s="648">
        <v>180</v>
      </c>
      <c r="BA114" s="649">
        <v>2.9700000000000001E-2</v>
      </c>
      <c r="BB114" s="649">
        <v>1.885</v>
      </c>
      <c r="BC114" s="264">
        <v>60</v>
      </c>
      <c r="BD114" s="650">
        <v>0.14099999999999999</v>
      </c>
      <c r="BE114" s="651">
        <v>0.14099999999999999</v>
      </c>
      <c r="BF114" s="642">
        <v>3</v>
      </c>
      <c r="BG114" s="163" t="s">
        <v>8904</v>
      </c>
      <c r="BH114" s="163">
        <v>1</v>
      </c>
      <c r="BK114" s="163">
        <v>0</v>
      </c>
      <c r="BM114" s="163" t="s">
        <v>8905</v>
      </c>
    </row>
    <row r="115" spans="1:65" ht="35.25" customHeight="1">
      <c r="A115" s="163" t="s">
        <v>9071</v>
      </c>
      <c r="B115" s="163" t="s">
        <v>1559</v>
      </c>
      <c r="C115" s="164" t="s">
        <v>8981</v>
      </c>
      <c r="D115" s="1497"/>
      <c r="E115" s="1510" t="s">
        <v>8916</v>
      </c>
      <c r="F115" s="913">
        <v>94</v>
      </c>
      <c r="G115" s="914"/>
      <c r="H115" s="294"/>
      <c r="I115" s="915"/>
      <c r="J115" s="797" t="s">
        <v>1559</v>
      </c>
      <c r="K115" s="798" t="s">
        <v>1558</v>
      </c>
      <c r="L115" s="799" t="s">
        <v>4855</v>
      </c>
      <c r="M115" s="798">
        <v>1</v>
      </c>
      <c r="N115" s="800">
        <v>70</v>
      </c>
      <c r="O115" s="620" t="s">
        <v>4600</v>
      </c>
      <c r="P115" s="620">
        <v>1000</v>
      </c>
      <c r="Q115" s="798">
        <v>50</v>
      </c>
      <c r="R115" s="237">
        <v>7498</v>
      </c>
      <c r="S115" s="302">
        <v>416.55555555555554</v>
      </c>
      <c r="T115" s="303">
        <v>8.3311111111111114</v>
      </c>
      <c r="U115" s="1480">
        <v>416.55555555555554</v>
      </c>
      <c r="V115" s="1482">
        <v>0.26778365531111109</v>
      </c>
      <c r="W115" s="306">
        <v>0.24743400000000002</v>
      </c>
      <c r="X115" s="392">
        <v>32</v>
      </c>
      <c r="Y115" s="801">
        <v>4</v>
      </c>
      <c r="Z115" s="802">
        <v>3</v>
      </c>
      <c r="AA115" s="787">
        <v>2</v>
      </c>
      <c r="AB115" s="310">
        <v>37</v>
      </c>
      <c r="AC115" s="311" t="s">
        <v>8898</v>
      </c>
      <c r="AD115" s="311" t="s">
        <v>8898</v>
      </c>
      <c r="AE115" s="803">
        <v>36</v>
      </c>
      <c r="AF115" s="250">
        <v>1</v>
      </c>
      <c r="AG115" s="313">
        <v>30</v>
      </c>
      <c r="AH115" s="616">
        <v>30</v>
      </c>
      <c r="AI115" s="617">
        <v>0</v>
      </c>
      <c r="AJ115" s="1511" t="s">
        <v>8917</v>
      </c>
      <c r="AK115" s="253" t="s">
        <v>1559</v>
      </c>
      <c r="AL115" s="254" t="str">
        <f t="shared" si="3"/>
        <v>TTC066</v>
      </c>
      <c r="AM115" s="255">
        <f t="shared" si="3"/>
        <v>1000</v>
      </c>
      <c r="AN115" s="618" t="s">
        <v>9065</v>
      </c>
      <c r="AO115" s="619">
        <v>2</v>
      </c>
      <c r="AP115" s="620">
        <v>347</v>
      </c>
      <c r="AQ115" s="620">
        <v>118</v>
      </c>
      <c r="AR115" s="621">
        <f t="shared" si="4"/>
        <v>0.64285219999999998</v>
      </c>
      <c r="AS115" s="622">
        <v>1092.4211114429384</v>
      </c>
      <c r="AT115" s="620">
        <v>508</v>
      </c>
      <c r="AU115" s="623">
        <v>0.59111565613371164</v>
      </c>
      <c r="AV115" s="624">
        <v>50</v>
      </c>
      <c r="AW115" s="625">
        <v>1026</v>
      </c>
      <c r="AX115" s="620">
        <v>330</v>
      </c>
      <c r="AY115" s="626">
        <v>500</v>
      </c>
      <c r="AZ115" s="626">
        <v>180</v>
      </c>
      <c r="BA115" s="627">
        <v>2.9700000000000001E-2</v>
      </c>
      <c r="BB115" s="627">
        <v>1.885</v>
      </c>
      <c r="BC115" s="325">
        <v>63</v>
      </c>
      <c r="BD115" s="628">
        <v>0.19</v>
      </c>
      <c r="BE115" s="629">
        <v>0.19</v>
      </c>
      <c r="BF115" s="620">
        <v>3</v>
      </c>
      <c r="BG115" s="163" t="s">
        <v>8904</v>
      </c>
      <c r="BH115" s="163">
        <v>1</v>
      </c>
      <c r="BK115" s="163">
        <v>0</v>
      </c>
      <c r="BM115" s="163" t="s">
        <v>8905</v>
      </c>
    </row>
    <row r="116" spans="1:65" ht="35.25" customHeight="1">
      <c r="A116" s="163" t="s">
        <v>9072</v>
      </c>
      <c r="B116" s="163" t="s">
        <v>1593</v>
      </c>
      <c r="C116" s="164" t="s">
        <v>8981</v>
      </c>
      <c r="D116" s="1497"/>
      <c r="E116" s="1505">
        <v>0</v>
      </c>
      <c r="F116" s="913">
        <v>94</v>
      </c>
      <c r="G116" s="916"/>
      <c r="H116" s="231"/>
      <c r="I116" s="355"/>
      <c r="J116" s="757" t="s">
        <v>1593</v>
      </c>
      <c r="K116" s="490" t="s">
        <v>1592</v>
      </c>
      <c r="L116" s="758" t="s">
        <v>4857</v>
      </c>
      <c r="M116" s="490">
        <v>1</v>
      </c>
      <c r="N116" s="759">
        <v>70</v>
      </c>
      <c r="O116" s="642" t="s">
        <v>4600</v>
      </c>
      <c r="P116" s="642">
        <v>1000</v>
      </c>
      <c r="Q116" s="490">
        <v>50</v>
      </c>
      <c r="R116" s="237">
        <v>7529</v>
      </c>
      <c r="S116" s="302">
        <v>418.27777777777777</v>
      </c>
      <c r="T116" s="399">
        <v>8.3655555555555559</v>
      </c>
      <c r="U116" s="1481">
        <v>418.27777777777777</v>
      </c>
      <c r="V116" s="1483">
        <v>0.26889078965555552</v>
      </c>
      <c r="W116" s="402">
        <v>0.24845700000000001</v>
      </c>
      <c r="X116" s="392">
        <v>32</v>
      </c>
      <c r="Y116" s="760">
        <v>4</v>
      </c>
      <c r="Z116" s="761">
        <v>3</v>
      </c>
      <c r="AA116" s="787">
        <v>2</v>
      </c>
      <c r="AB116" s="310">
        <v>37</v>
      </c>
      <c r="AC116" s="397" t="s">
        <v>8898</v>
      </c>
      <c r="AD116" s="397" t="s">
        <v>8898</v>
      </c>
      <c r="AE116" s="762">
        <v>36</v>
      </c>
      <c r="AF116" s="250">
        <v>1</v>
      </c>
      <c r="AG116" s="313">
        <v>30</v>
      </c>
      <c r="AH116" s="638">
        <v>30</v>
      </c>
      <c r="AI116" s="639">
        <v>0</v>
      </c>
      <c r="AJ116" s="1512"/>
      <c r="AK116" s="253" t="s">
        <v>1593</v>
      </c>
      <c r="AL116" s="254" t="str">
        <f t="shared" si="3"/>
        <v>TTC066</v>
      </c>
      <c r="AM116" s="255">
        <f t="shared" si="3"/>
        <v>1000</v>
      </c>
      <c r="AN116" s="640" t="s">
        <v>9065</v>
      </c>
      <c r="AO116" s="641">
        <v>2</v>
      </c>
      <c r="AP116" s="642">
        <v>347</v>
      </c>
      <c r="AQ116" s="642">
        <v>118</v>
      </c>
      <c r="AR116" s="643">
        <f t="shared" si="4"/>
        <v>0.64285219999999998</v>
      </c>
      <c r="AS116" s="644">
        <v>1092.4211114429384</v>
      </c>
      <c r="AT116" s="642">
        <v>508</v>
      </c>
      <c r="AU116" s="645">
        <v>0.59111565613371164</v>
      </c>
      <c r="AV116" s="646">
        <v>50</v>
      </c>
      <c r="AW116" s="647">
        <v>1026</v>
      </c>
      <c r="AX116" s="642">
        <v>330</v>
      </c>
      <c r="AY116" s="648">
        <v>500</v>
      </c>
      <c r="AZ116" s="648">
        <v>180</v>
      </c>
      <c r="BA116" s="649">
        <v>2.9700000000000001E-2</v>
      </c>
      <c r="BB116" s="649">
        <v>1.885</v>
      </c>
      <c r="BC116" s="264">
        <v>63</v>
      </c>
      <c r="BD116" s="650">
        <v>0.19</v>
      </c>
      <c r="BE116" s="651">
        <v>0.19</v>
      </c>
      <c r="BF116" s="642">
        <v>3</v>
      </c>
      <c r="BG116" s="163" t="s">
        <v>8904</v>
      </c>
      <c r="BH116" s="163">
        <v>1</v>
      </c>
      <c r="BK116" s="163">
        <v>0</v>
      </c>
      <c r="BM116" s="163" t="s">
        <v>8905</v>
      </c>
    </row>
    <row r="117" spans="1:65" ht="35.25" customHeight="1">
      <c r="A117" s="163" t="s">
        <v>9073</v>
      </c>
      <c r="B117" s="163" t="s">
        <v>1611</v>
      </c>
      <c r="C117" s="917" t="s">
        <v>1571</v>
      </c>
      <c r="D117" s="1497"/>
      <c r="E117" s="1510" t="s">
        <v>8916</v>
      </c>
      <c r="F117" s="913">
        <v>87</v>
      </c>
      <c r="G117" s="914"/>
      <c r="H117" s="294"/>
      <c r="I117" s="915"/>
      <c r="J117" s="797" t="s">
        <v>1611</v>
      </c>
      <c r="K117" s="798" t="s">
        <v>1610</v>
      </c>
      <c r="L117" s="799" t="s">
        <v>106</v>
      </c>
      <c r="M117" s="798">
        <v>1</v>
      </c>
      <c r="N117" s="800">
        <v>70</v>
      </c>
      <c r="O117" s="620" t="s">
        <v>4626</v>
      </c>
      <c r="P117" s="620">
        <v>1000</v>
      </c>
      <c r="Q117" s="798">
        <v>40</v>
      </c>
      <c r="R117" s="237">
        <v>7498</v>
      </c>
      <c r="S117" s="302">
        <v>416.55555555555554</v>
      </c>
      <c r="T117" s="303">
        <v>10.413888888888888</v>
      </c>
      <c r="U117" s="1480">
        <v>416.55555555555554</v>
      </c>
      <c r="V117" s="1482">
        <v>0.34563227347555553</v>
      </c>
      <c r="W117" s="306">
        <v>0.30929249999999997</v>
      </c>
      <c r="X117" s="392">
        <v>31</v>
      </c>
      <c r="Y117" s="801">
        <v>4</v>
      </c>
      <c r="Z117" s="802">
        <v>3</v>
      </c>
      <c r="AA117" s="787">
        <v>3</v>
      </c>
      <c r="AB117" s="310">
        <v>37</v>
      </c>
      <c r="AC117" s="311" t="s">
        <v>8898</v>
      </c>
      <c r="AD117" s="311" t="s">
        <v>8898</v>
      </c>
      <c r="AE117" s="803">
        <v>36</v>
      </c>
      <c r="AF117" s="250">
        <v>1</v>
      </c>
      <c r="AG117" s="313">
        <v>30</v>
      </c>
      <c r="AH117" s="616">
        <v>30</v>
      </c>
      <c r="AI117" s="617">
        <v>0</v>
      </c>
      <c r="AJ117" s="1511" t="s">
        <v>8917</v>
      </c>
      <c r="AK117" s="253" t="s">
        <v>1611</v>
      </c>
      <c r="AL117" s="254" t="str">
        <f t="shared" si="3"/>
        <v>TTC067</v>
      </c>
      <c r="AM117" s="255">
        <f t="shared" si="3"/>
        <v>1000</v>
      </c>
      <c r="AN117" s="618" t="s">
        <v>9065</v>
      </c>
      <c r="AO117" s="619">
        <v>2.9</v>
      </c>
      <c r="AP117" s="620">
        <v>268</v>
      </c>
      <c r="AQ117" s="620">
        <v>136</v>
      </c>
      <c r="AR117" s="621">
        <f t="shared" si="4"/>
        <v>0.82973871999999993</v>
      </c>
      <c r="AS117" s="622">
        <v>1212.0618180382833</v>
      </c>
      <c r="AT117" s="620">
        <v>508</v>
      </c>
      <c r="AU117" s="623">
        <v>0.63875529395566844</v>
      </c>
      <c r="AV117" s="624">
        <v>40</v>
      </c>
      <c r="AW117" s="625">
        <v>1026</v>
      </c>
      <c r="AX117" s="620">
        <v>330</v>
      </c>
      <c r="AY117" s="626">
        <v>500</v>
      </c>
      <c r="AZ117" s="626">
        <v>180</v>
      </c>
      <c r="BA117" s="627">
        <v>2.9700000000000001E-2</v>
      </c>
      <c r="BB117" s="627">
        <v>1.885</v>
      </c>
      <c r="BC117" s="325">
        <v>65</v>
      </c>
      <c r="BD117" s="628">
        <v>0.26500000000000001</v>
      </c>
      <c r="BE117" s="629">
        <v>0.26500000000000001</v>
      </c>
      <c r="BF117" s="620">
        <v>3</v>
      </c>
      <c r="BG117" s="163" t="s">
        <v>8904</v>
      </c>
      <c r="BH117" s="163">
        <v>1</v>
      </c>
      <c r="BK117" s="163">
        <v>0</v>
      </c>
      <c r="BM117" s="163" t="s">
        <v>8905</v>
      </c>
    </row>
    <row r="118" spans="1:65" ht="35.25" customHeight="1" thickBot="1">
      <c r="A118" s="163" t="s">
        <v>9074</v>
      </c>
      <c r="B118" s="163" t="s">
        <v>1647</v>
      </c>
      <c r="C118" s="164" t="s">
        <v>8981</v>
      </c>
      <c r="D118" s="1497"/>
      <c r="E118" s="1505">
        <v>0</v>
      </c>
      <c r="F118" s="913">
        <v>87</v>
      </c>
      <c r="G118" s="916"/>
      <c r="H118" s="231"/>
      <c r="I118" s="355"/>
      <c r="J118" s="757" t="s">
        <v>1647</v>
      </c>
      <c r="K118" s="490" t="s">
        <v>1646</v>
      </c>
      <c r="L118" s="758" t="s">
        <v>4865</v>
      </c>
      <c r="M118" s="490">
        <v>1</v>
      </c>
      <c r="N118" s="759">
        <v>70</v>
      </c>
      <c r="O118" s="642" t="s">
        <v>4626</v>
      </c>
      <c r="P118" s="642">
        <v>1000</v>
      </c>
      <c r="Q118" s="490">
        <v>40</v>
      </c>
      <c r="R118" s="237">
        <v>7529</v>
      </c>
      <c r="S118" s="302">
        <v>418.27777777777777</v>
      </c>
      <c r="T118" s="399">
        <v>10.456944444444444</v>
      </c>
      <c r="U118" s="1481">
        <v>418.27777777777777</v>
      </c>
      <c r="V118" s="1483">
        <v>0.34706126793777775</v>
      </c>
      <c r="W118" s="402">
        <v>0.31057124999999997</v>
      </c>
      <c r="X118" s="392">
        <v>31</v>
      </c>
      <c r="Y118" s="760">
        <v>4</v>
      </c>
      <c r="Z118" s="761">
        <v>3</v>
      </c>
      <c r="AA118" s="787">
        <v>3</v>
      </c>
      <c r="AB118" s="310">
        <v>37</v>
      </c>
      <c r="AC118" s="397" t="s">
        <v>8898</v>
      </c>
      <c r="AD118" s="397" t="s">
        <v>8898</v>
      </c>
      <c r="AE118" s="762">
        <v>36</v>
      </c>
      <c r="AF118" s="250">
        <v>1</v>
      </c>
      <c r="AG118" s="313">
        <v>30</v>
      </c>
      <c r="AH118" s="638">
        <v>30</v>
      </c>
      <c r="AI118" s="639">
        <v>0</v>
      </c>
      <c r="AJ118" s="1512"/>
      <c r="AK118" s="253" t="s">
        <v>1647</v>
      </c>
      <c r="AL118" s="254" t="str">
        <f t="shared" si="3"/>
        <v>TTC067</v>
      </c>
      <c r="AM118" s="255">
        <f t="shared" si="3"/>
        <v>1000</v>
      </c>
      <c r="AN118" s="640" t="s">
        <v>9065</v>
      </c>
      <c r="AO118" s="641">
        <v>2.9</v>
      </c>
      <c r="AP118" s="642">
        <v>268</v>
      </c>
      <c r="AQ118" s="642">
        <v>136</v>
      </c>
      <c r="AR118" s="643">
        <f t="shared" si="4"/>
        <v>0.82973871999999993</v>
      </c>
      <c r="AS118" s="644">
        <v>1212.0618180382833</v>
      </c>
      <c r="AT118" s="642">
        <v>508</v>
      </c>
      <c r="AU118" s="645">
        <v>0.63875529395566844</v>
      </c>
      <c r="AV118" s="646">
        <v>40</v>
      </c>
      <c r="AW118" s="647">
        <v>1026</v>
      </c>
      <c r="AX118" s="642">
        <v>330</v>
      </c>
      <c r="AY118" s="648">
        <v>500</v>
      </c>
      <c r="AZ118" s="648">
        <v>180</v>
      </c>
      <c r="BA118" s="649">
        <v>2.9700000000000001E-2</v>
      </c>
      <c r="BB118" s="649">
        <v>1.885</v>
      </c>
      <c r="BC118" s="264">
        <v>65</v>
      </c>
      <c r="BD118" s="650">
        <v>0.26500000000000001</v>
      </c>
      <c r="BE118" s="651">
        <v>0.26500000000000001</v>
      </c>
      <c r="BF118" s="642">
        <v>3</v>
      </c>
      <c r="BG118" s="163" t="s">
        <v>8904</v>
      </c>
      <c r="BH118" s="163">
        <v>1</v>
      </c>
      <c r="BK118" s="163">
        <v>0</v>
      </c>
      <c r="BM118" s="163" t="s">
        <v>8905</v>
      </c>
    </row>
    <row r="119" spans="1:65" ht="35.25" hidden="1" customHeight="1">
      <c r="A119" s="163" t="s">
        <v>9075</v>
      </c>
      <c r="B119" s="163" t="s">
        <v>361</v>
      </c>
      <c r="D119" s="1497"/>
      <c r="E119" s="763"/>
      <c r="F119" s="268">
        <v>96</v>
      </c>
      <c r="G119" s="269"/>
      <c r="H119" s="271"/>
      <c r="I119" s="440"/>
      <c r="J119" s="764" t="s">
        <v>361</v>
      </c>
      <c r="K119" s="787" t="s">
        <v>360</v>
      </c>
      <c r="L119" s="788" t="s">
        <v>7951</v>
      </c>
      <c r="M119" s="787">
        <v>1</v>
      </c>
      <c r="N119" s="789">
        <v>70</v>
      </c>
      <c r="O119" s="536" t="s">
        <v>4510</v>
      </c>
      <c r="P119" s="908" t="e">
        <v>#N/A</v>
      </c>
      <c r="Q119" s="787">
        <v>30</v>
      </c>
      <c r="R119" s="237">
        <v>0</v>
      </c>
      <c r="S119" s="302">
        <v>0</v>
      </c>
      <c r="T119" s="399">
        <v>0</v>
      </c>
      <c r="U119" s="492">
        <v>0</v>
      </c>
      <c r="V119" s="790" t="e">
        <v>#N/A</v>
      </c>
      <c r="W119" s="791">
        <v>0</v>
      </c>
      <c r="X119" s="829">
        <v>0</v>
      </c>
      <c r="Y119" s="918">
        <v>4</v>
      </c>
      <c r="Z119" s="919">
        <v>0</v>
      </c>
      <c r="AA119" s="920">
        <v>0</v>
      </c>
      <c r="AB119" s="921">
        <v>0</v>
      </c>
      <c r="AC119" s="922"/>
      <c r="AD119" s="922"/>
      <c r="AE119" s="689">
        <v>0</v>
      </c>
      <c r="AF119" s="250">
        <v>0</v>
      </c>
      <c r="AG119" s="313">
        <v>0</v>
      </c>
      <c r="AH119" s="531">
        <v>0</v>
      </c>
      <c r="AI119" s="532">
        <v>0</v>
      </c>
      <c r="AJ119" s="923" t="s">
        <v>9076</v>
      </c>
      <c r="AK119" s="253" t="s">
        <v>361</v>
      </c>
      <c r="AL119" s="254" t="str">
        <f t="shared" si="3"/>
        <v>TTC070</v>
      </c>
      <c r="AM119" s="255" t="e">
        <f t="shared" si="3"/>
        <v>#N/A</v>
      </c>
      <c r="AN119" s="534" t="s">
        <v>8931</v>
      </c>
      <c r="AO119" s="535">
        <v>1.4</v>
      </c>
      <c r="AP119" s="536">
        <v>436</v>
      </c>
      <c r="AQ119" s="536">
        <v>152</v>
      </c>
      <c r="AR119" s="537">
        <f t="shared" si="4"/>
        <v>0.72832928000000008</v>
      </c>
      <c r="AS119" s="538">
        <v>1055.5177259168936</v>
      </c>
      <c r="AT119" s="536">
        <v>508</v>
      </c>
      <c r="AU119" s="539">
        <v>0.3638464184770932</v>
      </c>
      <c r="AV119" s="521">
        <v>30</v>
      </c>
      <c r="AW119" s="540">
        <v>1026</v>
      </c>
      <c r="AX119" s="536">
        <v>330</v>
      </c>
      <c r="AY119" s="290">
        <v>500</v>
      </c>
      <c r="AZ119" s="290">
        <v>180</v>
      </c>
      <c r="BA119" s="541">
        <v>2.9700000000000001E-2</v>
      </c>
      <c r="BB119" s="541">
        <v>1.885</v>
      </c>
      <c r="BC119" s="290">
        <v>65</v>
      </c>
      <c r="BD119" s="542">
        <v>0.26500000000000001</v>
      </c>
      <c r="BE119" s="543">
        <v>0.26500000000000001</v>
      </c>
      <c r="BF119" s="536">
        <v>3</v>
      </c>
      <c r="BG119" s="163" t="s">
        <v>8932</v>
      </c>
      <c r="BH119" s="163">
        <v>3</v>
      </c>
      <c r="BK119" s="163">
        <v>0</v>
      </c>
      <c r="BM119" s="163" t="s">
        <v>8905</v>
      </c>
    </row>
    <row r="120" spans="1:65" ht="35.25" customHeight="1" thickBot="1">
      <c r="A120" s="163" t="s">
        <v>9077</v>
      </c>
      <c r="B120" s="163" t="s">
        <v>1661</v>
      </c>
      <c r="C120" s="164" t="s">
        <v>8981</v>
      </c>
      <c r="D120" s="1518"/>
      <c r="E120" s="1510" t="s">
        <v>8916</v>
      </c>
      <c r="F120" s="913">
        <v>97</v>
      </c>
      <c r="G120" s="914"/>
      <c r="H120" s="915"/>
      <c r="I120" s="294"/>
      <c r="J120" s="832" t="s">
        <v>1661</v>
      </c>
      <c r="K120" s="798" t="s">
        <v>1660</v>
      </c>
      <c r="L120" s="799" t="s">
        <v>9078</v>
      </c>
      <c r="M120" s="798">
        <v>1</v>
      </c>
      <c r="N120" s="800">
        <v>70</v>
      </c>
      <c r="O120" s="620" t="s">
        <v>4632</v>
      </c>
      <c r="P120" s="924">
        <v>425</v>
      </c>
      <c r="Q120" s="798">
        <v>60</v>
      </c>
      <c r="R120" s="237">
        <v>2480</v>
      </c>
      <c r="S120" s="302">
        <v>137.77777777777777</v>
      </c>
      <c r="T120" s="303">
        <v>2.2962962962962963</v>
      </c>
      <c r="U120" s="1480">
        <v>137.77777777777777</v>
      </c>
      <c r="V120" s="1482">
        <v>0.24560727006535946</v>
      </c>
      <c r="W120" s="306">
        <v>6.8199999999999997E-2</v>
      </c>
      <c r="X120" s="392">
        <v>10</v>
      </c>
      <c r="Y120" s="801">
        <v>4</v>
      </c>
      <c r="Z120" s="802">
        <v>1</v>
      </c>
      <c r="AA120" s="787">
        <v>1</v>
      </c>
      <c r="AB120" s="310">
        <v>12</v>
      </c>
      <c r="AC120" s="311" t="s">
        <v>8898</v>
      </c>
      <c r="AD120" s="311" t="s">
        <v>8898</v>
      </c>
      <c r="AE120" s="803">
        <v>11</v>
      </c>
      <c r="AF120" s="250">
        <v>1</v>
      </c>
      <c r="AG120" s="313">
        <v>10</v>
      </c>
      <c r="AH120" s="616">
        <v>10</v>
      </c>
      <c r="AI120" s="617">
        <v>0</v>
      </c>
      <c r="AJ120" s="1515" t="s">
        <v>9057</v>
      </c>
      <c r="AK120" s="253" t="s">
        <v>1661</v>
      </c>
      <c r="AL120" s="254" t="str">
        <f t="shared" si="3"/>
        <v>TTC084</v>
      </c>
      <c r="AM120" s="255">
        <f t="shared" si="3"/>
        <v>425</v>
      </c>
      <c r="AN120" s="618" t="s">
        <v>8899</v>
      </c>
      <c r="AO120" s="619">
        <v>2.9</v>
      </c>
      <c r="AP120" s="620">
        <v>320</v>
      </c>
      <c r="AQ120" s="620">
        <v>104</v>
      </c>
      <c r="AR120" s="621">
        <f t="shared" si="4"/>
        <v>0.75761919999999994</v>
      </c>
      <c r="AS120" s="622">
        <v>1082.0710466508194</v>
      </c>
      <c r="AT120" s="620">
        <v>508</v>
      </c>
      <c r="AU120" s="623">
        <v>0.527969724104141</v>
      </c>
      <c r="AV120" s="624">
        <v>60</v>
      </c>
      <c r="AW120" s="625">
        <v>1026</v>
      </c>
      <c r="AX120" s="620">
        <v>330</v>
      </c>
      <c r="AY120" s="626">
        <v>500</v>
      </c>
      <c r="AZ120" s="626">
        <v>180</v>
      </c>
      <c r="BA120" s="627">
        <v>2.9700000000000001E-2</v>
      </c>
      <c r="BB120" s="627">
        <v>1.885</v>
      </c>
      <c r="BC120" s="325">
        <v>65</v>
      </c>
      <c r="BD120" s="628">
        <v>0.2</v>
      </c>
      <c r="BE120" s="629">
        <v>0.2</v>
      </c>
      <c r="BF120" s="620">
        <v>3</v>
      </c>
      <c r="BG120" s="163" t="s">
        <v>8904</v>
      </c>
      <c r="BH120" s="163">
        <v>1</v>
      </c>
      <c r="BK120" s="163">
        <v>0</v>
      </c>
      <c r="BM120" s="163" t="s">
        <v>8905</v>
      </c>
    </row>
    <row r="121" spans="1:65" ht="35.25" customHeight="1" thickBot="1">
      <c r="A121" s="163" t="s">
        <v>9079</v>
      </c>
      <c r="B121" s="163" t="s">
        <v>1695</v>
      </c>
      <c r="C121" s="164" t="s">
        <v>8981</v>
      </c>
      <c r="D121" s="1497"/>
      <c r="E121" s="1505">
        <v>0</v>
      </c>
      <c r="F121" s="913">
        <v>97</v>
      </c>
      <c r="G121" s="916"/>
      <c r="H121" s="355"/>
      <c r="I121" s="231"/>
      <c r="J121" s="834" t="s">
        <v>1695</v>
      </c>
      <c r="K121" s="490" t="s">
        <v>1694</v>
      </c>
      <c r="L121" s="758" t="s">
        <v>9080</v>
      </c>
      <c r="M121" s="490">
        <v>1</v>
      </c>
      <c r="N121" s="759">
        <v>70</v>
      </c>
      <c r="O121" s="642" t="s">
        <v>4632</v>
      </c>
      <c r="P121" s="925">
        <v>425</v>
      </c>
      <c r="Q121" s="490">
        <v>60</v>
      </c>
      <c r="R121" s="237">
        <v>2194</v>
      </c>
      <c r="S121" s="302">
        <v>121.88888888888889</v>
      </c>
      <c r="T121" s="399">
        <v>2.0314814814814812</v>
      </c>
      <c r="U121" s="1481">
        <v>121.88888888888889</v>
      </c>
      <c r="V121" s="1483">
        <v>0.21728320585620914</v>
      </c>
      <c r="W121" s="402">
        <v>6.0334999999999993E-2</v>
      </c>
      <c r="X121" s="392">
        <v>10</v>
      </c>
      <c r="Y121" s="760">
        <v>4</v>
      </c>
      <c r="Z121" s="761">
        <v>1</v>
      </c>
      <c r="AA121" s="787">
        <v>1</v>
      </c>
      <c r="AB121" s="310">
        <v>12</v>
      </c>
      <c r="AC121" s="397" t="s">
        <v>8898</v>
      </c>
      <c r="AD121" s="397" t="s">
        <v>8898</v>
      </c>
      <c r="AE121" s="762">
        <v>11</v>
      </c>
      <c r="AF121" s="250">
        <v>1</v>
      </c>
      <c r="AG121" s="313">
        <v>10</v>
      </c>
      <c r="AH121" s="638">
        <v>10</v>
      </c>
      <c r="AI121" s="639">
        <v>0</v>
      </c>
      <c r="AJ121" s="1516"/>
      <c r="AK121" s="253" t="s">
        <v>1695</v>
      </c>
      <c r="AL121" s="254" t="str">
        <f t="shared" si="3"/>
        <v>TTC084</v>
      </c>
      <c r="AM121" s="255">
        <f t="shared" si="3"/>
        <v>425</v>
      </c>
      <c r="AN121" s="640" t="s">
        <v>8899</v>
      </c>
      <c r="AO121" s="641">
        <v>2.9</v>
      </c>
      <c r="AP121" s="642">
        <v>320</v>
      </c>
      <c r="AQ121" s="642">
        <v>104</v>
      </c>
      <c r="AR121" s="643">
        <f t="shared" si="4"/>
        <v>0.75761919999999994</v>
      </c>
      <c r="AS121" s="644">
        <v>1082.0710466508194</v>
      </c>
      <c r="AT121" s="642">
        <v>508</v>
      </c>
      <c r="AU121" s="645">
        <v>0.527969724104141</v>
      </c>
      <c r="AV121" s="646">
        <v>60</v>
      </c>
      <c r="AW121" s="647">
        <v>1026</v>
      </c>
      <c r="AX121" s="642">
        <v>330</v>
      </c>
      <c r="AY121" s="648">
        <v>500</v>
      </c>
      <c r="AZ121" s="648">
        <v>180</v>
      </c>
      <c r="BA121" s="649">
        <v>2.9700000000000001E-2</v>
      </c>
      <c r="BB121" s="649">
        <v>1.885</v>
      </c>
      <c r="BC121" s="686">
        <v>65</v>
      </c>
      <c r="BD121" s="650">
        <v>0.2</v>
      </c>
      <c r="BE121" s="651">
        <v>0.2</v>
      </c>
      <c r="BF121" s="642">
        <v>3</v>
      </c>
      <c r="BG121" s="163" t="s">
        <v>8904</v>
      </c>
      <c r="BH121" s="163">
        <v>1</v>
      </c>
      <c r="BK121" s="163">
        <v>0</v>
      </c>
      <c r="BM121" s="163" t="s">
        <v>8905</v>
      </c>
    </row>
    <row r="122" spans="1:65" ht="35.25" customHeight="1" thickBot="1">
      <c r="A122" s="163" t="s">
        <v>9081</v>
      </c>
      <c r="B122" s="163" t="s">
        <v>1555</v>
      </c>
      <c r="C122" s="164" t="s">
        <v>8981</v>
      </c>
      <c r="D122" s="1518"/>
      <c r="E122" s="1510" t="s">
        <v>8916</v>
      </c>
      <c r="F122" s="913">
        <v>97</v>
      </c>
      <c r="G122" s="926"/>
      <c r="H122" s="927"/>
      <c r="I122" s="328"/>
      <c r="J122" s="832" t="s">
        <v>1555</v>
      </c>
      <c r="K122" s="798" t="s">
        <v>1554</v>
      </c>
      <c r="L122" s="799" t="s">
        <v>4855</v>
      </c>
      <c r="M122" s="798">
        <v>1</v>
      </c>
      <c r="N122" s="800">
        <v>70</v>
      </c>
      <c r="O122" s="620" t="s">
        <v>4632</v>
      </c>
      <c r="P122" s="924">
        <v>425</v>
      </c>
      <c r="Q122" s="798">
        <v>50</v>
      </c>
      <c r="R122" s="237">
        <v>2503</v>
      </c>
      <c r="S122" s="302">
        <v>139.05555555555554</v>
      </c>
      <c r="T122" s="303">
        <v>2.7811111111111106</v>
      </c>
      <c r="U122" s="1480">
        <v>139.05555555555554</v>
      </c>
      <c r="V122" s="1482">
        <v>0.24788507942483654</v>
      </c>
      <c r="W122" s="306">
        <v>8.2598999999999992E-2</v>
      </c>
      <c r="X122" s="392">
        <v>12</v>
      </c>
      <c r="Y122" s="801">
        <v>4</v>
      </c>
      <c r="Z122" s="802">
        <v>1</v>
      </c>
      <c r="AA122" s="787">
        <v>1</v>
      </c>
      <c r="AB122" s="310">
        <v>14</v>
      </c>
      <c r="AC122" s="311" t="s">
        <v>8898</v>
      </c>
      <c r="AD122" s="311" t="s">
        <v>8898</v>
      </c>
      <c r="AE122" s="803">
        <v>14</v>
      </c>
      <c r="AF122" s="250">
        <v>0</v>
      </c>
      <c r="AG122" s="313">
        <v>10</v>
      </c>
      <c r="AH122" s="616">
        <v>10</v>
      </c>
      <c r="AI122" s="617">
        <v>0</v>
      </c>
      <c r="AJ122" s="1515" t="s">
        <v>9057</v>
      </c>
      <c r="AK122" s="253" t="s">
        <v>1555</v>
      </c>
      <c r="AL122" s="254" t="str">
        <f t="shared" si="3"/>
        <v>TTC084</v>
      </c>
      <c r="AM122" s="255">
        <f t="shared" si="3"/>
        <v>425</v>
      </c>
      <c r="AN122" s="618" t="s">
        <v>8899</v>
      </c>
      <c r="AO122" s="619">
        <v>2.9</v>
      </c>
      <c r="AP122" s="620">
        <v>320</v>
      </c>
      <c r="AQ122" s="620">
        <v>104</v>
      </c>
      <c r="AR122" s="621">
        <f t="shared" si="4"/>
        <v>0.75761919999999994</v>
      </c>
      <c r="AS122" s="622">
        <v>1082.0710466508194</v>
      </c>
      <c r="AT122" s="620">
        <v>508</v>
      </c>
      <c r="AU122" s="623">
        <v>0.527969724104141</v>
      </c>
      <c r="AV122" s="624">
        <v>50</v>
      </c>
      <c r="AW122" s="625">
        <v>1026</v>
      </c>
      <c r="AX122" s="620">
        <v>330</v>
      </c>
      <c r="AY122" s="626">
        <v>500</v>
      </c>
      <c r="AZ122" s="626">
        <v>180</v>
      </c>
      <c r="BA122" s="627">
        <v>2.9700000000000001E-2</v>
      </c>
      <c r="BB122" s="627">
        <v>1.885</v>
      </c>
      <c r="BC122" s="686">
        <v>65</v>
      </c>
      <c r="BD122" s="628">
        <v>0.2</v>
      </c>
      <c r="BE122" s="629">
        <v>0.2</v>
      </c>
      <c r="BF122" s="620">
        <v>3</v>
      </c>
      <c r="BG122" s="163" t="s">
        <v>8904</v>
      </c>
      <c r="BH122" s="163">
        <v>1</v>
      </c>
      <c r="BK122" s="163">
        <v>0</v>
      </c>
      <c r="BM122" s="163" t="s">
        <v>8905</v>
      </c>
    </row>
    <row r="123" spans="1:65" ht="35.25" customHeight="1">
      <c r="A123" s="163" t="s">
        <v>9082</v>
      </c>
      <c r="B123" s="163" t="s">
        <v>1589</v>
      </c>
      <c r="C123" s="164" t="s">
        <v>8981</v>
      </c>
      <c r="D123" s="1497"/>
      <c r="E123" s="1505">
        <v>0</v>
      </c>
      <c r="F123" s="913">
        <v>97</v>
      </c>
      <c r="G123" s="916"/>
      <c r="H123" s="355"/>
      <c r="I123" s="231"/>
      <c r="J123" s="834" t="s">
        <v>1589</v>
      </c>
      <c r="K123" s="490" t="s">
        <v>1588</v>
      </c>
      <c r="L123" s="758" t="s">
        <v>4857</v>
      </c>
      <c r="M123" s="490">
        <v>1</v>
      </c>
      <c r="N123" s="759">
        <v>70</v>
      </c>
      <c r="O123" s="642" t="s">
        <v>4632</v>
      </c>
      <c r="P123" s="925">
        <v>425</v>
      </c>
      <c r="Q123" s="490">
        <v>50</v>
      </c>
      <c r="R123" s="237">
        <v>2313</v>
      </c>
      <c r="S123" s="302">
        <v>128.5</v>
      </c>
      <c r="T123" s="399">
        <v>2.57</v>
      </c>
      <c r="U123" s="1481">
        <v>128.5</v>
      </c>
      <c r="V123" s="1483">
        <v>0.22906839341176469</v>
      </c>
      <c r="W123" s="402">
        <v>7.6328999999999994E-2</v>
      </c>
      <c r="X123" s="392">
        <v>12</v>
      </c>
      <c r="Y123" s="760">
        <v>4</v>
      </c>
      <c r="Z123" s="761">
        <v>1</v>
      </c>
      <c r="AA123" s="787">
        <v>1</v>
      </c>
      <c r="AB123" s="310">
        <v>14</v>
      </c>
      <c r="AC123" s="397" t="s">
        <v>8898</v>
      </c>
      <c r="AD123" s="397" t="s">
        <v>8898</v>
      </c>
      <c r="AE123" s="762">
        <v>14</v>
      </c>
      <c r="AF123" s="250">
        <v>0</v>
      </c>
      <c r="AG123" s="313">
        <v>10</v>
      </c>
      <c r="AH123" s="638">
        <v>10</v>
      </c>
      <c r="AI123" s="639">
        <v>0</v>
      </c>
      <c r="AJ123" s="1516"/>
      <c r="AK123" s="253" t="s">
        <v>1589</v>
      </c>
      <c r="AL123" s="254" t="str">
        <f t="shared" si="3"/>
        <v>TTC084</v>
      </c>
      <c r="AM123" s="255">
        <f t="shared" si="3"/>
        <v>425</v>
      </c>
      <c r="AN123" s="640" t="s">
        <v>8899</v>
      </c>
      <c r="AO123" s="641">
        <v>2.9</v>
      </c>
      <c r="AP123" s="642">
        <v>320</v>
      </c>
      <c r="AQ123" s="642">
        <v>104</v>
      </c>
      <c r="AR123" s="643">
        <f t="shared" si="4"/>
        <v>0.75761919999999994</v>
      </c>
      <c r="AS123" s="644">
        <v>1082.0710466508194</v>
      </c>
      <c r="AT123" s="642">
        <v>508</v>
      </c>
      <c r="AU123" s="645">
        <v>0.527969724104141</v>
      </c>
      <c r="AV123" s="646">
        <v>50</v>
      </c>
      <c r="AW123" s="647">
        <v>1026</v>
      </c>
      <c r="AX123" s="642">
        <v>330</v>
      </c>
      <c r="AY123" s="648">
        <v>500</v>
      </c>
      <c r="AZ123" s="648">
        <v>180</v>
      </c>
      <c r="BA123" s="649">
        <v>2.9700000000000001E-2</v>
      </c>
      <c r="BB123" s="649">
        <v>1.885</v>
      </c>
      <c r="BC123" s="264">
        <v>65</v>
      </c>
      <c r="BD123" s="650">
        <v>0.2</v>
      </c>
      <c r="BE123" s="651">
        <v>0.2</v>
      </c>
      <c r="BF123" s="642">
        <v>3</v>
      </c>
      <c r="BG123" s="163" t="s">
        <v>8904</v>
      </c>
      <c r="BH123" s="163">
        <v>1</v>
      </c>
      <c r="BK123" s="163">
        <v>0</v>
      </c>
      <c r="BM123" s="163" t="s">
        <v>8905</v>
      </c>
    </row>
    <row r="124" spans="1:65" ht="35.25" hidden="1" customHeight="1">
      <c r="A124" s="163" t="s">
        <v>9083</v>
      </c>
      <c r="B124" s="163" t="s">
        <v>1348</v>
      </c>
      <c r="D124" s="1497"/>
      <c r="E124" s="1453" t="s">
        <v>8902</v>
      </c>
      <c r="F124" s="1525">
        <v>98</v>
      </c>
      <c r="G124" s="389"/>
      <c r="H124" s="294"/>
      <c r="I124" s="295"/>
      <c r="J124" s="806" t="s">
        <v>1348</v>
      </c>
      <c r="K124" s="798" t="s">
        <v>1347</v>
      </c>
      <c r="L124" s="799" t="s">
        <v>5179</v>
      </c>
      <c r="M124" s="798">
        <v>1</v>
      </c>
      <c r="N124" s="800">
        <v>70</v>
      </c>
      <c r="O124" s="620" t="s">
        <v>4560</v>
      </c>
      <c r="P124" s="928">
        <v>2000</v>
      </c>
      <c r="Q124" s="798">
        <v>30</v>
      </c>
      <c r="R124" s="237">
        <v>0</v>
      </c>
      <c r="S124" s="302">
        <v>0</v>
      </c>
      <c r="T124" s="399">
        <v>0</v>
      </c>
      <c r="U124" s="501">
        <v>0</v>
      </c>
      <c r="V124" s="929">
        <v>0</v>
      </c>
      <c r="W124" s="833">
        <v>0</v>
      </c>
      <c r="X124" s="930">
        <v>0</v>
      </c>
      <c r="Y124" s="931">
        <v>4</v>
      </c>
      <c r="Z124" s="932">
        <v>0</v>
      </c>
      <c r="AA124" s="933">
        <v>0</v>
      </c>
      <c r="AB124" s="921">
        <v>0</v>
      </c>
      <c r="AC124" s="934" t="s">
        <v>8898</v>
      </c>
      <c r="AD124" s="934" t="s">
        <v>8898</v>
      </c>
      <c r="AE124" s="803">
        <v>0</v>
      </c>
      <c r="AF124" s="250">
        <v>0</v>
      </c>
      <c r="AG124" s="313">
        <v>0</v>
      </c>
      <c r="AH124" s="616">
        <v>0</v>
      </c>
      <c r="AI124" s="617">
        <v>0</v>
      </c>
      <c r="AJ124" s="1527" t="s">
        <v>9076</v>
      </c>
      <c r="AK124" s="253" t="s">
        <v>1348</v>
      </c>
      <c r="AL124" s="254" t="str">
        <f t="shared" si="3"/>
        <v>HAN045</v>
      </c>
      <c r="AM124" s="255">
        <f t="shared" si="3"/>
        <v>2000</v>
      </c>
      <c r="AN124" s="618" t="s">
        <v>9020</v>
      </c>
      <c r="AO124" s="619">
        <v>1.4</v>
      </c>
      <c r="AP124" s="620">
        <v>439</v>
      </c>
      <c r="AQ124" s="620">
        <v>105</v>
      </c>
      <c r="AR124" s="621">
        <f t="shared" si="4"/>
        <v>0.50658404999999995</v>
      </c>
      <c r="AS124" s="622">
        <v>1169.1985612488684</v>
      </c>
      <c r="AT124" s="620">
        <v>508</v>
      </c>
      <c r="AU124" s="623">
        <v>0.84092659451082208</v>
      </c>
      <c r="AV124" s="624">
        <v>30</v>
      </c>
      <c r="AW124" s="625">
        <v>1026</v>
      </c>
      <c r="AX124" s="620">
        <v>330</v>
      </c>
      <c r="AY124" s="626">
        <v>500</v>
      </c>
      <c r="AZ124" s="626">
        <v>180</v>
      </c>
      <c r="BA124" s="627">
        <v>2.9700000000000001E-2</v>
      </c>
      <c r="BB124" s="627">
        <v>1.885</v>
      </c>
      <c r="BC124" s="325">
        <v>63</v>
      </c>
      <c r="BD124" s="628">
        <v>0.42599999999999999</v>
      </c>
      <c r="BE124" s="629">
        <v>0.42599999999999999</v>
      </c>
      <c r="BF124" s="620">
        <v>3</v>
      </c>
      <c r="BG124" s="163" t="s">
        <v>8932</v>
      </c>
      <c r="BH124" s="163">
        <v>3</v>
      </c>
      <c r="BK124" s="163">
        <v>0</v>
      </c>
      <c r="BM124" s="163" t="s">
        <v>8905</v>
      </c>
    </row>
    <row r="125" spans="1:65" ht="35.25" hidden="1" customHeight="1">
      <c r="A125" s="163" t="s">
        <v>9084</v>
      </c>
      <c r="B125" s="163" t="s">
        <v>1340</v>
      </c>
      <c r="D125" s="1497"/>
      <c r="E125" s="1453">
        <v>0</v>
      </c>
      <c r="F125" s="1526">
        <v>0</v>
      </c>
      <c r="G125" s="661"/>
      <c r="H125" s="328"/>
      <c r="I125" s="329"/>
      <c r="J125" s="935" t="s">
        <v>1340</v>
      </c>
      <c r="K125" s="882" t="s">
        <v>1339</v>
      </c>
      <c r="L125" s="883" t="s">
        <v>5180</v>
      </c>
      <c r="M125" s="882">
        <v>1</v>
      </c>
      <c r="N125" s="884">
        <v>70</v>
      </c>
      <c r="O125" s="678" t="s">
        <v>4560</v>
      </c>
      <c r="P125" s="928">
        <v>2000</v>
      </c>
      <c r="Q125" s="882">
        <v>30</v>
      </c>
      <c r="R125" s="237">
        <v>0</v>
      </c>
      <c r="S125" s="302">
        <v>0</v>
      </c>
      <c r="T125" s="399">
        <v>0</v>
      </c>
      <c r="U125" s="501">
        <v>0</v>
      </c>
      <c r="V125" s="929">
        <v>0</v>
      </c>
      <c r="W125" s="936">
        <v>0</v>
      </c>
      <c r="X125" s="930">
        <v>0</v>
      </c>
      <c r="Y125" s="937">
        <v>4</v>
      </c>
      <c r="Z125" s="938">
        <v>0</v>
      </c>
      <c r="AA125" s="933">
        <v>0</v>
      </c>
      <c r="AB125" s="921">
        <v>0</v>
      </c>
      <c r="AC125" s="939" t="s">
        <v>8898</v>
      </c>
      <c r="AD125" s="939" t="s">
        <v>8898</v>
      </c>
      <c r="AE125" s="892">
        <v>0</v>
      </c>
      <c r="AF125" s="250">
        <v>0</v>
      </c>
      <c r="AG125" s="313">
        <v>0</v>
      </c>
      <c r="AH125" s="674">
        <v>0</v>
      </c>
      <c r="AI125" s="675">
        <v>0</v>
      </c>
      <c r="AJ125" s="1528"/>
      <c r="AK125" s="253" t="s">
        <v>1340</v>
      </c>
      <c r="AL125" s="254" t="str">
        <f t="shared" si="3"/>
        <v>HAN045</v>
      </c>
      <c r="AM125" s="255">
        <f t="shared" si="3"/>
        <v>2000</v>
      </c>
      <c r="AN125" s="676" t="s">
        <v>9020</v>
      </c>
      <c r="AO125" s="677">
        <v>1.4</v>
      </c>
      <c r="AP125" s="678">
        <v>439</v>
      </c>
      <c r="AQ125" s="678">
        <v>105</v>
      </c>
      <c r="AR125" s="679">
        <f t="shared" si="4"/>
        <v>0.50658404999999995</v>
      </c>
      <c r="AS125" s="680">
        <v>1169.1985612488684</v>
      </c>
      <c r="AT125" s="678">
        <v>508</v>
      </c>
      <c r="AU125" s="681">
        <v>0.84092659451082208</v>
      </c>
      <c r="AV125" s="682">
        <v>30</v>
      </c>
      <c r="AW125" s="683">
        <v>1026</v>
      </c>
      <c r="AX125" s="678">
        <v>330</v>
      </c>
      <c r="AY125" s="684">
        <v>500</v>
      </c>
      <c r="AZ125" s="684">
        <v>180</v>
      </c>
      <c r="BA125" s="685">
        <v>2.9700000000000001E-2</v>
      </c>
      <c r="BB125" s="685">
        <v>1.885</v>
      </c>
      <c r="BC125" s="686">
        <v>63</v>
      </c>
      <c r="BD125" s="687">
        <v>0.42599999999999999</v>
      </c>
      <c r="BE125" s="688">
        <v>0.42599999999999999</v>
      </c>
      <c r="BF125" s="678">
        <v>3</v>
      </c>
      <c r="BG125" s="163" t="s">
        <v>8932</v>
      </c>
      <c r="BH125" s="163">
        <v>3</v>
      </c>
      <c r="BK125" s="163">
        <v>0</v>
      </c>
      <c r="BM125" s="163" t="s">
        <v>8905</v>
      </c>
    </row>
    <row r="126" spans="1:65" ht="35.25" hidden="1" customHeight="1">
      <c r="A126" s="163" t="s">
        <v>9085</v>
      </c>
      <c r="B126" s="163" t="s">
        <v>1322</v>
      </c>
      <c r="D126" s="1497"/>
      <c r="E126" s="940" t="s">
        <v>9086</v>
      </c>
      <c r="F126" s="1507">
        <v>0</v>
      </c>
      <c r="G126" s="229"/>
      <c r="H126" s="231"/>
      <c r="I126" s="393"/>
      <c r="J126" s="818" t="s">
        <v>1322</v>
      </c>
      <c r="K126" s="490" t="s">
        <v>1321</v>
      </c>
      <c r="L126" s="758" t="s">
        <v>99</v>
      </c>
      <c r="M126" s="490">
        <v>1</v>
      </c>
      <c r="N126" s="759">
        <v>70</v>
      </c>
      <c r="O126" s="642" t="s">
        <v>4560</v>
      </c>
      <c r="P126" s="941">
        <v>2000</v>
      </c>
      <c r="Q126" s="490">
        <v>30</v>
      </c>
      <c r="R126" s="237">
        <v>0</v>
      </c>
      <c r="S126" s="302">
        <v>0</v>
      </c>
      <c r="T126" s="399">
        <v>0</v>
      </c>
      <c r="U126" s="492">
        <v>0</v>
      </c>
      <c r="V126" s="929">
        <v>0</v>
      </c>
      <c r="W126" s="900">
        <v>0</v>
      </c>
      <c r="X126" s="930">
        <v>0</v>
      </c>
      <c r="Y126" s="918">
        <v>4</v>
      </c>
      <c r="Z126" s="942">
        <v>0</v>
      </c>
      <c r="AA126" s="933">
        <v>0</v>
      </c>
      <c r="AB126" s="921">
        <v>0</v>
      </c>
      <c r="AC126" s="943" t="s">
        <v>8898</v>
      </c>
      <c r="AD126" s="943" t="s">
        <v>8898</v>
      </c>
      <c r="AE126" s="762">
        <v>0</v>
      </c>
      <c r="AF126" s="250">
        <v>0</v>
      </c>
      <c r="AG126" s="313">
        <v>0</v>
      </c>
      <c r="AH126" s="762">
        <v>0</v>
      </c>
      <c r="AI126" s="944">
        <v>0</v>
      </c>
      <c r="AJ126" s="923" t="s">
        <v>9076</v>
      </c>
      <c r="AK126" s="253" t="s">
        <v>1322</v>
      </c>
      <c r="AL126" s="254" t="str">
        <f t="shared" si="3"/>
        <v>HAN045</v>
      </c>
      <c r="AM126" s="255">
        <f t="shared" si="3"/>
        <v>2000</v>
      </c>
      <c r="AN126" s="640" t="s">
        <v>9020</v>
      </c>
      <c r="AO126" s="641">
        <v>1.4</v>
      </c>
      <c r="AP126" s="642">
        <v>439</v>
      </c>
      <c r="AQ126" s="642">
        <v>105</v>
      </c>
      <c r="AR126" s="643">
        <f t="shared" si="4"/>
        <v>0.50658404999999995</v>
      </c>
      <c r="AS126" s="644">
        <v>1169.1985612488684</v>
      </c>
      <c r="AT126" s="642">
        <v>508</v>
      </c>
      <c r="AU126" s="645">
        <v>0.86856267977643598</v>
      </c>
      <c r="AV126" s="646">
        <v>30</v>
      </c>
      <c r="AW126" s="647">
        <v>1026</v>
      </c>
      <c r="AX126" s="642">
        <v>330</v>
      </c>
      <c r="AY126" s="648">
        <v>500</v>
      </c>
      <c r="AZ126" s="648">
        <v>180</v>
      </c>
      <c r="BA126" s="649">
        <v>2.9700000000000001E-2</v>
      </c>
      <c r="BB126" s="649">
        <v>1.885</v>
      </c>
      <c r="BC126" s="264">
        <v>63</v>
      </c>
      <c r="BD126" s="650">
        <v>0.44</v>
      </c>
      <c r="BE126" s="651">
        <v>0.44</v>
      </c>
      <c r="BF126" s="642">
        <v>3</v>
      </c>
      <c r="BG126" s="163" t="s">
        <v>8932</v>
      </c>
      <c r="BH126" s="163">
        <v>3</v>
      </c>
      <c r="BK126" s="163">
        <v>0</v>
      </c>
      <c r="BM126" s="163" t="s">
        <v>8905</v>
      </c>
    </row>
    <row r="127" spans="1:65" ht="35.25" hidden="1" customHeight="1">
      <c r="A127" s="163" t="s">
        <v>9087</v>
      </c>
      <c r="B127" s="163" t="s">
        <v>1370</v>
      </c>
      <c r="D127" s="1497"/>
      <c r="E127" s="1508" t="s">
        <v>8978</v>
      </c>
      <c r="F127" s="1525">
        <v>99</v>
      </c>
      <c r="G127" s="389"/>
      <c r="H127" s="294"/>
      <c r="I127" s="295"/>
      <c r="J127" s="806" t="s">
        <v>1370</v>
      </c>
      <c r="K127" s="798" t="s">
        <v>1369</v>
      </c>
      <c r="L127" s="799" t="s">
        <v>101</v>
      </c>
      <c r="M127" s="798">
        <v>1</v>
      </c>
      <c r="N127" s="800">
        <v>70</v>
      </c>
      <c r="O127" s="620" t="s">
        <v>4562</v>
      </c>
      <c r="P127" s="928" t="e">
        <v>#N/A</v>
      </c>
      <c r="Q127" s="798">
        <v>20</v>
      </c>
      <c r="R127" s="237">
        <v>0</v>
      </c>
      <c r="S127" s="302">
        <v>0</v>
      </c>
      <c r="T127" s="303">
        <v>0</v>
      </c>
      <c r="U127" s="304">
        <v>0</v>
      </c>
      <c r="V127" s="929" t="e">
        <v>#N/A</v>
      </c>
      <c r="W127" s="833">
        <v>0</v>
      </c>
      <c r="X127" s="930">
        <v>0</v>
      </c>
      <c r="Y127" s="931">
        <v>4</v>
      </c>
      <c r="Z127" s="932">
        <v>0</v>
      </c>
      <c r="AA127" s="933">
        <v>0</v>
      </c>
      <c r="AB127" s="921">
        <v>0</v>
      </c>
      <c r="AC127" s="934" t="s">
        <v>8898</v>
      </c>
      <c r="AD127" s="934" t="s">
        <v>8898</v>
      </c>
      <c r="AE127" s="803">
        <v>0</v>
      </c>
      <c r="AF127" s="250">
        <v>0</v>
      </c>
      <c r="AG127" s="313">
        <v>0</v>
      </c>
      <c r="AH127" s="616">
        <v>0</v>
      </c>
      <c r="AI127" s="617">
        <v>0</v>
      </c>
      <c r="AJ127" s="923" t="s">
        <v>9076</v>
      </c>
      <c r="AK127" s="253" t="s">
        <v>1370</v>
      </c>
      <c r="AL127" s="254" t="str">
        <f t="shared" si="3"/>
        <v>HAN072</v>
      </c>
      <c r="AM127" s="255" t="e">
        <f t="shared" si="3"/>
        <v>#N/A</v>
      </c>
      <c r="AN127" s="618" t="s">
        <v>9020</v>
      </c>
      <c r="AO127" s="619">
        <v>1.4</v>
      </c>
      <c r="AP127" s="620">
        <v>449</v>
      </c>
      <c r="AQ127" s="620">
        <v>123</v>
      </c>
      <c r="AR127" s="621">
        <f t="shared" si="4"/>
        <v>0.60694472999999982</v>
      </c>
      <c r="AS127" s="622">
        <v>1158.5882815893142</v>
      </c>
      <c r="AT127" s="620">
        <v>508</v>
      </c>
      <c r="AU127" s="623">
        <v>0.84192180068850775</v>
      </c>
      <c r="AV127" s="624">
        <v>20</v>
      </c>
      <c r="AW127" s="625">
        <v>1026</v>
      </c>
      <c r="AX127" s="620">
        <v>330</v>
      </c>
      <c r="AY127" s="626">
        <v>500</v>
      </c>
      <c r="AZ127" s="626">
        <v>180</v>
      </c>
      <c r="BA127" s="627">
        <v>2.9700000000000001E-2</v>
      </c>
      <c r="BB127" s="627">
        <v>1.885</v>
      </c>
      <c r="BC127" s="325">
        <v>63</v>
      </c>
      <c r="BD127" s="628">
        <v>0.51100000000000001</v>
      </c>
      <c r="BE127" s="629">
        <v>0.51100000000000001</v>
      </c>
      <c r="BF127" s="620">
        <v>3</v>
      </c>
      <c r="BG127" s="163" t="s">
        <v>8932</v>
      </c>
      <c r="BH127" s="163">
        <v>3</v>
      </c>
      <c r="BK127" s="163">
        <v>0</v>
      </c>
      <c r="BM127" s="163" t="s">
        <v>8905</v>
      </c>
    </row>
    <row r="128" spans="1:65" ht="35.25" hidden="1" customHeight="1">
      <c r="A128" s="163" t="s">
        <v>9088</v>
      </c>
      <c r="B128" s="163" t="s">
        <v>1372</v>
      </c>
      <c r="D128" s="1497"/>
      <c r="E128" s="1509">
        <v>0</v>
      </c>
      <c r="F128" s="1507">
        <v>0</v>
      </c>
      <c r="G128" s="229"/>
      <c r="H128" s="231"/>
      <c r="I128" s="393"/>
      <c r="J128" s="945" t="s">
        <v>1372</v>
      </c>
      <c r="K128" s="858" t="s">
        <v>1371</v>
      </c>
      <c r="L128" s="946" t="s">
        <v>101</v>
      </c>
      <c r="M128" s="858">
        <v>1</v>
      </c>
      <c r="N128" s="947">
        <v>70</v>
      </c>
      <c r="O128" s="948" t="s">
        <v>4562</v>
      </c>
      <c r="P128" s="949" t="e">
        <v>#N/A</v>
      </c>
      <c r="Q128" s="858">
        <v>20</v>
      </c>
      <c r="R128" s="237">
        <v>0</v>
      </c>
      <c r="S128" s="302">
        <v>0</v>
      </c>
      <c r="T128" s="399">
        <v>0</v>
      </c>
      <c r="U128" s="492">
        <v>0</v>
      </c>
      <c r="V128" s="929" t="e">
        <v>#N/A</v>
      </c>
      <c r="W128" s="835">
        <v>0</v>
      </c>
      <c r="X128" s="930">
        <v>0</v>
      </c>
      <c r="Y128" s="950">
        <v>4</v>
      </c>
      <c r="Z128" s="951">
        <v>0</v>
      </c>
      <c r="AA128" s="933">
        <v>0</v>
      </c>
      <c r="AB128" s="921">
        <v>0</v>
      </c>
      <c r="AC128" s="939" t="s">
        <v>8898</v>
      </c>
      <c r="AD128" s="939" t="s">
        <v>8898</v>
      </c>
      <c r="AE128" s="952">
        <v>0</v>
      </c>
      <c r="AF128" s="250">
        <v>0</v>
      </c>
      <c r="AG128" s="313">
        <v>0</v>
      </c>
      <c r="AH128" s="952">
        <v>0</v>
      </c>
      <c r="AI128" s="953">
        <v>0</v>
      </c>
      <c r="AJ128" s="923" t="s">
        <v>9076</v>
      </c>
      <c r="AK128" s="253" t="s">
        <v>1372</v>
      </c>
      <c r="AL128" s="254" t="str">
        <f t="shared" si="3"/>
        <v>HAN072</v>
      </c>
      <c r="AM128" s="255" t="e">
        <f t="shared" si="3"/>
        <v>#N/A</v>
      </c>
      <c r="AN128" s="715" t="s">
        <v>9020</v>
      </c>
      <c r="AO128" s="716">
        <v>1.4</v>
      </c>
      <c r="AP128" s="717">
        <v>449</v>
      </c>
      <c r="AQ128" s="717">
        <v>123</v>
      </c>
      <c r="AR128" s="718">
        <f t="shared" si="4"/>
        <v>0.60694472999999982</v>
      </c>
      <c r="AS128" s="719">
        <v>1158.5882815893142</v>
      </c>
      <c r="AT128" s="717">
        <v>508</v>
      </c>
      <c r="AU128" s="720">
        <v>0.84521699364619274</v>
      </c>
      <c r="AV128" s="721">
        <v>20</v>
      </c>
      <c r="AW128" s="722">
        <v>1026</v>
      </c>
      <c r="AX128" s="717">
        <v>330</v>
      </c>
      <c r="AY128" s="723">
        <v>500</v>
      </c>
      <c r="AZ128" s="723">
        <v>180</v>
      </c>
      <c r="BA128" s="724">
        <v>2.9700000000000001E-2</v>
      </c>
      <c r="BB128" s="724">
        <v>1.885</v>
      </c>
      <c r="BC128" s="725">
        <v>63</v>
      </c>
      <c r="BD128" s="726">
        <v>0.51300000000000001</v>
      </c>
      <c r="BE128" s="727">
        <v>0.51300000000000001</v>
      </c>
      <c r="BF128" s="717">
        <v>3</v>
      </c>
      <c r="BG128" s="163" t="s">
        <v>8932</v>
      </c>
      <c r="BH128" s="163">
        <v>3</v>
      </c>
      <c r="BK128" s="163">
        <v>0</v>
      </c>
      <c r="BM128" s="163" t="s">
        <v>8905</v>
      </c>
    </row>
    <row r="129" spans="1:65" ht="35.25" hidden="1" customHeight="1">
      <c r="A129" s="163" t="s">
        <v>9089</v>
      </c>
      <c r="B129" s="163" t="s">
        <v>3284</v>
      </c>
      <c r="D129" s="1521"/>
      <c r="E129" s="954" t="s">
        <v>8898</v>
      </c>
      <c r="F129" s="955" t="s">
        <v>8898</v>
      </c>
      <c r="G129" s="956"/>
      <c r="H129" s="957"/>
      <c r="I129" s="957"/>
      <c r="J129" s="958" t="s">
        <v>3284</v>
      </c>
      <c r="K129" s="959" t="s">
        <v>9090</v>
      </c>
      <c r="L129" s="960" t="s">
        <v>9091</v>
      </c>
      <c r="M129" s="959" t="s">
        <v>8898</v>
      </c>
      <c r="N129" s="961" t="s">
        <v>8898</v>
      </c>
      <c r="O129" s="962" t="s">
        <v>4498</v>
      </c>
      <c r="P129" s="962">
        <v>1750</v>
      </c>
      <c r="Q129" s="959">
        <v>50</v>
      </c>
      <c r="R129" s="963">
        <v>0</v>
      </c>
      <c r="S129" s="964">
        <v>0</v>
      </c>
      <c r="T129" s="965"/>
      <c r="U129" s="966"/>
      <c r="V129" s="967">
        <v>0</v>
      </c>
      <c r="W129" s="968"/>
      <c r="X129" s="969"/>
      <c r="Y129" s="970"/>
      <c r="Z129" s="971"/>
      <c r="AA129" s="972"/>
      <c r="AB129" s="973">
        <v>0</v>
      </c>
      <c r="AC129" s="974"/>
      <c r="AD129" s="974"/>
      <c r="AE129" s="975">
        <v>0</v>
      </c>
      <c r="AF129" s="976">
        <v>0</v>
      </c>
      <c r="AG129" s="977"/>
      <c r="AH129" s="978"/>
      <c r="AI129" s="979"/>
      <c r="AJ129" s="980"/>
      <c r="AK129" s="253" t="s">
        <v>3284</v>
      </c>
      <c r="AL129" s="254" t="str">
        <f t="shared" si="3"/>
        <v>TTC069</v>
      </c>
      <c r="AM129" s="255">
        <f t="shared" si="3"/>
        <v>1750</v>
      </c>
      <c r="AN129" s="981" t="s">
        <v>8931</v>
      </c>
      <c r="AO129" s="982">
        <v>1</v>
      </c>
      <c r="AP129" s="983">
        <v>492</v>
      </c>
      <c r="AQ129" s="983">
        <v>120</v>
      </c>
      <c r="AR129" s="984" t="e">
        <f t="shared" si="4"/>
        <v>#VALUE!</v>
      </c>
      <c r="AS129" s="985">
        <v>1146.0936552772059</v>
      </c>
      <c r="AT129" s="983">
        <v>508</v>
      </c>
      <c r="AU129" s="986">
        <v>0</v>
      </c>
      <c r="AV129" s="893">
        <v>50</v>
      </c>
      <c r="AW129" s="987">
        <v>1026</v>
      </c>
      <c r="AX129" s="983">
        <v>330</v>
      </c>
      <c r="AY129" s="686">
        <v>500</v>
      </c>
      <c r="AZ129" s="686">
        <v>180</v>
      </c>
      <c r="BA129" s="988">
        <v>2.9700000000000001E-2</v>
      </c>
      <c r="BB129" s="988">
        <v>1.885</v>
      </c>
      <c r="BC129" s="686" t="s">
        <v>8898</v>
      </c>
      <c r="BD129" s="686">
        <v>0</v>
      </c>
      <c r="BE129" s="989">
        <v>0</v>
      </c>
      <c r="BF129" s="983">
        <v>3</v>
      </c>
      <c r="BG129" s="163" t="s">
        <v>8905</v>
      </c>
      <c r="BK129" s="163">
        <v>0</v>
      </c>
      <c r="BM129" s="163" t="s">
        <v>8905</v>
      </c>
    </row>
    <row r="130" spans="1:65" ht="35.25" customHeight="1">
      <c r="A130" s="990" t="s">
        <v>9092</v>
      </c>
      <c r="B130" s="990" t="s">
        <v>1352</v>
      </c>
      <c r="C130" s="164" t="s">
        <v>8907</v>
      </c>
      <c r="D130" s="1529" t="s">
        <v>9093</v>
      </c>
      <c r="E130" s="1530" t="s">
        <v>8978</v>
      </c>
      <c r="F130" s="991">
        <v>69</v>
      </c>
      <c r="G130" s="926"/>
      <c r="H130" s="328"/>
      <c r="I130" s="927"/>
      <c r="J130" s="992" t="s">
        <v>1352</v>
      </c>
      <c r="K130" s="848" t="s">
        <v>1351</v>
      </c>
      <c r="L130" s="849" t="s">
        <v>9029</v>
      </c>
      <c r="M130" s="848">
        <v>1</v>
      </c>
      <c r="N130" s="850">
        <v>63</v>
      </c>
      <c r="O130" s="851" t="s">
        <v>4560</v>
      </c>
      <c r="P130" s="993">
        <v>1000</v>
      </c>
      <c r="Q130" s="848">
        <v>30</v>
      </c>
      <c r="R130" s="237">
        <v>8001</v>
      </c>
      <c r="S130" s="994">
        <v>444.5</v>
      </c>
      <c r="T130" s="852">
        <v>14.816666666666666</v>
      </c>
      <c r="U130" s="853">
        <v>444.5</v>
      </c>
      <c r="V130" s="929">
        <v>0.22517661022499999</v>
      </c>
      <c r="W130" s="854">
        <v>0.44005500000000003</v>
      </c>
      <c r="X130" s="855">
        <v>66</v>
      </c>
      <c r="Y130" s="856">
        <v>4</v>
      </c>
      <c r="Z130" s="857">
        <v>4</v>
      </c>
      <c r="AA130" s="848">
        <v>4</v>
      </c>
      <c r="AB130" s="310">
        <v>74</v>
      </c>
      <c r="AC130" s="860" t="s">
        <v>8898</v>
      </c>
      <c r="AD130" s="995" t="s">
        <v>8898</v>
      </c>
      <c r="AE130" s="996">
        <v>72</v>
      </c>
      <c r="AF130" s="250">
        <v>2</v>
      </c>
      <c r="AG130" s="313">
        <v>60</v>
      </c>
      <c r="AH130" s="997">
        <v>60</v>
      </c>
      <c r="AI130" s="998">
        <v>0</v>
      </c>
      <c r="AJ130" s="1532" t="s">
        <v>9057</v>
      </c>
      <c r="AK130" s="253" t="s">
        <v>1352</v>
      </c>
      <c r="AL130" s="254" t="str">
        <f t="shared" si="3"/>
        <v>HAN045</v>
      </c>
      <c r="AM130" s="255">
        <f t="shared" si="3"/>
        <v>1000</v>
      </c>
      <c r="AN130" s="618" t="s">
        <v>9020</v>
      </c>
      <c r="AO130" s="619">
        <v>1.4</v>
      </c>
      <c r="AP130" s="620">
        <v>439</v>
      </c>
      <c r="AQ130" s="620">
        <v>105</v>
      </c>
      <c r="AR130" s="621">
        <f t="shared" si="4"/>
        <v>0.50658404999999995</v>
      </c>
      <c r="AS130" s="622">
        <v>1169.1985612488684</v>
      </c>
      <c r="AT130" s="620">
        <v>508</v>
      </c>
      <c r="AU130" s="623">
        <v>0.84882261887242605</v>
      </c>
      <c r="AV130" s="624">
        <v>30</v>
      </c>
      <c r="AW130" s="625">
        <v>1026</v>
      </c>
      <c r="AX130" s="620">
        <v>330</v>
      </c>
      <c r="AY130" s="626">
        <v>500</v>
      </c>
      <c r="AZ130" s="626">
        <v>180</v>
      </c>
      <c r="BA130" s="627">
        <v>2.9700000000000001E-2</v>
      </c>
      <c r="BB130" s="627">
        <v>1.885</v>
      </c>
      <c r="BC130" s="325">
        <v>60</v>
      </c>
      <c r="BD130" s="628">
        <v>0.43</v>
      </c>
      <c r="BE130" s="629">
        <v>0.43</v>
      </c>
      <c r="BF130" s="620">
        <v>3</v>
      </c>
      <c r="BG130" s="163" t="s">
        <v>8932</v>
      </c>
      <c r="BH130" s="163">
        <v>3</v>
      </c>
      <c r="BK130" s="163">
        <v>0</v>
      </c>
      <c r="BM130" s="163" t="s">
        <v>8905</v>
      </c>
    </row>
    <row r="131" spans="1:65" ht="34.75" customHeight="1" thickBot="1">
      <c r="A131" s="990" t="s">
        <v>9094</v>
      </c>
      <c r="B131" s="990" t="s">
        <v>1344</v>
      </c>
      <c r="C131" s="164" t="s">
        <v>8907</v>
      </c>
      <c r="D131" s="1497"/>
      <c r="E131" s="1531"/>
      <c r="F131" s="991">
        <v>69</v>
      </c>
      <c r="G131" s="805"/>
      <c r="H131" s="231"/>
      <c r="I131" s="355"/>
      <c r="J131" s="999" t="s">
        <v>1344</v>
      </c>
      <c r="K131" s="1000" t="s">
        <v>1343</v>
      </c>
      <c r="L131" s="1001" t="s">
        <v>9031</v>
      </c>
      <c r="M131" s="1000">
        <v>1</v>
      </c>
      <c r="N131" s="1002">
        <v>63</v>
      </c>
      <c r="O131" s="1003" t="s">
        <v>4560</v>
      </c>
      <c r="P131" s="928">
        <v>1000</v>
      </c>
      <c r="Q131" s="1000">
        <v>30</v>
      </c>
      <c r="R131" s="237">
        <v>7609</v>
      </c>
      <c r="S131" s="302">
        <v>422.72222222222223</v>
      </c>
      <c r="T131" s="872">
        <v>14.09074074074074</v>
      </c>
      <c r="U131" s="873">
        <v>422.72222222222223</v>
      </c>
      <c r="V131" s="929">
        <v>0.2141443353583333</v>
      </c>
      <c r="W131" s="874">
        <v>0.41849500000000001</v>
      </c>
      <c r="X131" s="875">
        <v>66</v>
      </c>
      <c r="Y131" s="1004">
        <v>4</v>
      </c>
      <c r="Z131" s="876">
        <v>4</v>
      </c>
      <c r="AA131" s="1000">
        <v>4</v>
      </c>
      <c r="AB131" s="310">
        <v>74</v>
      </c>
      <c r="AC131" s="1002" t="s">
        <v>8898</v>
      </c>
      <c r="AD131" s="1000" t="s">
        <v>8898</v>
      </c>
      <c r="AE131" s="762">
        <v>72</v>
      </c>
      <c r="AF131" s="250">
        <v>2</v>
      </c>
      <c r="AG131" s="313">
        <v>60</v>
      </c>
      <c r="AH131" s="638">
        <v>60</v>
      </c>
      <c r="AI131" s="639">
        <v>0</v>
      </c>
      <c r="AJ131" s="1533"/>
      <c r="AK131" s="253" t="s">
        <v>1344</v>
      </c>
      <c r="AL131" s="254" t="str">
        <f t="shared" si="3"/>
        <v>HAN045</v>
      </c>
      <c r="AM131" s="255">
        <f t="shared" si="3"/>
        <v>1000</v>
      </c>
      <c r="AN131" s="640" t="s">
        <v>9020</v>
      </c>
      <c r="AO131" s="641">
        <v>1.4</v>
      </c>
      <c r="AP131" s="642">
        <v>439</v>
      </c>
      <c r="AQ131" s="642">
        <v>105</v>
      </c>
      <c r="AR131" s="643">
        <f t="shared" si="4"/>
        <v>0.50658404999999995</v>
      </c>
      <c r="AS131" s="644">
        <v>1169.1985612488684</v>
      </c>
      <c r="AT131" s="642">
        <v>508</v>
      </c>
      <c r="AU131" s="645">
        <v>0.84882261887242605</v>
      </c>
      <c r="AV131" s="646">
        <v>30</v>
      </c>
      <c r="AW131" s="647">
        <v>1026</v>
      </c>
      <c r="AX131" s="642">
        <v>330</v>
      </c>
      <c r="AY131" s="648">
        <v>500</v>
      </c>
      <c r="AZ131" s="648">
        <v>180</v>
      </c>
      <c r="BA131" s="649">
        <v>2.9700000000000001E-2</v>
      </c>
      <c r="BB131" s="649">
        <v>1.885</v>
      </c>
      <c r="BC131" s="264">
        <v>60</v>
      </c>
      <c r="BD131" s="650">
        <v>0.43</v>
      </c>
      <c r="BE131" s="651">
        <v>0.43</v>
      </c>
      <c r="BF131" s="642">
        <v>3</v>
      </c>
      <c r="BG131" s="163" t="s">
        <v>8932</v>
      </c>
      <c r="BH131" s="163">
        <v>3</v>
      </c>
      <c r="BK131" s="163">
        <v>0</v>
      </c>
      <c r="BM131" s="163" t="s">
        <v>8905</v>
      </c>
    </row>
    <row r="132" spans="1:65" ht="35.25" customHeight="1" thickTop="1">
      <c r="A132" s="163" t="s">
        <v>9095</v>
      </c>
      <c r="B132" s="163" t="s">
        <v>2711</v>
      </c>
      <c r="C132" s="164" t="s">
        <v>8907</v>
      </c>
      <c r="D132" s="1497"/>
      <c r="E132" s="1006"/>
      <c r="F132" s="228">
        <v>101</v>
      </c>
      <c r="G132" s="229"/>
      <c r="H132" s="230"/>
      <c r="I132" s="231"/>
      <c r="J132" s="1007" t="s">
        <v>2711</v>
      </c>
      <c r="K132" s="858" t="s">
        <v>2710</v>
      </c>
      <c r="L132" s="946" t="s">
        <v>9096</v>
      </c>
      <c r="M132" s="858">
        <v>1</v>
      </c>
      <c r="N132" s="947">
        <v>60</v>
      </c>
      <c r="O132" s="1008" t="s">
        <v>4530</v>
      </c>
      <c r="P132" s="1008">
        <v>2500</v>
      </c>
      <c r="Q132" s="858">
        <v>12</v>
      </c>
      <c r="R132" s="237">
        <v>34170</v>
      </c>
      <c r="S132" s="302">
        <v>1898.3333333333333</v>
      </c>
      <c r="T132" s="399">
        <v>158.19444444444443</v>
      </c>
      <c r="U132" s="492">
        <v>1898.3333333333333</v>
      </c>
      <c r="V132" s="929">
        <v>0.92227246957999975</v>
      </c>
      <c r="W132" s="835">
        <v>6.6758055555555549</v>
      </c>
      <c r="X132" s="392">
        <v>172</v>
      </c>
      <c r="Y132" s="1009">
        <v>4</v>
      </c>
      <c r="Z132" s="1010">
        <v>40</v>
      </c>
      <c r="AA132" s="1000">
        <v>40</v>
      </c>
      <c r="AB132" s="310">
        <v>252</v>
      </c>
      <c r="AC132" s="792">
        <v>5.9</v>
      </c>
      <c r="AD132" s="843">
        <v>58</v>
      </c>
      <c r="AE132" s="952">
        <v>234</v>
      </c>
      <c r="AF132" s="250">
        <v>18</v>
      </c>
      <c r="AG132" s="313">
        <v>170</v>
      </c>
      <c r="AH132" s="584">
        <v>170</v>
      </c>
      <c r="AI132" s="585">
        <v>0</v>
      </c>
      <c r="AJ132" s="441"/>
      <c r="AK132" s="1011" t="s">
        <v>2711</v>
      </c>
      <c r="AL132" s="254" t="str">
        <f t="shared" si="3"/>
        <v>TTC063</v>
      </c>
      <c r="AM132" s="255">
        <f t="shared" si="3"/>
        <v>2500</v>
      </c>
      <c r="AN132" s="1012" t="s">
        <v>8968</v>
      </c>
      <c r="AO132" s="1013">
        <v>1.4</v>
      </c>
      <c r="AP132" s="1014">
        <v>561</v>
      </c>
      <c r="AQ132" s="1014">
        <v>197</v>
      </c>
      <c r="AR132" s="1015">
        <f t="shared" si="4"/>
        <v>1.2145818299999998</v>
      </c>
      <c r="AS132" s="1016">
        <v>1152.539244211413</v>
      </c>
      <c r="AT132" s="1014">
        <v>508</v>
      </c>
      <c r="AU132" s="1017">
        <v>0.56068680032863671</v>
      </c>
      <c r="AV132" s="1018">
        <v>12</v>
      </c>
      <c r="AW132" s="1019">
        <v>2546</v>
      </c>
      <c r="AX132" s="1014">
        <v>370</v>
      </c>
      <c r="AY132" s="1020">
        <v>570</v>
      </c>
      <c r="AZ132" s="1020">
        <v>200</v>
      </c>
      <c r="BA132" s="1021">
        <v>4.2200000000000001E-2</v>
      </c>
      <c r="BB132" s="1021">
        <v>2.085</v>
      </c>
      <c r="BC132" s="1020">
        <v>60</v>
      </c>
      <c r="BD132" s="1022">
        <v>0.68100000000000005</v>
      </c>
      <c r="BE132" s="1023">
        <v>0.68100000000000005</v>
      </c>
      <c r="BF132" s="1024">
        <v>3</v>
      </c>
      <c r="BG132" s="163" t="s">
        <v>8953</v>
      </c>
      <c r="BH132" s="163">
        <v>2</v>
      </c>
      <c r="BK132" s="163">
        <v>0</v>
      </c>
      <c r="BM132" s="163" t="s">
        <v>8905</v>
      </c>
    </row>
    <row r="133" spans="1:65" ht="35.25" customHeight="1">
      <c r="A133" s="163" t="s">
        <v>9097</v>
      </c>
      <c r="B133" s="163" t="s">
        <v>2767</v>
      </c>
      <c r="C133" s="164" t="s">
        <v>8907</v>
      </c>
      <c r="D133" s="1497"/>
      <c r="E133" s="763"/>
      <c r="F133" s="268">
        <v>102</v>
      </c>
      <c r="G133" s="229"/>
      <c r="H133" s="270"/>
      <c r="I133" s="271"/>
      <c r="J133" s="1025" t="s">
        <v>2767</v>
      </c>
      <c r="K133" s="787" t="s">
        <v>2766</v>
      </c>
      <c r="L133" s="788" t="s">
        <v>9098</v>
      </c>
      <c r="M133" s="787">
        <v>1</v>
      </c>
      <c r="N133" s="789">
        <v>60</v>
      </c>
      <c r="O133" s="536" t="s">
        <v>4530</v>
      </c>
      <c r="P133" s="536">
        <v>2500</v>
      </c>
      <c r="Q133" s="787">
        <v>12</v>
      </c>
      <c r="R133" s="237">
        <v>34238</v>
      </c>
      <c r="S133" s="302">
        <v>1902.1111111111111</v>
      </c>
      <c r="T133" s="399">
        <v>158.50925925925927</v>
      </c>
      <c r="U133" s="492">
        <v>1902.1111111111111</v>
      </c>
      <c r="V133" s="929">
        <v>0.92410783767866655</v>
      </c>
      <c r="W133" s="791">
        <v>6.6890907407407409</v>
      </c>
      <c r="X133" s="392">
        <v>172</v>
      </c>
      <c r="Y133" s="488">
        <v>4</v>
      </c>
      <c r="Z133" s="489">
        <v>40</v>
      </c>
      <c r="AA133" s="1000">
        <v>40</v>
      </c>
      <c r="AB133" s="310">
        <v>252</v>
      </c>
      <c r="AC133" s="792">
        <v>5.9</v>
      </c>
      <c r="AD133" s="843">
        <v>58</v>
      </c>
      <c r="AE133" s="689">
        <v>234</v>
      </c>
      <c r="AF133" s="250">
        <v>18</v>
      </c>
      <c r="AG133" s="313">
        <v>170</v>
      </c>
      <c r="AH133" s="531">
        <v>170</v>
      </c>
      <c r="AI133" s="532">
        <v>0</v>
      </c>
      <c r="AJ133" s="441"/>
      <c r="AK133" s="253" t="s">
        <v>2767</v>
      </c>
      <c r="AL133" s="254" t="str">
        <f t="shared" si="3"/>
        <v>TTC063</v>
      </c>
      <c r="AM133" s="255">
        <f t="shared" si="3"/>
        <v>2500</v>
      </c>
      <c r="AN133" s="534" t="s">
        <v>8968</v>
      </c>
      <c r="AO133" s="535">
        <v>1.4</v>
      </c>
      <c r="AP133" s="536">
        <v>561</v>
      </c>
      <c r="AQ133" s="536">
        <v>197</v>
      </c>
      <c r="AR133" s="537">
        <f t="shared" si="4"/>
        <v>1.2145818299999998</v>
      </c>
      <c r="AS133" s="538">
        <v>1152.539244211413</v>
      </c>
      <c r="AT133" s="536">
        <v>508</v>
      </c>
      <c r="AU133" s="539">
        <v>0.56068680032863671</v>
      </c>
      <c r="AV133" s="521">
        <v>12</v>
      </c>
      <c r="AW133" s="540">
        <v>2546</v>
      </c>
      <c r="AX133" s="536">
        <v>370</v>
      </c>
      <c r="AY133" s="290">
        <v>570</v>
      </c>
      <c r="AZ133" s="290">
        <v>200</v>
      </c>
      <c r="BA133" s="541">
        <v>4.2200000000000001E-2</v>
      </c>
      <c r="BB133" s="541">
        <v>2.085</v>
      </c>
      <c r="BC133" s="290">
        <v>60</v>
      </c>
      <c r="BD133" s="542">
        <v>0.68100000000000005</v>
      </c>
      <c r="BE133" s="543">
        <v>0.68100000000000005</v>
      </c>
      <c r="BF133" s="1026">
        <v>3</v>
      </c>
      <c r="BG133" s="163" t="s">
        <v>8953</v>
      </c>
      <c r="BH133" s="163">
        <v>2</v>
      </c>
      <c r="BK133" s="163">
        <v>0</v>
      </c>
      <c r="BM133" s="163" t="s">
        <v>8905</v>
      </c>
    </row>
    <row r="134" spans="1:65" ht="35.25" customHeight="1">
      <c r="A134" s="163" t="s">
        <v>9099</v>
      </c>
      <c r="B134" s="163" t="s">
        <v>1671</v>
      </c>
      <c r="C134" s="164" t="s">
        <v>8907</v>
      </c>
      <c r="D134" s="1497"/>
      <c r="E134" s="1510" t="s">
        <v>8916</v>
      </c>
      <c r="F134" s="913">
        <v>103</v>
      </c>
      <c r="G134" s="408"/>
      <c r="H134" s="294"/>
      <c r="I134" s="294"/>
      <c r="J134" s="1027" t="s">
        <v>1671</v>
      </c>
      <c r="K134" s="798" t="s">
        <v>1670</v>
      </c>
      <c r="L134" s="799" t="s">
        <v>8302</v>
      </c>
      <c r="M134" s="798">
        <v>1</v>
      </c>
      <c r="N134" s="800">
        <v>70</v>
      </c>
      <c r="O134" s="620" t="s">
        <v>4630</v>
      </c>
      <c r="P134" s="620">
        <v>1600</v>
      </c>
      <c r="Q134" s="798">
        <v>40</v>
      </c>
      <c r="R134" s="237">
        <v>45628</v>
      </c>
      <c r="S134" s="302">
        <v>2534.8888888888887</v>
      </c>
      <c r="T134" s="303">
        <v>63.37222222222222</v>
      </c>
      <c r="U134" s="1480">
        <v>2534.8888888888887</v>
      </c>
      <c r="V134" s="1482">
        <v>1.1625023892166666</v>
      </c>
      <c r="W134" s="306">
        <v>1.882155</v>
      </c>
      <c r="X134" s="392">
        <v>55</v>
      </c>
      <c r="Y134" s="801">
        <v>4</v>
      </c>
      <c r="Z134" s="802">
        <v>16</v>
      </c>
      <c r="AA134" s="1000">
        <v>16</v>
      </c>
      <c r="AB134" s="310">
        <v>87</v>
      </c>
      <c r="AC134" s="311" t="s">
        <v>8898</v>
      </c>
      <c r="AD134" s="311" t="s">
        <v>8898</v>
      </c>
      <c r="AE134" s="803">
        <v>80</v>
      </c>
      <c r="AF134" s="250">
        <v>7</v>
      </c>
      <c r="AG134" s="313">
        <v>50</v>
      </c>
      <c r="AH134" s="616">
        <v>50</v>
      </c>
      <c r="AI134" s="617">
        <v>0</v>
      </c>
      <c r="AJ134" s="1511"/>
      <c r="AK134" s="253" t="s">
        <v>1671</v>
      </c>
      <c r="AL134" s="254" t="str">
        <f t="shared" si="3"/>
        <v>HAN074</v>
      </c>
      <c r="AM134" s="255">
        <f t="shared" si="3"/>
        <v>1600</v>
      </c>
      <c r="AN134" s="618" t="s">
        <v>8899</v>
      </c>
      <c r="AO134" s="619">
        <v>2.9</v>
      </c>
      <c r="AP134" s="620">
        <v>316</v>
      </c>
      <c r="AQ134" s="620">
        <v>102</v>
      </c>
      <c r="AR134" s="621">
        <f t="shared" si="4"/>
        <v>0.73376147999999997</v>
      </c>
      <c r="AS134" s="622">
        <v>1087.3970546356927</v>
      </c>
      <c r="AT134" s="620">
        <v>508</v>
      </c>
      <c r="AU134" s="623">
        <v>0.61327830945827255</v>
      </c>
      <c r="AV134" s="624">
        <v>40</v>
      </c>
      <c r="AW134" s="625">
        <v>1026</v>
      </c>
      <c r="AX134" s="620">
        <v>330</v>
      </c>
      <c r="AY134" s="626">
        <v>500</v>
      </c>
      <c r="AZ134" s="626">
        <v>180</v>
      </c>
      <c r="BA134" s="627">
        <v>2.9700000000000001E-2</v>
      </c>
      <c r="BB134" s="627">
        <v>1.885</v>
      </c>
      <c r="BC134" s="325">
        <v>70</v>
      </c>
      <c r="BD134" s="628">
        <v>0.22500000000000001</v>
      </c>
      <c r="BE134" s="629">
        <v>0.22500000000000001</v>
      </c>
      <c r="BF134" s="1028">
        <v>3</v>
      </c>
      <c r="BG134" s="163" t="s">
        <v>8904</v>
      </c>
      <c r="BH134" s="163">
        <v>1</v>
      </c>
      <c r="BK134" s="163">
        <v>0</v>
      </c>
      <c r="BM134" s="163" t="s">
        <v>8905</v>
      </c>
    </row>
    <row r="135" spans="1:65" ht="35.25" customHeight="1">
      <c r="A135" s="163" t="s">
        <v>9100</v>
      </c>
      <c r="B135" s="163" t="s">
        <v>1705</v>
      </c>
      <c r="C135" s="164" t="s">
        <v>8907</v>
      </c>
      <c r="D135" s="1497"/>
      <c r="E135" s="1505">
        <v>0</v>
      </c>
      <c r="F135" s="913">
        <v>103</v>
      </c>
      <c r="G135" s="422"/>
      <c r="H135" s="231"/>
      <c r="I135" s="231"/>
      <c r="J135" s="1029" t="s">
        <v>1705</v>
      </c>
      <c r="K135" s="490" t="s">
        <v>1704</v>
      </c>
      <c r="L135" s="758" t="s">
        <v>8305</v>
      </c>
      <c r="M135" s="490">
        <v>1</v>
      </c>
      <c r="N135" s="759">
        <v>70</v>
      </c>
      <c r="O135" s="642" t="s">
        <v>4630</v>
      </c>
      <c r="P135" s="642">
        <v>1600</v>
      </c>
      <c r="Q135" s="490">
        <v>40</v>
      </c>
      <c r="R135" s="237">
        <v>47112</v>
      </c>
      <c r="S135" s="302">
        <v>2617.3333333333335</v>
      </c>
      <c r="T135" s="399">
        <v>65.433333333333337</v>
      </c>
      <c r="U135" s="1481">
        <v>2617.3333333333335</v>
      </c>
      <c r="V135" s="1483">
        <v>1.2003114877000001</v>
      </c>
      <c r="W135" s="402">
        <v>1.9433700000000003</v>
      </c>
      <c r="X135" s="392">
        <v>55</v>
      </c>
      <c r="Y135" s="760">
        <v>4</v>
      </c>
      <c r="Z135" s="761">
        <v>17</v>
      </c>
      <c r="AA135" s="1000">
        <v>16</v>
      </c>
      <c r="AB135" s="310">
        <v>88</v>
      </c>
      <c r="AC135" s="397" t="s">
        <v>8898</v>
      </c>
      <c r="AD135" s="397" t="s">
        <v>8898</v>
      </c>
      <c r="AE135" s="762">
        <v>81</v>
      </c>
      <c r="AF135" s="250">
        <v>7</v>
      </c>
      <c r="AG135" s="313">
        <v>50</v>
      </c>
      <c r="AH135" s="638">
        <v>50</v>
      </c>
      <c r="AI135" s="639">
        <v>0</v>
      </c>
      <c r="AJ135" s="1512"/>
      <c r="AK135" s="253" t="s">
        <v>1705</v>
      </c>
      <c r="AL135" s="254" t="str">
        <f t="shared" si="3"/>
        <v>HAN074</v>
      </c>
      <c r="AM135" s="255">
        <f t="shared" si="3"/>
        <v>1600</v>
      </c>
      <c r="AN135" s="640" t="s">
        <v>8899</v>
      </c>
      <c r="AO135" s="641">
        <v>2.9</v>
      </c>
      <c r="AP135" s="642">
        <v>316</v>
      </c>
      <c r="AQ135" s="642">
        <v>102</v>
      </c>
      <c r="AR135" s="643">
        <f t="shared" si="4"/>
        <v>0.73376147999999997</v>
      </c>
      <c r="AS135" s="644">
        <v>1087.3970546356927</v>
      </c>
      <c r="AT135" s="642">
        <v>508</v>
      </c>
      <c r="AU135" s="645">
        <v>0.61327830945827255</v>
      </c>
      <c r="AV135" s="646">
        <v>40</v>
      </c>
      <c r="AW135" s="647">
        <v>1026</v>
      </c>
      <c r="AX135" s="642">
        <v>330</v>
      </c>
      <c r="AY135" s="648">
        <v>500</v>
      </c>
      <c r="AZ135" s="648">
        <v>180</v>
      </c>
      <c r="BA135" s="649">
        <v>2.9700000000000001E-2</v>
      </c>
      <c r="BB135" s="649">
        <v>1.885</v>
      </c>
      <c r="BC135" s="264">
        <v>70</v>
      </c>
      <c r="BD135" s="650">
        <v>0.22500000000000001</v>
      </c>
      <c r="BE135" s="651">
        <v>0.22500000000000001</v>
      </c>
      <c r="BF135" s="1030">
        <v>3</v>
      </c>
      <c r="BG135" s="163" t="s">
        <v>8904</v>
      </c>
      <c r="BH135" s="163">
        <v>1</v>
      </c>
      <c r="BK135" s="163">
        <v>0</v>
      </c>
      <c r="BM135" s="163" t="s">
        <v>8905</v>
      </c>
    </row>
    <row r="136" spans="1:65" ht="35.25" customHeight="1">
      <c r="A136" s="163" t="s">
        <v>9101</v>
      </c>
      <c r="B136" s="163" t="s">
        <v>1567</v>
      </c>
      <c r="C136" s="164" t="s">
        <v>8907</v>
      </c>
      <c r="D136" s="1497"/>
      <c r="E136" s="763"/>
      <c r="F136" s="268">
        <v>104</v>
      </c>
      <c r="G136" s="424"/>
      <c r="H136" s="271"/>
      <c r="I136" s="271"/>
      <c r="J136" s="1025" t="s">
        <v>1567</v>
      </c>
      <c r="K136" s="787" t="s">
        <v>1566</v>
      </c>
      <c r="L136" s="788" t="s">
        <v>8287</v>
      </c>
      <c r="M136" s="787">
        <v>2</v>
      </c>
      <c r="N136" s="789">
        <v>70</v>
      </c>
      <c r="O136" s="536" t="s">
        <v>4634</v>
      </c>
      <c r="P136" s="536">
        <v>1700</v>
      </c>
      <c r="Q136" s="787">
        <v>40</v>
      </c>
      <c r="R136" s="237">
        <v>92737</v>
      </c>
      <c r="S136" s="302">
        <v>5152.0555555555557</v>
      </c>
      <c r="T136" s="399">
        <v>128.80138888888888</v>
      </c>
      <c r="U136" s="492">
        <v>2576.0277777777778</v>
      </c>
      <c r="V136" s="790">
        <v>1.1365066183583332</v>
      </c>
      <c r="W136" s="791">
        <v>3.8254012499999996</v>
      </c>
      <c r="X136" s="392">
        <v>114</v>
      </c>
      <c r="Y136" s="488">
        <v>4</v>
      </c>
      <c r="Z136" s="489">
        <v>33</v>
      </c>
      <c r="AA136" s="1000">
        <v>32</v>
      </c>
      <c r="AB136" s="310">
        <v>179</v>
      </c>
      <c r="AC136" s="789" t="s">
        <v>8898</v>
      </c>
      <c r="AD136" s="789" t="s">
        <v>8898</v>
      </c>
      <c r="AE136" s="689">
        <v>164</v>
      </c>
      <c r="AF136" s="250">
        <v>15</v>
      </c>
      <c r="AG136" s="313">
        <v>110</v>
      </c>
      <c r="AH136" s="531">
        <v>110</v>
      </c>
      <c r="AI136" s="532">
        <v>0</v>
      </c>
      <c r="AJ136" s="441"/>
      <c r="AK136" s="253" t="s">
        <v>1567</v>
      </c>
      <c r="AL136" s="254" t="str">
        <f t="shared" si="3"/>
        <v>HAN085</v>
      </c>
      <c r="AM136" s="255">
        <f t="shared" si="3"/>
        <v>1700</v>
      </c>
      <c r="AN136" s="534" t="s">
        <v>8899</v>
      </c>
      <c r="AO136" s="535">
        <v>2.9</v>
      </c>
      <c r="AP136" s="536">
        <v>323</v>
      </c>
      <c r="AQ136" s="536">
        <v>102</v>
      </c>
      <c r="AR136" s="1031">
        <f t="shared" si="4"/>
        <v>0.37500784499999995</v>
      </c>
      <c r="AS136" s="538">
        <v>1071.7341088161745</v>
      </c>
      <c r="AT136" s="536">
        <v>508</v>
      </c>
      <c r="AU136" s="539">
        <v>0.59871918211178343</v>
      </c>
      <c r="AV136" s="521">
        <v>40</v>
      </c>
      <c r="AW136" s="540">
        <v>1026</v>
      </c>
      <c r="AX136" s="536">
        <v>330</v>
      </c>
      <c r="AY136" s="290">
        <v>500</v>
      </c>
      <c r="AZ136" s="290">
        <v>180</v>
      </c>
      <c r="BA136" s="541">
        <v>2.9700000000000001E-2</v>
      </c>
      <c r="BB136" s="541">
        <v>1.885</v>
      </c>
      <c r="BC136" s="290">
        <v>70</v>
      </c>
      <c r="BD136" s="542">
        <v>0.22800000000000001</v>
      </c>
      <c r="BE136" s="543">
        <v>0.22800000000000001</v>
      </c>
      <c r="BF136" s="1026">
        <v>3</v>
      </c>
      <c r="BG136" s="163" t="s">
        <v>8904</v>
      </c>
      <c r="BH136" s="163">
        <v>1</v>
      </c>
      <c r="BK136" s="163">
        <v>0</v>
      </c>
      <c r="BM136" s="163" t="s">
        <v>8905</v>
      </c>
    </row>
    <row r="137" spans="1:65" ht="35.25" customHeight="1">
      <c r="A137" s="163" t="s">
        <v>9102</v>
      </c>
      <c r="B137" s="163" t="s">
        <v>1621</v>
      </c>
      <c r="C137" s="164" t="s">
        <v>8907</v>
      </c>
      <c r="D137" s="1497"/>
      <c r="E137" s="1510" t="s">
        <v>8916</v>
      </c>
      <c r="F137" s="913">
        <v>105</v>
      </c>
      <c r="G137" s="389"/>
      <c r="H137" s="294"/>
      <c r="I137" s="295"/>
      <c r="J137" s="1027" t="s">
        <v>1621</v>
      </c>
      <c r="K137" s="798" t="s">
        <v>1620</v>
      </c>
      <c r="L137" s="799" t="s">
        <v>8298</v>
      </c>
      <c r="M137" s="798">
        <v>1</v>
      </c>
      <c r="N137" s="800">
        <v>70</v>
      </c>
      <c r="O137" s="620" t="s">
        <v>4648</v>
      </c>
      <c r="P137" s="536">
        <v>3000</v>
      </c>
      <c r="Q137" s="798">
        <v>40</v>
      </c>
      <c r="R137" s="237">
        <v>92737</v>
      </c>
      <c r="S137" s="302">
        <v>5152.0555555555557</v>
      </c>
      <c r="T137" s="303">
        <v>128.80138888888888</v>
      </c>
      <c r="U137" s="1480">
        <v>5152.0555555555557</v>
      </c>
      <c r="V137" s="1482">
        <v>1.5884966068088888</v>
      </c>
      <c r="W137" s="306">
        <v>3.8254012499999996</v>
      </c>
      <c r="X137" s="392">
        <v>82</v>
      </c>
      <c r="Y137" s="488">
        <v>4</v>
      </c>
      <c r="Z137" s="489">
        <v>33</v>
      </c>
      <c r="AA137" s="1000">
        <v>32</v>
      </c>
      <c r="AB137" s="310">
        <v>147</v>
      </c>
      <c r="AC137" s="792">
        <v>6</v>
      </c>
      <c r="AD137" s="843">
        <v>49</v>
      </c>
      <c r="AE137" s="803">
        <v>132</v>
      </c>
      <c r="AF137" s="250">
        <v>15</v>
      </c>
      <c r="AG137" s="313">
        <v>80</v>
      </c>
      <c r="AH137" s="616">
        <v>80</v>
      </c>
      <c r="AI137" s="617">
        <v>0</v>
      </c>
      <c r="AJ137" s="1511"/>
      <c r="AK137" s="253" t="s">
        <v>1621</v>
      </c>
      <c r="AL137" s="254" t="str">
        <f t="shared" si="3"/>
        <v>HAN076</v>
      </c>
      <c r="AM137" s="255">
        <f t="shared" si="3"/>
        <v>3000</v>
      </c>
      <c r="AN137" s="618" t="s">
        <v>8899</v>
      </c>
      <c r="AO137" s="619">
        <v>3.2</v>
      </c>
      <c r="AP137" s="620">
        <v>361</v>
      </c>
      <c r="AQ137" s="620">
        <v>102</v>
      </c>
      <c r="AR137" s="621">
        <f t="shared" si="4"/>
        <v>0.92496864000000001</v>
      </c>
      <c r="AS137" s="622">
        <v>1386.1100674598586</v>
      </c>
      <c r="AT137" s="620">
        <v>508</v>
      </c>
      <c r="AU137" s="623">
        <v>0.69623982062786471</v>
      </c>
      <c r="AV137" s="624">
        <v>40</v>
      </c>
      <c r="AW137" s="625">
        <v>1026</v>
      </c>
      <c r="AX137" s="620">
        <v>330</v>
      </c>
      <c r="AY137" s="626">
        <v>500</v>
      </c>
      <c r="AZ137" s="626">
        <v>180</v>
      </c>
      <c r="BA137" s="627">
        <v>2.9700000000000001E-2</v>
      </c>
      <c r="BB137" s="627">
        <v>1.885</v>
      </c>
      <c r="BC137" s="325">
        <v>70</v>
      </c>
      <c r="BD137" s="628">
        <v>0.32200000000000001</v>
      </c>
      <c r="BE137" s="629">
        <v>0.32200000000000001</v>
      </c>
      <c r="BF137" s="1028">
        <v>3</v>
      </c>
      <c r="BG137" s="163" t="s">
        <v>8932</v>
      </c>
      <c r="BH137" s="163">
        <v>3</v>
      </c>
      <c r="BK137" s="163">
        <v>0</v>
      </c>
      <c r="BM137" s="163" t="s">
        <v>8905</v>
      </c>
    </row>
    <row r="138" spans="1:65" ht="35.25" customHeight="1">
      <c r="A138" s="163" t="s">
        <v>9103</v>
      </c>
      <c r="B138" s="163" t="s">
        <v>1732</v>
      </c>
      <c r="C138" s="164" t="s">
        <v>8907</v>
      </c>
      <c r="D138" s="1497"/>
      <c r="E138" s="1505">
        <v>0</v>
      </c>
      <c r="F138" s="913">
        <v>105</v>
      </c>
      <c r="G138" s="661"/>
      <c r="H138" s="328"/>
      <c r="I138" s="329"/>
      <c r="J138" s="1029" t="s">
        <v>1732</v>
      </c>
      <c r="K138" s="490" t="s">
        <v>1731</v>
      </c>
      <c r="L138" s="758" t="s">
        <v>8308</v>
      </c>
      <c r="M138" s="490">
        <v>1</v>
      </c>
      <c r="N138" s="759">
        <v>70</v>
      </c>
      <c r="O138" s="642" t="s">
        <v>4648</v>
      </c>
      <c r="P138" s="642">
        <v>3000</v>
      </c>
      <c r="Q138" s="490">
        <v>40</v>
      </c>
      <c r="R138" s="237">
        <v>92740</v>
      </c>
      <c r="S138" s="302">
        <v>5152.2222222222226</v>
      </c>
      <c r="T138" s="399">
        <v>128.80555555555557</v>
      </c>
      <c r="U138" s="1481">
        <v>5152.2222222222226</v>
      </c>
      <c r="V138" s="1483">
        <v>1.5885479939555556</v>
      </c>
      <c r="W138" s="402">
        <v>3.8255250000000007</v>
      </c>
      <c r="X138" s="392">
        <v>82</v>
      </c>
      <c r="Y138" s="488">
        <v>4</v>
      </c>
      <c r="Z138" s="489">
        <v>33</v>
      </c>
      <c r="AA138" s="1000">
        <v>32</v>
      </c>
      <c r="AB138" s="310">
        <v>147</v>
      </c>
      <c r="AC138" s="792">
        <v>12.1</v>
      </c>
      <c r="AD138" s="843">
        <v>98</v>
      </c>
      <c r="AE138" s="762">
        <v>132</v>
      </c>
      <c r="AF138" s="250">
        <v>15</v>
      </c>
      <c r="AG138" s="313">
        <v>80</v>
      </c>
      <c r="AH138" s="638">
        <v>80</v>
      </c>
      <c r="AI138" s="639">
        <v>0</v>
      </c>
      <c r="AJ138" s="1512"/>
      <c r="AK138" s="253" t="s">
        <v>1732</v>
      </c>
      <c r="AL138" s="254" t="str">
        <f t="shared" si="3"/>
        <v>HAN076</v>
      </c>
      <c r="AM138" s="255">
        <f t="shared" si="3"/>
        <v>3000</v>
      </c>
      <c r="AN138" s="640" t="s">
        <v>8899</v>
      </c>
      <c r="AO138" s="641">
        <v>3.2</v>
      </c>
      <c r="AP138" s="642">
        <v>361</v>
      </c>
      <c r="AQ138" s="642">
        <v>102</v>
      </c>
      <c r="AR138" s="643">
        <f t="shared" si="4"/>
        <v>0.92496864000000001</v>
      </c>
      <c r="AS138" s="644">
        <v>1386.1100674598586</v>
      </c>
      <c r="AT138" s="642">
        <v>508</v>
      </c>
      <c r="AU138" s="645">
        <v>0.69623982062786471</v>
      </c>
      <c r="AV138" s="646">
        <v>40</v>
      </c>
      <c r="AW138" s="647">
        <v>1026</v>
      </c>
      <c r="AX138" s="642">
        <v>330</v>
      </c>
      <c r="AY138" s="648">
        <v>500</v>
      </c>
      <c r="AZ138" s="648">
        <v>180</v>
      </c>
      <c r="BA138" s="649">
        <v>2.9700000000000001E-2</v>
      </c>
      <c r="BB138" s="649">
        <v>1.885</v>
      </c>
      <c r="BC138" s="264">
        <v>70</v>
      </c>
      <c r="BD138" s="650">
        <v>0.32200000000000001</v>
      </c>
      <c r="BE138" s="651">
        <v>0.32200000000000001</v>
      </c>
      <c r="BF138" s="1030">
        <v>3</v>
      </c>
      <c r="BG138" s="163" t="s">
        <v>8932</v>
      </c>
      <c r="BH138" s="163">
        <v>3</v>
      </c>
      <c r="BK138" s="163">
        <v>0</v>
      </c>
      <c r="BM138" s="163" t="s">
        <v>8905</v>
      </c>
    </row>
    <row r="139" spans="1:65" ht="35.25" customHeight="1">
      <c r="A139" s="163" t="s">
        <v>9104</v>
      </c>
      <c r="B139" s="163" t="s">
        <v>3272</v>
      </c>
      <c r="C139" s="164" t="s">
        <v>8907</v>
      </c>
      <c r="D139" s="1497"/>
      <c r="E139" s="1534" t="s">
        <v>8916</v>
      </c>
      <c r="F139" s="1032">
        <v>106</v>
      </c>
      <c r="G139" s="1536"/>
      <c r="H139" s="1538"/>
      <c r="I139" s="1538"/>
      <c r="J139" s="1029" t="s">
        <v>3272</v>
      </c>
      <c r="K139" s="1033" t="s">
        <v>9105</v>
      </c>
      <c r="L139" s="758" t="s">
        <v>5846</v>
      </c>
      <c r="M139" s="490">
        <v>1</v>
      </c>
      <c r="N139" s="759">
        <v>70</v>
      </c>
      <c r="O139" s="642" t="s">
        <v>4704</v>
      </c>
      <c r="P139" s="642">
        <v>800</v>
      </c>
      <c r="Q139" s="490">
        <v>40</v>
      </c>
      <c r="R139" s="237">
        <v>8814</v>
      </c>
      <c r="S139" s="302">
        <v>489.66666666666669</v>
      </c>
      <c r="T139" s="399">
        <v>12.241666666666667</v>
      </c>
      <c r="U139" s="1480">
        <v>489.66666666666669</v>
      </c>
      <c r="V139" s="1482">
        <v>0.49393900833333343</v>
      </c>
      <c r="W139" s="402">
        <v>0.3635775</v>
      </c>
      <c r="X139" s="392">
        <v>25</v>
      </c>
      <c r="Y139" s="760">
        <v>4</v>
      </c>
      <c r="Z139" s="761">
        <v>4</v>
      </c>
      <c r="AA139" s="1000">
        <v>3</v>
      </c>
      <c r="AB139" s="310">
        <v>32</v>
      </c>
      <c r="AC139" s="397" t="s">
        <v>8898</v>
      </c>
      <c r="AD139" s="397" t="s">
        <v>8898</v>
      </c>
      <c r="AE139" s="762">
        <v>30</v>
      </c>
      <c r="AF139" s="250">
        <v>2</v>
      </c>
      <c r="AG139" s="313">
        <v>20</v>
      </c>
      <c r="AH139" s="638">
        <v>20</v>
      </c>
      <c r="AI139" s="639">
        <v>0</v>
      </c>
      <c r="AJ139" s="1511" t="s">
        <v>8917</v>
      </c>
      <c r="AK139" s="253" t="s">
        <v>3272</v>
      </c>
      <c r="AL139" s="254" t="str">
        <f t="shared" si="3"/>
        <v>HAN077</v>
      </c>
      <c r="AM139" s="255">
        <f t="shared" si="3"/>
        <v>800</v>
      </c>
      <c r="AN139" s="640" t="s">
        <v>8918</v>
      </c>
      <c r="AO139" s="641">
        <v>4</v>
      </c>
      <c r="AP139" s="642">
        <v>257</v>
      </c>
      <c r="AQ139" s="642">
        <v>100</v>
      </c>
      <c r="AR139" s="643">
        <f t="shared" si="4"/>
        <v>0.80698000000000003</v>
      </c>
      <c r="AS139" s="644">
        <v>855.35836347176121</v>
      </c>
      <c r="AT139" s="642">
        <v>508</v>
      </c>
      <c r="AU139" s="645">
        <v>0.74351285038043069</v>
      </c>
      <c r="AV139" s="646">
        <v>40</v>
      </c>
      <c r="AW139" s="647">
        <v>1026</v>
      </c>
      <c r="AX139" s="642">
        <v>330</v>
      </c>
      <c r="AY139" s="648">
        <v>500</v>
      </c>
      <c r="AZ139" s="648">
        <v>180</v>
      </c>
      <c r="BA139" s="649">
        <v>2.9700000000000001E-2</v>
      </c>
      <c r="BB139" s="649">
        <v>1.885</v>
      </c>
      <c r="BC139" s="686">
        <v>70</v>
      </c>
      <c r="BD139" s="650">
        <v>0.3</v>
      </c>
      <c r="BE139" s="651">
        <v>0.3</v>
      </c>
      <c r="BF139" s="1030">
        <v>3</v>
      </c>
      <c r="BG139" s="163" t="s">
        <v>8904</v>
      </c>
      <c r="BH139" s="163">
        <v>1</v>
      </c>
      <c r="BK139" s="163">
        <v>0</v>
      </c>
      <c r="BM139" s="163" t="s">
        <v>8905</v>
      </c>
    </row>
    <row r="140" spans="1:65" ht="35.25" customHeight="1">
      <c r="A140" s="163" t="s">
        <v>9106</v>
      </c>
      <c r="B140" s="163" t="s">
        <v>3234</v>
      </c>
      <c r="C140" s="164" t="s">
        <v>8907</v>
      </c>
      <c r="D140" s="1497"/>
      <c r="E140" s="1535"/>
      <c r="F140" s="1032">
        <v>106</v>
      </c>
      <c r="G140" s="1537"/>
      <c r="H140" s="1539"/>
      <c r="I140" s="1539"/>
      <c r="J140" s="1027" t="s">
        <v>3234</v>
      </c>
      <c r="K140" s="798" t="s">
        <v>3233</v>
      </c>
      <c r="L140" s="799" t="s">
        <v>9107</v>
      </c>
      <c r="M140" s="798">
        <v>1</v>
      </c>
      <c r="N140" s="800">
        <v>70</v>
      </c>
      <c r="O140" s="620" t="s">
        <v>4704</v>
      </c>
      <c r="P140" s="620">
        <v>800</v>
      </c>
      <c r="Q140" s="798">
        <v>40</v>
      </c>
      <c r="R140" s="237">
        <v>7497</v>
      </c>
      <c r="S140" s="302">
        <v>416.5</v>
      </c>
      <c r="T140" s="303">
        <v>10.4125</v>
      </c>
      <c r="U140" s="1481">
        <v>416.5</v>
      </c>
      <c r="V140" s="1483">
        <v>0.42013396250000001</v>
      </c>
      <c r="W140" s="306">
        <v>0.30925124999999998</v>
      </c>
      <c r="X140" s="392">
        <v>25</v>
      </c>
      <c r="Y140" s="801">
        <v>4</v>
      </c>
      <c r="Z140" s="802">
        <v>3</v>
      </c>
      <c r="AA140" s="1000">
        <v>3</v>
      </c>
      <c r="AB140" s="310">
        <v>31</v>
      </c>
      <c r="AC140" s="311" t="s">
        <v>8898</v>
      </c>
      <c r="AD140" s="311" t="s">
        <v>8898</v>
      </c>
      <c r="AE140" s="803">
        <v>30</v>
      </c>
      <c r="AF140" s="250">
        <v>1</v>
      </c>
      <c r="AG140" s="313">
        <v>20</v>
      </c>
      <c r="AH140" s="616">
        <v>20</v>
      </c>
      <c r="AI140" s="617">
        <v>0</v>
      </c>
      <c r="AJ140" s="1512"/>
      <c r="AK140" s="253" t="s">
        <v>3234</v>
      </c>
      <c r="AL140" s="254" t="str">
        <f t="shared" si="3"/>
        <v>HAN077</v>
      </c>
      <c r="AM140" s="255">
        <f t="shared" si="3"/>
        <v>800</v>
      </c>
      <c r="AN140" s="618" t="s">
        <v>8918</v>
      </c>
      <c r="AO140" s="619">
        <v>4</v>
      </c>
      <c r="AP140" s="620">
        <v>257</v>
      </c>
      <c r="AQ140" s="620">
        <v>100</v>
      </c>
      <c r="AR140" s="621">
        <f t="shared" si="4"/>
        <v>0.80698000000000003</v>
      </c>
      <c r="AS140" s="622">
        <v>855.35836347176121</v>
      </c>
      <c r="AT140" s="620">
        <v>508</v>
      </c>
      <c r="AU140" s="623">
        <v>0.74351285038043069</v>
      </c>
      <c r="AV140" s="624">
        <v>40</v>
      </c>
      <c r="AW140" s="625">
        <v>1026</v>
      </c>
      <c r="AX140" s="620">
        <v>330</v>
      </c>
      <c r="AY140" s="626">
        <v>500</v>
      </c>
      <c r="AZ140" s="626">
        <v>180</v>
      </c>
      <c r="BA140" s="627">
        <v>2.9700000000000001E-2</v>
      </c>
      <c r="BB140" s="627">
        <v>1.885</v>
      </c>
      <c r="BC140" s="686">
        <v>70</v>
      </c>
      <c r="BD140" s="628">
        <v>0.3</v>
      </c>
      <c r="BE140" s="629">
        <v>0.3</v>
      </c>
      <c r="BF140" s="1028">
        <v>3</v>
      </c>
      <c r="BG140" s="163" t="s">
        <v>8904</v>
      </c>
      <c r="BH140" s="163">
        <v>1</v>
      </c>
      <c r="BK140" s="163">
        <v>0</v>
      </c>
      <c r="BM140" s="163" t="s">
        <v>8905</v>
      </c>
    </row>
    <row r="141" spans="1:65" ht="35.25" customHeight="1">
      <c r="A141" s="163" t="s">
        <v>9108</v>
      </c>
      <c r="B141" s="163" t="s">
        <v>3232</v>
      </c>
      <c r="C141" s="164" t="s">
        <v>8907</v>
      </c>
      <c r="D141" s="1497"/>
      <c r="E141" s="1534" t="s">
        <v>8916</v>
      </c>
      <c r="F141" s="1032">
        <v>106</v>
      </c>
      <c r="G141" s="1536"/>
      <c r="H141" s="1538"/>
      <c r="I141" s="1538"/>
      <c r="J141" s="1027" t="s">
        <v>3232</v>
      </c>
      <c r="K141" s="798" t="s">
        <v>3231</v>
      </c>
      <c r="L141" s="799" t="s">
        <v>9107</v>
      </c>
      <c r="M141" s="798">
        <v>1</v>
      </c>
      <c r="N141" s="800">
        <v>70</v>
      </c>
      <c r="O141" s="620" t="s">
        <v>4704</v>
      </c>
      <c r="P141" s="620">
        <v>800</v>
      </c>
      <c r="Q141" s="798">
        <v>40</v>
      </c>
      <c r="R141" s="237">
        <v>8806</v>
      </c>
      <c r="S141" s="302">
        <v>489.22222222222223</v>
      </c>
      <c r="T141" s="303">
        <v>12.230555555555556</v>
      </c>
      <c r="U141" s="1480">
        <v>489.22222222222223</v>
      </c>
      <c r="V141" s="1482">
        <v>0.49349068611111113</v>
      </c>
      <c r="W141" s="306">
        <v>0.3632475</v>
      </c>
      <c r="X141" s="392">
        <v>25</v>
      </c>
      <c r="Y141" s="801">
        <v>4</v>
      </c>
      <c r="Z141" s="802">
        <v>4</v>
      </c>
      <c r="AA141" s="1000">
        <v>3</v>
      </c>
      <c r="AB141" s="310">
        <v>32</v>
      </c>
      <c r="AC141" s="311" t="s">
        <v>8898</v>
      </c>
      <c r="AD141" s="311" t="s">
        <v>8898</v>
      </c>
      <c r="AE141" s="803">
        <v>30</v>
      </c>
      <c r="AF141" s="250">
        <v>2</v>
      </c>
      <c r="AG141" s="313">
        <v>20</v>
      </c>
      <c r="AH141" s="616">
        <v>20</v>
      </c>
      <c r="AI141" s="617">
        <v>0</v>
      </c>
      <c r="AJ141" s="1511" t="s">
        <v>8917</v>
      </c>
      <c r="AK141" s="253" t="s">
        <v>3232</v>
      </c>
      <c r="AL141" s="254" t="str">
        <f t="shared" si="3"/>
        <v>HAN077</v>
      </c>
      <c r="AM141" s="255">
        <f t="shared" si="3"/>
        <v>800</v>
      </c>
      <c r="AN141" s="618" t="s">
        <v>8918</v>
      </c>
      <c r="AO141" s="619">
        <v>4</v>
      </c>
      <c r="AP141" s="620">
        <v>257</v>
      </c>
      <c r="AQ141" s="620">
        <v>100</v>
      </c>
      <c r="AR141" s="621">
        <f t="shared" si="4"/>
        <v>0.80698000000000003</v>
      </c>
      <c r="AS141" s="622">
        <v>855.35836347176121</v>
      </c>
      <c r="AT141" s="620">
        <v>508</v>
      </c>
      <c r="AU141" s="623">
        <v>0.74351285038043069</v>
      </c>
      <c r="AV141" s="624">
        <v>40</v>
      </c>
      <c r="AW141" s="625">
        <v>1026</v>
      </c>
      <c r="AX141" s="620">
        <v>330</v>
      </c>
      <c r="AY141" s="626">
        <v>500</v>
      </c>
      <c r="AZ141" s="626">
        <v>180</v>
      </c>
      <c r="BA141" s="627">
        <v>2.9700000000000001E-2</v>
      </c>
      <c r="BB141" s="627">
        <v>1.885</v>
      </c>
      <c r="BC141" s="325">
        <v>70</v>
      </c>
      <c r="BD141" s="628">
        <v>0.3</v>
      </c>
      <c r="BE141" s="629">
        <v>0.3</v>
      </c>
      <c r="BF141" s="1028">
        <v>3</v>
      </c>
      <c r="BG141" s="163" t="s">
        <v>8904</v>
      </c>
      <c r="BH141" s="163">
        <v>1</v>
      </c>
      <c r="BK141" s="163">
        <v>0</v>
      </c>
      <c r="BM141" s="163" t="s">
        <v>8905</v>
      </c>
    </row>
    <row r="142" spans="1:65" ht="35.25" customHeight="1">
      <c r="A142" s="163" t="s">
        <v>9109</v>
      </c>
      <c r="B142" s="163" t="s">
        <v>3274</v>
      </c>
      <c r="C142" s="164" t="s">
        <v>8907</v>
      </c>
      <c r="D142" s="1497"/>
      <c r="E142" s="1535"/>
      <c r="F142" s="1032">
        <v>106</v>
      </c>
      <c r="G142" s="1537"/>
      <c r="H142" s="1539"/>
      <c r="I142" s="1539"/>
      <c r="J142" s="1029" t="s">
        <v>3274</v>
      </c>
      <c r="K142" s="490" t="s">
        <v>3273</v>
      </c>
      <c r="L142" s="758" t="s">
        <v>5846</v>
      </c>
      <c r="M142" s="490">
        <v>1</v>
      </c>
      <c r="N142" s="759">
        <v>70</v>
      </c>
      <c r="O142" s="642" t="s">
        <v>4704</v>
      </c>
      <c r="P142" s="642">
        <v>800</v>
      </c>
      <c r="Q142" s="490">
        <v>40</v>
      </c>
      <c r="R142" s="237">
        <v>7409</v>
      </c>
      <c r="S142" s="302">
        <v>411.61111111111109</v>
      </c>
      <c r="T142" s="399">
        <v>10.290277777777778</v>
      </c>
      <c r="U142" s="1481"/>
      <c r="V142" s="1483">
        <v>0.41520241805555558</v>
      </c>
      <c r="W142" s="402">
        <v>0.30562125000000001</v>
      </c>
      <c r="X142" s="392">
        <v>25</v>
      </c>
      <c r="Y142" s="760">
        <v>4</v>
      </c>
      <c r="Z142" s="761">
        <v>3</v>
      </c>
      <c r="AA142" s="1000">
        <v>3</v>
      </c>
      <c r="AB142" s="310">
        <v>31</v>
      </c>
      <c r="AC142" s="397" t="s">
        <v>8898</v>
      </c>
      <c r="AD142" s="397" t="s">
        <v>8898</v>
      </c>
      <c r="AE142" s="762">
        <v>30</v>
      </c>
      <c r="AF142" s="250">
        <v>1</v>
      </c>
      <c r="AG142" s="313">
        <v>20</v>
      </c>
      <c r="AH142" s="638">
        <v>20</v>
      </c>
      <c r="AI142" s="639">
        <v>0</v>
      </c>
      <c r="AJ142" s="1512"/>
      <c r="AK142" s="253" t="s">
        <v>3274</v>
      </c>
      <c r="AL142" s="254" t="str">
        <f t="shared" si="3"/>
        <v>HAN077</v>
      </c>
      <c r="AM142" s="255">
        <f t="shared" si="3"/>
        <v>800</v>
      </c>
      <c r="AN142" s="640" t="s">
        <v>8918</v>
      </c>
      <c r="AO142" s="641">
        <v>4</v>
      </c>
      <c r="AP142" s="642">
        <v>257</v>
      </c>
      <c r="AQ142" s="642">
        <v>100</v>
      </c>
      <c r="AR142" s="643">
        <f t="shared" si="4"/>
        <v>0.80698000000000003</v>
      </c>
      <c r="AS142" s="644">
        <v>855.35836347176121</v>
      </c>
      <c r="AT142" s="642">
        <v>508</v>
      </c>
      <c r="AU142" s="645">
        <v>0.74351285038043069</v>
      </c>
      <c r="AV142" s="646">
        <v>40</v>
      </c>
      <c r="AW142" s="647">
        <v>1026</v>
      </c>
      <c r="AX142" s="642">
        <v>330</v>
      </c>
      <c r="AY142" s="648">
        <v>500</v>
      </c>
      <c r="AZ142" s="648">
        <v>180</v>
      </c>
      <c r="BA142" s="649">
        <v>2.9700000000000001E-2</v>
      </c>
      <c r="BB142" s="649">
        <v>1.885</v>
      </c>
      <c r="BC142" s="264">
        <v>70</v>
      </c>
      <c r="BD142" s="650">
        <v>0.3</v>
      </c>
      <c r="BE142" s="651">
        <v>0.3</v>
      </c>
      <c r="BF142" s="1030">
        <v>3</v>
      </c>
      <c r="BG142" s="163" t="s">
        <v>8904</v>
      </c>
      <c r="BH142" s="163">
        <v>1</v>
      </c>
      <c r="BK142" s="163">
        <v>0</v>
      </c>
      <c r="BM142" s="163" t="s">
        <v>8905</v>
      </c>
    </row>
    <row r="143" spans="1:65" ht="35.25" customHeight="1">
      <c r="A143" s="163" t="s">
        <v>9110</v>
      </c>
      <c r="B143" s="163" t="s">
        <v>3236</v>
      </c>
      <c r="C143" s="164" t="s">
        <v>8907</v>
      </c>
      <c r="D143" s="1497"/>
      <c r="E143" s="1510" t="s">
        <v>8916</v>
      </c>
      <c r="F143" s="913">
        <v>107</v>
      </c>
      <c r="G143" s="1035"/>
      <c r="H143" s="328"/>
      <c r="I143" s="1036"/>
      <c r="J143" s="1027" t="s">
        <v>3236</v>
      </c>
      <c r="K143" s="798" t="s">
        <v>3235</v>
      </c>
      <c r="L143" s="799" t="s">
        <v>9096</v>
      </c>
      <c r="M143" s="798">
        <v>1</v>
      </c>
      <c r="N143" s="800">
        <v>70</v>
      </c>
      <c r="O143" s="620" t="s">
        <v>4652</v>
      </c>
      <c r="P143" s="620">
        <v>800</v>
      </c>
      <c r="Q143" s="798">
        <v>40</v>
      </c>
      <c r="R143" s="237">
        <v>7420</v>
      </c>
      <c r="S143" s="302">
        <v>412.22222222222223</v>
      </c>
      <c r="T143" s="303">
        <v>10.305555555555555</v>
      </c>
      <c r="U143" s="1480">
        <v>412.22222222222223</v>
      </c>
      <c r="V143" s="1482">
        <v>0.41486425749999994</v>
      </c>
      <c r="W143" s="306">
        <v>0.30607499999999999</v>
      </c>
      <c r="X143" s="392">
        <v>25</v>
      </c>
      <c r="Y143" s="801">
        <v>4</v>
      </c>
      <c r="Z143" s="802">
        <v>3</v>
      </c>
      <c r="AA143" s="1000">
        <v>3</v>
      </c>
      <c r="AB143" s="310">
        <v>31</v>
      </c>
      <c r="AC143" s="311" t="s">
        <v>8898</v>
      </c>
      <c r="AD143" s="311" t="s">
        <v>8898</v>
      </c>
      <c r="AE143" s="803">
        <v>30</v>
      </c>
      <c r="AF143" s="250">
        <v>1</v>
      </c>
      <c r="AG143" s="313">
        <v>20</v>
      </c>
      <c r="AH143" s="616">
        <v>20</v>
      </c>
      <c r="AI143" s="617">
        <v>0</v>
      </c>
      <c r="AJ143" s="1515"/>
      <c r="AK143" s="253" t="s">
        <v>3236</v>
      </c>
      <c r="AL143" s="254" t="str">
        <f t="shared" ref="AL143:AM207" si="5">O143</f>
        <v>HAN078</v>
      </c>
      <c r="AM143" s="255">
        <f t="shared" si="5"/>
        <v>800</v>
      </c>
      <c r="AN143" s="618" t="s">
        <v>8899</v>
      </c>
      <c r="AO143" s="619">
        <v>4</v>
      </c>
      <c r="AP143" s="620">
        <v>259</v>
      </c>
      <c r="AQ143" s="620">
        <v>99</v>
      </c>
      <c r="AR143" s="621">
        <f t="shared" si="4"/>
        <v>0.80512739999999994</v>
      </c>
      <c r="AS143" s="622">
        <v>853.21801927584045</v>
      </c>
      <c r="AT143" s="620">
        <v>508</v>
      </c>
      <c r="AU143" s="623">
        <v>0.55643367745278582</v>
      </c>
      <c r="AV143" s="624">
        <v>40</v>
      </c>
      <c r="AW143" s="625">
        <v>1026</v>
      </c>
      <c r="AX143" s="620">
        <v>330</v>
      </c>
      <c r="AY143" s="626">
        <v>500</v>
      </c>
      <c r="AZ143" s="626">
        <v>180</v>
      </c>
      <c r="BA143" s="627">
        <v>2.9700000000000001E-2</v>
      </c>
      <c r="BB143" s="627">
        <v>1.885</v>
      </c>
      <c r="BC143" s="325">
        <v>70</v>
      </c>
      <c r="BD143" s="628">
        <v>0.224</v>
      </c>
      <c r="BE143" s="629">
        <v>0.224</v>
      </c>
      <c r="BF143" s="1028">
        <v>3</v>
      </c>
      <c r="BG143" s="163" t="s">
        <v>8932</v>
      </c>
      <c r="BH143" s="163">
        <v>3</v>
      </c>
      <c r="BK143" s="163">
        <v>0</v>
      </c>
      <c r="BM143" s="163" t="s">
        <v>8905</v>
      </c>
    </row>
    <row r="144" spans="1:65" ht="35.25" customHeight="1">
      <c r="A144" s="163" t="s">
        <v>9111</v>
      </c>
      <c r="B144" s="163" t="s">
        <v>3276</v>
      </c>
      <c r="C144" s="164" t="s">
        <v>8907</v>
      </c>
      <c r="D144" s="1497"/>
      <c r="E144" s="1505">
        <v>0</v>
      </c>
      <c r="F144" s="913">
        <v>107</v>
      </c>
      <c r="G144" s="1037"/>
      <c r="H144" s="231"/>
      <c r="I144" s="805"/>
      <c r="J144" s="1029" t="s">
        <v>3276</v>
      </c>
      <c r="K144" s="490" t="s">
        <v>3275</v>
      </c>
      <c r="L144" s="758" t="s">
        <v>9098</v>
      </c>
      <c r="M144" s="490">
        <v>1</v>
      </c>
      <c r="N144" s="759">
        <v>70</v>
      </c>
      <c r="O144" s="642" t="s">
        <v>4652</v>
      </c>
      <c r="P144" s="642">
        <v>800</v>
      </c>
      <c r="Q144" s="490">
        <v>40</v>
      </c>
      <c r="R144" s="237">
        <v>7414</v>
      </c>
      <c r="S144" s="302">
        <v>411.88888888888891</v>
      </c>
      <c r="T144" s="399">
        <v>10.297222222222222</v>
      </c>
      <c r="U144" s="1481">
        <v>411.88888888888891</v>
      </c>
      <c r="V144" s="1483">
        <v>0.41452878775000002</v>
      </c>
      <c r="W144" s="402">
        <v>0.30582750000000003</v>
      </c>
      <c r="X144" s="392">
        <v>25</v>
      </c>
      <c r="Y144" s="760">
        <v>4</v>
      </c>
      <c r="Z144" s="761">
        <v>3</v>
      </c>
      <c r="AA144" s="1000">
        <v>3</v>
      </c>
      <c r="AB144" s="310">
        <v>31</v>
      </c>
      <c r="AC144" s="397" t="s">
        <v>8898</v>
      </c>
      <c r="AD144" s="397" t="s">
        <v>8898</v>
      </c>
      <c r="AE144" s="762">
        <v>30</v>
      </c>
      <c r="AF144" s="250">
        <v>1</v>
      </c>
      <c r="AG144" s="313">
        <v>20</v>
      </c>
      <c r="AH144" s="638">
        <v>20</v>
      </c>
      <c r="AI144" s="639">
        <v>0</v>
      </c>
      <c r="AJ144" s="1516"/>
      <c r="AK144" s="253" t="s">
        <v>3276</v>
      </c>
      <c r="AL144" s="254" t="str">
        <f t="shared" si="5"/>
        <v>HAN078</v>
      </c>
      <c r="AM144" s="255">
        <f t="shared" si="5"/>
        <v>800</v>
      </c>
      <c r="AN144" s="640" t="s">
        <v>8899</v>
      </c>
      <c r="AO144" s="641">
        <v>4</v>
      </c>
      <c r="AP144" s="642">
        <v>259</v>
      </c>
      <c r="AQ144" s="642">
        <v>99</v>
      </c>
      <c r="AR144" s="643">
        <f t="shared" si="4"/>
        <v>0.80512739999999994</v>
      </c>
      <c r="AS144" s="644">
        <v>853.21801927584045</v>
      </c>
      <c r="AT144" s="642">
        <v>508</v>
      </c>
      <c r="AU144" s="645">
        <v>0.55643367745278582</v>
      </c>
      <c r="AV144" s="646">
        <v>40</v>
      </c>
      <c r="AW144" s="647">
        <v>1026</v>
      </c>
      <c r="AX144" s="642">
        <v>330</v>
      </c>
      <c r="AY144" s="648">
        <v>500</v>
      </c>
      <c r="AZ144" s="648">
        <v>180</v>
      </c>
      <c r="BA144" s="649">
        <v>2.9700000000000001E-2</v>
      </c>
      <c r="BB144" s="649">
        <v>1.885</v>
      </c>
      <c r="BC144" s="264">
        <v>70</v>
      </c>
      <c r="BD144" s="650">
        <v>0.224</v>
      </c>
      <c r="BE144" s="651">
        <v>0.224</v>
      </c>
      <c r="BF144" s="1030">
        <v>3</v>
      </c>
      <c r="BG144" s="163" t="s">
        <v>8932</v>
      </c>
      <c r="BH144" s="163">
        <v>3</v>
      </c>
      <c r="BK144" s="163">
        <v>0</v>
      </c>
      <c r="BM144" s="163" t="s">
        <v>8905</v>
      </c>
    </row>
    <row r="145" spans="1:65" ht="35.25" customHeight="1">
      <c r="A145" s="163" t="s">
        <v>9112</v>
      </c>
      <c r="B145" s="163" t="s">
        <v>240</v>
      </c>
      <c r="C145" s="164" t="s">
        <v>8907</v>
      </c>
      <c r="D145" s="1529"/>
      <c r="E145" s="1510" t="s">
        <v>8916</v>
      </c>
      <c r="F145" s="913">
        <v>108</v>
      </c>
      <c r="G145" s="1038"/>
      <c r="H145" s="294"/>
      <c r="I145" s="796"/>
      <c r="J145" s="1027" t="s">
        <v>240</v>
      </c>
      <c r="K145" s="798" t="s">
        <v>239</v>
      </c>
      <c r="L145" s="799" t="s">
        <v>9113</v>
      </c>
      <c r="M145" s="798">
        <v>1</v>
      </c>
      <c r="N145" s="1039">
        <v>60</v>
      </c>
      <c r="O145" s="620" t="s">
        <v>4508</v>
      </c>
      <c r="P145" s="924">
        <v>900</v>
      </c>
      <c r="Q145" s="798">
        <v>60</v>
      </c>
      <c r="R145" s="237">
        <v>16842</v>
      </c>
      <c r="S145" s="302">
        <v>935.66666666666663</v>
      </c>
      <c r="T145" s="303">
        <v>15.594444444444443</v>
      </c>
      <c r="U145" s="1480">
        <v>935.66666666666663</v>
      </c>
      <c r="V145" s="1482">
        <v>0.52840789431111101</v>
      </c>
      <c r="W145" s="306">
        <v>0.46315499999999998</v>
      </c>
      <c r="X145" s="392">
        <v>30</v>
      </c>
      <c r="Y145" s="801">
        <v>4</v>
      </c>
      <c r="Z145" s="802">
        <v>4</v>
      </c>
      <c r="AA145" s="1000">
        <v>4</v>
      </c>
      <c r="AB145" s="310">
        <v>38</v>
      </c>
      <c r="AC145" s="311" t="s">
        <v>8898</v>
      </c>
      <c r="AD145" s="311" t="s">
        <v>8898</v>
      </c>
      <c r="AE145" s="803">
        <v>37</v>
      </c>
      <c r="AF145" s="250">
        <v>1</v>
      </c>
      <c r="AG145" s="313">
        <v>30</v>
      </c>
      <c r="AH145" s="616">
        <v>30</v>
      </c>
      <c r="AI145" s="617">
        <v>0</v>
      </c>
      <c r="AJ145" s="1515" t="s">
        <v>9057</v>
      </c>
      <c r="AK145" s="253" t="s">
        <v>240</v>
      </c>
      <c r="AL145" s="254" t="str">
        <f t="shared" si="5"/>
        <v>TTC038</v>
      </c>
      <c r="AM145" s="255">
        <f t="shared" si="5"/>
        <v>900</v>
      </c>
      <c r="AN145" s="618" t="s">
        <v>8982</v>
      </c>
      <c r="AO145" s="619">
        <v>1.2</v>
      </c>
      <c r="AP145" s="620">
        <v>574</v>
      </c>
      <c r="AQ145" s="620">
        <v>94</v>
      </c>
      <c r="AR145" s="621">
        <f t="shared" ref="AR145:AR208" si="6">((AO145*AP145*AQ145)*7.85/1000000)/M145</f>
        <v>0.50826551999999992</v>
      </c>
      <c r="AS145" s="622">
        <v>907.46491470941805</v>
      </c>
      <c r="AT145" s="620">
        <v>508</v>
      </c>
      <c r="AU145" s="623">
        <v>0.5745028700746807</v>
      </c>
      <c r="AV145" s="624">
        <v>60</v>
      </c>
      <c r="AW145" s="625">
        <v>1026</v>
      </c>
      <c r="AX145" s="620">
        <v>330</v>
      </c>
      <c r="AY145" s="626">
        <v>500</v>
      </c>
      <c r="AZ145" s="626">
        <v>180</v>
      </c>
      <c r="BA145" s="627">
        <v>2.9700000000000001E-2</v>
      </c>
      <c r="BB145" s="627">
        <v>1.885</v>
      </c>
      <c r="BC145" s="325">
        <v>0</v>
      </c>
      <c r="BD145" s="628">
        <v>0.14599999999999999</v>
      </c>
      <c r="BE145" s="629">
        <v>0.14599999999999999</v>
      </c>
      <c r="BF145" s="1028">
        <v>3</v>
      </c>
      <c r="BG145" s="163" t="s">
        <v>8932</v>
      </c>
      <c r="BH145" s="163">
        <v>3</v>
      </c>
      <c r="BK145" s="163">
        <v>0</v>
      </c>
      <c r="BM145" s="163" t="s">
        <v>8905</v>
      </c>
    </row>
    <row r="146" spans="1:65" ht="35.25" customHeight="1">
      <c r="A146" s="163" t="s">
        <v>9114</v>
      </c>
      <c r="B146" s="163" t="s">
        <v>236</v>
      </c>
      <c r="C146" s="164" t="s">
        <v>8907</v>
      </c>
      <c r="D146" s="1497"/>
      <c r="E146" s="1505">
        <v>0</v>
      </c>
      <c r="F146" s="913">
        <v>108</v>
      </c>
      <c r="G146" s="1037"/>
      <c r="H146" s="231"/>
      <c r="I146" s="805"/>
      <c r="J146" s="1029" t="s">
        <v>236</v>
      </c>
      <c r="K146" s="490" t="s">
        <v>235</v>
      </c>
      <c r="L146" s="758" t="s">
        <v>9115</v>
      </c>
      <c r="M146" s="490">
        <v>1</v>
      </c>
      <c r="N146" s="899">
        <v>60</v>
      </c>
      <c r="O146" s="642" t="s">
        <v>4508</v>
      </c>
      <c r="P146" s="925">
        <v>900</v>
      </c>
      <c r="Q146" s="490">
        <v>60</v>
      </c>
      <c r="R146" s="237">
        <v>17054</v>
      </c>
      <c r="S146" s="302">
        <v>947.44444444444446</v>
      </c>
      <c r="T146" s="399">
        <v>15.790740740740741</v>
      </c>
      <c r="U146" s="1481">
        <v>947.44444444444446</v>
      </c>
      <c r="V146" s="1483">
        <v>0.48383019118518511</v>
      </c>
      <c r="W146" s="402">
        <v>0.46898500000000004</v>
      </c>
      <c r="X146" s="392">
        <v>33</v>
      </c>
      <c r="Y146" s="760">
        <v>4</v>
      </c>
      <c r="Z146" s="761">
        <v>4</v>
      </c>
      <c r="AA146" s="1000">
        <v>4</v>
      </c>
      <c r="AB146" s="310">
        <v>41</v>
      </c>
      <c r="AC146" s="397" t="s">
        <v>8898</v>
      </c>
      <c r="AD146" s="397" t="s">
        <v>8898</v>
      </c>
      <c r="AE146" s="762">
        <v>40</v>
      </c>
      <c r="AF146" s="250">
        <v>1</v>
      </c>
      <c r="AG146" s="313">
        <v>30</v>
      </c>
      <c r="AH146" s="638">
        <v>30</v>
      </c>
      <c r="AI146" s="639">
        <v>0</v>
      </c>
      <c r="AJ146" s="1516"/>
      <c r="AK146" s="253" t="s">
        <v>236</v>
      </c>
      <c r="AL146" s="254" t="str">
        <f t="shared" si="5"/>
        <v>TTC038</v>
      </c>
      <c r="AM146" s="255">
        <f t="shared" si="5"/>
        <v>900</v>
      </c>
      <c r="AN146" s="640" t="s">
        <v>8982</v>
      </c>
      <c r="AO146" s="641">
        <v>1.2</v>
      </c>
      <c r="AP146" s="642">
        <v>574</v>
      </c>
      <c r="AQ146" s="642">
        <v>85</v>
      </c>
      <c r="AR146" s="643">
        <f t="shared" si="6"/>
        <v>0.45960179999999995</v>
      </c>
      <c r="AS146" s="644">
        <v>907.46491470941805</v>
      </c>
      <c r="AT146" s="642">
        <v>508</v>
      </c>
      <c r="AU146" s="645">
        <v>0.52219116635313445</v>
      </c>
      <c r="AV146" s="646">
        <v>60</v>
      </c>
      <c r="AW146" s="647">
        <v>1026</v>
      </c>
      <c r="AX146" s="642">
        <v>330</v>
      </c>
      <c r="AY146" s="648">
        <v>500</v>
      </c>
      <c r="AZ146" s="648">
        <v>180</v>
      </c>
      <c r="BA146" s="649">
        <v>2.9700000000000001E-2</v>
      </c>
      <c r="BB146" s="649">
        <v>1.885</v>
      </c>
      <c r="BC146" s="264">
        <v>70</v>
      </c>
      <c r="BD146" s="650">
        <v>0.12</v>
      </c>
      <c r="BE146" s="651">
        <v>0.12</v>
      </c>
      <c r="BF146" s="1030">
        <v>3</v>
      </c>
      <c r="BG146" s="163" t="s">
        <v>8932</v>
      </c>
      <c r="BH146" s="163">
        <v>3</v>
      </c>
      <c r="BK146" s="163">
        <v>0</v>
      </c>
      <c r="BM146" s="163" t="s">
        <v>8905</v>
      </c>
    </row>
    <row r="147" spans="1:65" ht="35.25" customHeight="1">
      <c r="A147" s="163" t="s">
        <v>9116</v>
      </c>
      <c r="B147" s="163" t="s">
        <v>230</v>
      </c>
      <c r="C147" s="164" t="s">
        <v>8907</v>
      </c>
      <c r="D147" s="1529"/>
      <c r="E147" s="1510" t="s">
        <v>8916</v>
      </c>
      <c r="F147" s="913">
        <v>109</v>
      </c>
      <c r="G147" s="389"/>
      <c r="H147" s="294"/>
      <c r="I147" s="295"/>
      <c r="J147" s="1027" t="s">
        <v>230</v>
      </c>
      <c r="K147" s="798" t="s">
        <v>229</v>
      </c>
      <c r="L147" s="799" t="s">
        <v>9117</v>
      </c>
      <c r="M147" s="798">
        <v>1</v>
      </c>
      <c r="N147" s="1039">
        <v>60</v>
      </c>
      <c r="O147" s="620" t="s">
        <v>4508</v>
      </c>
      <c r="P147" s="924">
        <v>900</v>
      </c>
      <c r="Q147" s="798">
        <v>60</v>
      </c>
      <c r="R147" s="237">
        <v>16370</v>
      </c>
      <c r="S147" s="302">
        <v>909.44444444444446</v>
      </c>
      <c r="T147" s="303">
        <v>15.157407407407408</v>
      </c>
      <c r="U147" s="1480">
        <v>909.44444444444446</v>
      </c>
      <c r="V147" s="1482">
        <v>0.51359917051851844</v>
      </c>
      <c r="W147" s="306">
        <v>0.45017500000000005</v>
      </c>
      <c r="X147" s="392">
        <v>30</v>
      </c>
      <c r="Y147" s="801">
        <v>4</v>
      </c>
      <c r="Z147" s="802">
        <v>4</v>
      </c>
      <c r="AA147" s="1000">
        <v>4</v>
      </c>
      <c r="AB147" s="310">
        <v>38</v>
      </c>
      <c r="AC147" s="311" t="s">
        <v>8898</v>
      </c>
      <c r="AD147" s="311" t="s">
        <v>8898</v>
      </c>
      <c r="AE147" s="803">
        <v>36</v>
      </c>
      <c r="AF147" s="250">
        <v>2</v>
      </c>
      <c r="AG147" s="313">
        <v>30</v>
      </c>
      <c r="AH147" s="616">
        <v>30</v>
      </c>
      <c r="AI147" s="617">
        <v>0</v>
      </c>
      <c r="AJ147" s="1515" t="s">
        <v>9057</v>
      </c>
      <c r="AK147" s="253" t="s">
        <v>230</v>
      </c>
      <c r="AL147" s="254" t="str">
        <f t="shared" si="5"/>
        <v>TTC038</v>
      </c>
      <c r="AM147" s="255">
        <f t="shared" si="5"/>
        <v>900</v>
      </c>
      <c r="AN147" s="618" t="s">
        <v>8982</v>
      </c>
      <c r="AO147" s="619">
        <v>1.2</v>
      </c>
      <c r="AP147" s="620">
        <v>574</v>
      </c>
      <c r="AQ147" s="620">
        <v>94</v>
      </c>
      <c r="AR147" s="621">
        <f t="shared" si="6"/>
        <v>0.50826551999999992</v>
      </c>
      <c r="AS147" s="622">
        <v>907.46491470941805</v>
      </c>
      <c r="AT147" s="620">
        <v>508</v>
      </c>
      <c r="AU147" s="623">
        <v>0.5745028700746807</v>
      </c>
      <c r="AV147" s="624">
        <v>60</v>
      </c>
      <c r="AW147" s="625">
        <v>1026</v>
      </c>
      <c r="AX147" s="620">
        <v>330</v>
      </c>
      <c r="AY147" s="626">
        <v>500</v>
      </c>
      <c r="AZ147" s="626">
        <v>180</v>
      </c>
      <c r="BA147" s="627">
        <v>2.9700000000000001E-2</v>
      </c>
      <c r="BB147" s="627">
        <v>1.885</v>
      </c>
      <c r="BC147" s="325">
        <v>0</v>
      </c>
      <c r="BD147" s="628">
        <v>0.14599999999999999</v>
      </c>
      <c r="BE147" s="629">
        <v>0.14599999999999999</v>
      </c>
      <c r="BF147" s="1028">
        <v>3</v>
      </c>
      <c r="BG147" s="163" t="s">
        <v>8932</v>
      </c>
      <c r="BH147" s="163">
        <v>3</v>
      </c>
      <c r="BK147" s="163">
        <v>0</v>
      </c>
      <c r="BM147" s="163" t="s">
        <v>8905</v>
      </c>
    </row>
    <row r="148" spans="1:65" ht="35.25" customHeight="1">
      <c r="A148" s="163" t="s">
        <v>9118</v>
      </c>
      <c r="B148" s="163" t="s">
        <v>242</v>
      </c>
      <c r="C148" s="164" t="s">
        <v>8907</v>
      </c>
      <c r="D148" s="1497"/>
      <c r="E148" s="1505">
        <v>0</v>
      </c>
      <c r="F148" s="913">
        <v>109</v>
      </c>
      <c r="G148" s="229"/>
      <c r="H148" s="231"/>
      <c r="I148" s="393"/>
      <c r="J148" s="1029" t="s">
        <v>242</v>
      </c>
      <c r="K148" s="490" t="s">
        <v>241</v>
      </c>
      <c r="L148" s="758" t="s">
        <v>9119</v>
      </c>
      <c r="M148" s="490">
        <v>1</v>
      </c>
      <c r="N148" s="759">
        <v>60</v>
      </c>
      <c r="O148" s="642" t="s">
        <v>4508</v>
      </c>
      <c r="P148" s="925">
        <v>900</v>
      </c>
      <c r="Q148" s="490">
        <v>60</v>
      </c>
      <c r="R148" s="237">
        <v>16304</v>
      </c>
      <c r="S148" s="302">
        <v>905.77777777777783</v>
      </c>
      <c r="T148" s="399">
        <v>15.096296296296297</v>
      </c>
      <c r="U148" s="1481">
        <v>905.77777777777783</v>
      </c>
      <c r="V148" s="1483">
        <v>0.46255233007407404</v>
      </c>
      <c r="W148" s="402">
        <v>0.44836000000000004</v>
      </c>
      <c r="X148" s="392">
        <v>33</v>
      </c>
      <c r="Y148" s="760">
        <v>4</v>
      </c>
      <c r="Z148" s="761">
        <v>4</v>
      </c>
      <c r="AA148" s="1000">
        <v>4</v>
      </c>
      <c r="AB148" s="310">
        <v>41</v>
      </c>
      <c r="AC148" s="397" t="s">
        <v>8898</v>
      </c>
      <c r="AD148" s="397" t="s">
        <v>8898</v>
      </c>
      <c r="AE148" s="762">
        <v>39</v>
      </c>
      <c r="AF148" s="250">
        <v>2</v>
      </c>
      <c r="AG148" s="313">
        <v>30</v>
      </c>
      <c r="AH148" s="638">
        <v>30</v>
      </c>
      <c r="AI148" s="639">
        <v>0</v>
      </c>
      <c r="AJ148" s="1516"/>
      <c r="AK148" s="253" t="s">
        <v>242</v>
      </c>
      <c r="AL148" s="254" t="str">
        <f t="shared" si="5"/>
        <v>TTC038</v>
      </c>
      <c r="AM148" s="255">
        <f t="shared" si="5"/>
        <v>900</v>
      </c>
      <c r="AN148" s="640" t="s">
        <v>8982</v>
      </c>
      <c r="AO148" s="641">
        <v>1.2</v>
      </c>
      <c r="AP148" s="642">
        <v>574</v>
      </c>
      <c r="AQ148" s="642">
        <v>85</v>
      </c>
      <c r="AR148" s="643">
        <f t="shared" si="6"/>
        <v>0.45960179999999995</v>
      </c>
      <c r="AS148" s="644">
        <v>907.46491470941805</v>
      </c>
      <c r="AT148" s="642">
        <v>508</v>
      </c>
      <c r="AU148" s="645">
        <v>0.52219116635313445</v>
      </c>
      <c r="AV148" s="646">
        <v>60</v>
      </c>
      <c r="AW148" s="647">
        <v>1026</v>
      </c>
      <c r="AX148" s="642">
        <v>330</v>
      </c>
      <c r="AY148" s="648">
        <v>500</v>
      </c>
      <c r="AZ148" s="648">
        <v>180</v>
      </c>
      <c r="BA148" s="649">
        <v>2.9700000000000001E-2</v>
      </c>
      <c r="BB148" s="649">
        <v>1.885</v>
      </c>
      <c r="BC148" s="264">
        <v>70</v>
      </c>
      <c r="BD148" s="650">
        <v>0.12</v>
      </c>
      <c r="BE148" s="651">
        <v>0.12</v>
      </c>
      <c r="BF148" s="1030">
        <v>3</v>
      </c>
      <c r="BG148" s="163" t="s">
        <v>8932</v>
      </c>
      <c r="BH148" s="163">
        <v>3</v>
      </c>
      <c r="BK148" s="163">
        <v>0</v>
      </c>
      <c r="BM148" s="163" t="s">
        <v>8905</v>
      </c>
    </row>
    <row r="149" spans="1:65" ht="35.25" customHeight="1">
      <c r="A149" s="163" t="s">
        <v>9120</v>
      </c>
      <c r="B149" s="163" t="s">
        <v>2633</v>
      </c>
      <c r="C149" s="164" t="s">
        <v>8907</v>
      </c>
      <c r="D149" s="1497"/>
      <c r="E149" s="763"/>
      <c r="F149" s="268">
        <v>110</v>
      </c>
      <c r="G149" s="424"/>
      <c r="H149" s="271"/>
      <c r="I149" s="271"/>
      <c r="J149" s="1025" t="s">
        <v>2633</v>
      </c>
      <c r="K149" s="787" t="s">
        <v>2632</v>
      </c>
      <c r="L149" s="788" t="s">
        <v>9121</v>
      </c>
      <c r="M149" s="787">
        <v>2</v>
      </c>
      <c r="N149" s="789">
        <v>70</v>
      </c>
      <c r="O149" s="536" t="s">
        <v>4692</v>
      </c>
      <c r="P149" s="536">
        <v>1000</v>
      </c>
      <c r="Q149" s="787">
        <v>80</v>
      </c>
      <c r="R149" s="237">
        <v>18852</v>
      </c>
      <c r="S149" s="302">
        <v>1047.3333333333333</v>
      </c>
      <c r="T149" s="399">
        <v>13.091666666666665</v>
      </c>
      <c r="U149" s="492">
        <v>523.66666666666663</v>
      </c>
      <c r="V149" s="790">
        <v>0.29791833404666668</v>
      </c>
      <c r="W149" s="791">
        <v>0.38882249999999996</v>
      </c>
      <c r="X149" s="392">
        <v>44</v>
      </c>
      <c r="Y149" s="801">
        <v>4</v>
      </c>
      <c r="Z149" s="489">
        <v>4</v>
      </c>
      <c r="AA149" s="1000">
        <v>3</v>
      </c>
      <c r="AB149" s="310">
        <v>51</v>
      </c>
      <c r="AC149" s="789" t="s">
        <v>8898</v>
      </c>
      <c r="AD149" s="789" t="s">
        <v>8898</v>
      </c>
      <c r="AE149" s="689">
        <v>50</v>
      </c>
      <c r="AF149" s="250">
        <v>1</v>
      </c>
      <c r="AG149" s="313">
        <v>40</v>
      </c>
      <c r="AH149" s="531">
        <v>40</v>
      </c>
      <c r="AI149" s="532">
        <v>0</v>
      </c>
      <c r="AJ149" s="441" t="s">
        <v>8917</v>
      </c>
      <c r="AK149" s="253" t="s">
        <v>2633</v>
      </c>
      <c r="AL149" s="254" t="str">
        <f t="shared" si="5"/>
        <v>HAN113</v>
      </c>
      <c r="AM149" s="255">
        <f t="shared" si="5"/>
        <v>1000</v>
      </c>
      <c r="AN149" s="534" t="s">
        <v>8918</v>
      </c>
      <c r="AO149" s="535">
        <v>2.6</v>
      </c>
      <c r="AP149" s="536">
        <v>362</v>
      </c>
      <c r="AQ149" s="536">
        <v>77</v>
      </c>
      <c r="AR149" s="537">
        <f t="shared" si="6"/>
        <v>0.28445417000000006</v>
      </c>
      <c r="AS149" s="538">
        <v>768.5056182266344</v>
      </c>
      <c r="AT149" s="536">
        <v>508</v>
      </c>
      <c r="AU149" s="539">
        <v>0.48331467356214153</v>
      </c>
      <c r="AV149" s="521">
        <v>80</v>
      </c>
      <c r="AW149" s="540">
        <v>1026</v>
      </c>
      <c r="AX149" s="536">
        <v>330</v>
      </c>
      <c r="AY149" s="290">
        <v>500</v>
      </c>
      <c r="AZ149" s="290">
        <v>180</v>
      </c>
      <c r="BA149" s="541">
        <v>2.9700000000000001E-2</v>
      </c>
      <c r="BB149" s="541">
        <v>1.885</v>
      </c>
      <c r="BC149" s="290">
        <v>70</v>
      </c>
      <c r="BD149" s="542">
        <v>0.13900000000000001</v>
      </c>
      <c r="BE149" s="543">
        <v>0.13900000000000001</v>
      </c>
      <c r="BF149" s="1026">
        <v>3</v>
      </c>
      <c r="BG149" s="163" t="s">
        <v>8904</v>
      </c>
      <c r="BH149" s="163">
        <v>1</v>
      </c>
      <c r="BK149" s="163">
        <v>0</v>
      </c>
      <c r="BM149" s="163" t="s">
        <v>8905</v>
      </c>
    </row>
    <row r="150" spans="1:65" ht="35.25" customHeight="1">
      <c r="A150" s="163" t="s">
        <v>9122</v>
      </c>
      <c r="B150" s="163" t="s">
        <v>2639</v>
      </c>
      <c r="C150" s="164" t="s">
        <v>8907</v>
      </c>
      <c r="D150" s="1497"/>
      <c r="E150" s="763"/>
      <c r="F150" s="268">
        <v>111</v>
      </c>
      <c r="G150" s="422"/>
      <c r="H150" s="231"/>
      <c r="I150" s="231"/>
      <c r="J150" s="1025" t="s">
        <v>2639</v>
      </c>
      <c r="K150" s="787" t="s">
        <v>2638</v>
      </c>
      <c r="L150" s="788" t="s">
        <v>9123</v>
      </c>
      <c r="M150" s="787">
        <v>2</v>
      </c>
      <c r="N150" s="789">
        <v>70</v>
      </c>
      <c r="O150" s="536" t="s">
        <v>4692</v>
      </c>
      <c r="P150" s="536">
        <v>1000</v>
      </c>
      <c r="Q150" s="787">
        <v>80</v>
      </c>
      <c r="R150" s="237">
        <v>17288</v>
      </c>
      <c r="S150" s="302">
        <v>960.44444444444446</v>
      </c>
      <c r="T150" s="399">
        <v>12.005555555555556</v>
      </c>
      <c r="U150" s="492">
        <v>480.22222222222223</v>
      </c>
      <c r="V150" s="790">
        <v>0.27320242727555566</v>
      </c>
      <c r="W150" s="791">
        <v>0.35656500000000002</v>
      </c>
      <c r="X150" s="392">
        <v>44</v>
      </c>
      <c r="Y150" s="760">
        <v>4</v>
      </c>
      <c r="Z150" s="489">
        <v>4</v>
      </c>
      <c r="AA150" s="1000">
        <v>3</v>
      </c>
      <c r="AB150" s="310">
        <v>51</v>
      </c>
      <c r="AC150" s="789" t="s">
        <v>8898</v>
      </c>
      <c r="AD150" s="789" t="s">
        <v>8898</v>
      </c>
      <c r="AE150" s="689">
        <v>49</v>
      </c>
      <c r="AF150" s="250">
        <v>2</v>
      </c>
      <c r="AG150" s="313">
        <v>40</v>
      </c>
      <c r="AH150" s="531">
        <v>40</v>
      </c>
      <c r="AI150" s="532">
        <v>0</v>
      </c>
      <c r="AJ150" s="441" t="s">
        <v>8917</v>
      </c>
      <c r="AK150" s="253" t="s">
        <v>2639</v>
      </c>
      <c r="AL150" s="254" t="str">
        <f t="shared" si="5"/>
        <v>HAN113</v>
      </c>
      <c r="AM150" s="255">
        <f t="shared" si="5"/>
        <v>1000</v>
      </c>
      <c r="AN150" s="534" t="s">
        <v>8918</v>
      </c>
      <c r="AO150" s="535">
        <v>2.6</v>
      </c>
      <c r="AP150" s="536">
        <v>362</v>
      </c>
      <c r="AQ150" s="536">
        <v>77</v>
      </c>
      <c r="AR150" s="537">
        <f t="shared" si="6"/>
        <v>0.28445417000000006</v>
      </c>
      <c r="AS150" s="538">
        <v>768.5056182266344</v>
      </c>
      <c r="AT150" s="536">
        <v>508</v>
      </c>
      <c r="AU150" s="539">
        <v>0.48331467356214153</v>
      </c>
      <c r="AV150" s="521">
        <v>80</v>
      </c>
      <c r="AW150" s="540">
        <v>1026</v>
      </c>
      <c r="AX150" s="536">
        <v>330</v>
      </c>
      <c r="AY150" s="290">
        <v>500</v>
      </c>
      <c r="AZ150" s="290">
        <v>180</v>
      </c>
      <c r="BA150" s="541">
        <v>2.9700000000000001E-2</v>
      </c>
      <c r="BB150" s="541">
        <v>1.885</v>
      </c>
      <c r="BC150" s="290">
        <v>70</v>
      </c>
      <c r="BD150" s="542">
        <v>0.13900000000000001</v>
      </c>
      <c r="BE150" s="543">
        <v>0.13900000000000001</v>
      </c>
      <c r="BF150" s="1026">
        <v>3</v>
      </c>
      <c r="BG150" s="163" t="s">
        <v>8904</v>
      </c>
      <c r="BH150" s="163">
        <v>1</v>
      </c>
      <c r="BK150" s="163">
        <v>0</v>
      </c>
      <c r="BM150" s="163" t="s">
        <v>8905</v>
      </c>
    </row>
    <row r="151" spans="1:65" ht="35.25" customHeight="1">
      <c r="A151" s="163" t="s">
        <v>9124</v>
      </c>
      <c r="B151" s="163" t="s">
        <v>2817</v>
      </c>
      <c r="C151" s="164" t="s">
        <v>8907</v>
      </c>
      <c r="D151" s="1497"/>
      <c r="E151" s="1510" t="s">
        <v>8916</v>
      </c>
      <c r="F151" s="913">
        <v>112</v>
      </c>
      <c r="G151" s="389"/>
      <c r="H151" s="608"/>
      <c r="I151" s="294"/>
      <c r="J151" s="1027" t="s">
        <v>2817</v>
      </c>
      <c r="K151" s="798" t="s">
        <v>2816</v>
      </c>
      <c r="L151" s="799" t="s">
        <v>9125</v>
      </c>
      <c r="M151" s="798">
        <v>1</v>
      </c>
      <c r="N151" s="800">
        <v>70</v>
      </c>
      <c r="O151" s="620" t="s">
        <v>4694</v>
      </c>
      <c r="P151" s="620">
        <v>1300</v>
      </c>
      <c r="Q151" s="798">
        <v>40</v>
      </c>
      <c r="R151" s="237">
        <v>36088</v>
      </c>
      <c r="S151" s="302">
        <v>2004.8888888888889</v>
      </c>
      <c r="T151" s="303">
        <v>50.12222222222222</v>
      </c>
      <c r="U151" s="1480">
        <v>2004.8888888888889</v>
      </c>
      <c r="V151" s="1482">
        <v>1.2064047675999998</v>
      </c>
      <c r="W151" s="306">
        <v>1.4886299999999999</v>
      </c>
      <c r="X151" s="392">
        <v>42</v>
      </c>
      <c r="Y151" s="760">
        <v>8</v>
      </c>
      <c r="Z151" s="802">
        <v>26</v>
      </c>
      <c r="AA151" s="1000">
        <v>13</v>
      </c>
      <c r="AB151" s="310">
        <v>81</v>
      </c>
      <c r="AC151" s="800" t="s">
        <v>8898</v>
      </c>
      <c r="AD151" s="800" t="s">
        <v>8898</v>
      </c>
      <c r="AE151" s="803">
        <v>72</v>
      </c>
      <c r="AF151" s="250">
        <v>9</v>
      </c>
      <c r="AG151" s="313">
        <v>40</v>
      </c>
      <c r="AH151" s="616">
        <v>40</v>
      </c>
      <c r="AI151" s="617">
        <v>0</v>
      </c>
      <c r="AJ151" s="1511"/>
      <c r="AK151" s="253" t="s">
        <v>2817</v>
      </c>
      <c r="AL151" s="254" t="str">
        <f t="shared" si="5"/>
        <v>HAN114</v>
      </c>
      <c r="AM151" s="255">
        <f t="shared" si="5"/>
        <v>1300</v>
      </c>
      <c r="AN151" s="618" t="s">
        <v>8918</v>
      </c>
      <c r="AO151" s="619">
        <v>2.9</v>
      </c>
      <c r="AP151" s="620">
        <v>249</v>
      </c>
      <c r="AQ151" s="620">
        <v>138</v>
      </c>
      <c r="AR151" s="621">
        <f t="shared" si="6"/>
        <v>0.7822509299999999</v>
      </c>
      <c r="AS151" s="622">
        <v>1417.979689558352</v>
      </c>
      <c r="AT151" s="620">
        <v>508</v>
      </c>
      <c r="AU151" s="623">
        <v>0.6417173578815687</v>
      </c>
      <c r="AV151" s="624">
        <v>40</v>
      </c>
      <c r="AW151" s="625">
        <v>1026</v>
      </c>
      <c r="AX151" s="620">
        <v>330</v>
      </c>
      <c r="AY151" s="626">
        <v>500</v>
      </c>
      <c r="AZ151" s="626">
        <v>180</v>
      </c>
      <c r="BA151" s="627">
        <v>2.9700000000000001E-2</v>
      </c>
      <c r="BB151" s="627">
        <v>1.885</v>
      </c>
      <c r="BC151" s="325">
        <v>70</v>
      </c>
      <c r="BD151" s="628">
        <v>0.252</v>
      </c>
      <c r="BE151" s="629">
        <v>0.252</v>
      </c>
      <c r="BF151" s="1028">
        <v>3</v>
      </c>
      <c r="BG151" s="163" t="s">
        <v>8953</v>
      </c>
      <c r="BH151" s="163">
        <v>2</v>
      </c>
      <c r="BK151" s="163">
        <v>0</v>
      </c>
      <c r="BM151" s="163" t="s">
        <v>8905</v>
      </c>
    </row>
    <row r="152" spans="1:65" ht="35.25" customHeight="1">
      <c r="A152" s="163" t="s">
        <v>9126</v>
      </c>
      <c r="B152" s="163" t="s">
        <v>2841</v>
      </c>
      <c r="C152" s="164" t="s">
        <v>8907</v>
      </c>
      <c r="D152" s="1497"/>
      <c r="E152" s="1505">
        <v>0</v>
      </c>
      <c r="F152" s="913">
        <v>112</v>
      </c>
      <c r="G152" s="229"/>
      <c r="H152" s="230"/>
      <c r="I152" s="231"/>
      <c r="J152" s="1029" t="s">
        <v>2841</v>
      </c>
      <c r="K152" s="490" t="s">
        <v>2840</v>
      </c>
      <c r="L152" s="758" t="s">
        <v>9127</v>
      </c>
      <c r="M152" s="490">
        <v>1</v>
      </c>
      <c r="N152" s="759">
        <v>70</v>
      </c>
      <c r="O152" s="642" t="s">
        <v>4694</v>
      </c>
      <c r="P152" s="642">
        <v>1300</v>
      </c>
      <c r="Q152" s="490">
        <v>40</v>
      </c>
      <c r="R152" s="237">
        <v>36208</v>
      </c>
      <c r="S152" s="302">
        <v>2011.5555555555557</v>
      </c>
      <c r="T152" s="399">
        <v>50.288888888888891</v>
      </c>
      <c r="U152" s="1481">
        <v>2011.5555555555557</v>
      </c>
      <c r="V152" s="1483">
        <v>1.2104163108307693</v>
      </c>
      <c r="W152" s="402">
        <v>1.4935800000000001</v>
      </c>
      <c r="X152" s="392">
        <v>42</v>
      </c>
      <c r="Y152" s="760">
        <v>8</v>
      </c>
      <c r="Z152" s="761">
        <v>26</v>
      </c>
      <c r="AA152" s="1000">
        <v>13</v>
      </c>
      <c r="AB152" s="310">
        <v>81</v>
      </c>
      <c r="AC152" s="759" t="s">
        <v>8898</v>
      </c>
      <c r="AD152" s="759" t="s">
        <v>8898</v>
      </c>
      <c r="AE152" s="762">
        <v>72</v>
      </c>
      <c r="AF152" s="250">
        <v>9</v>
      </c>
      <c r="AG152" s="313">
        <v>40</v>
      </c>
      <c r="AH152" s="638">
        <v>40</v>
      </c>
      <c r="AI152" s="639">
        <v>0</v>
      </c>
      <c r="AJ152" s="1512"/>
      <c r="AK152" s="253" t="s">
        <v>2841</v>
      </c>
      <c r="AL152" s="254" t="str">
        <f t="shared" si="5"/>
        <v>HAN114</v>
      </c>
      <c r="AM152" s="255">
        <f t="shared" si="5"/>
        <v>1300</v>
      </c>
      <c r="AN152" s="640" t="s">
        <v>8918</v>
      </c>
      <c r="AO152" s="641">
        <v>2.9</v>
      </c>
      <c r="AP152" s="642">
        <v>249</v>
      </c>
      <c r="AQ152" s="642">
        <v>138</v>
      </c>
      <c r="AR152" s="643">
        <f t="shared" si="6"/>
        <v>0.7822509299999999</v>
      </c>
      <c r="AS152" s="644">
        <v>1417.979689558352</v>
      </c>
      <c r="AT152" s="642">
        <v>508</v>
      </c>
      <c r="AU152" s="645">
        <v>0.6417173578815687</v>
      </c>
      <c r="AV152" s="646">
        <v>40</v>
      </c>
      <c r="AW152" s="647">
        <v>1026</v>
      </c>
      <c r="AX152" s="642">
        <v>330</v>
      </c>
      <c r="AY152" s="648">
        <v>500</v>
      </c>
      <c r="AZ152" s="648">
        <v>180</v>
      </c>
      <c r="BA152" s="649">
        <v>2.9700000000000001E-2</v>
      </c>
      <c r="BB152" s="649">
        <v>1.885</v>
      </c>
      <c r="BC152" s="264">
        <v>70</v>
      </c>
      <c r="BD152" s="650">
        <v>0.252</v>
      </c>
      <c r="BE152" s="651">
        <v>0.252</v>
      </c>
      <c r="BF152" s="1030">
        <v>3</v>
      </c>
      <c r="BG152" s="163" t="s">
        <v>8953</v>
      </c>
      <c r="BH152" s="163">
        <v>2</v>
      </c>
      <c r="BK152" s="163">
        <v>0</v>
      </c>
      <c r="BM152" s="163" t="s">
        <v>8905</v>
      </c>
    </row>
    <row r="153" spans="1:65" ht="35.25" customHeight="1">
      <c r="A153" s="163" t="s">
        <v>9128</v>
      </c>
      <c r="B153" s="163" t="s">
        <v>2819</v>
      </c>
      <c r="C153" s="164" t="s">
        <v>8907</v>
      </c>
      <c r="D153" s="1497"/>
      <c r="E153" s="1534" t="s">
        <v>8916</v>
      </c>
      <c r="F153" s="913">
        <v>113</v>
      </c>
      <c r="G153" s="1040"/>
      <c r="H153" s="1041"/>
      <c r="I153" s="796"/>
      <c r="J153" s="1027" t="s">
        <v>2819</v>
      </c>
      <c r="K153" s="798" t="s">
        <v>2818</v>
      </c>
      <c r="L153" s="799" t="s">
        <v>8974</v>
      </c>
      <c r="M153" s="798">
        <v>1</v>
      </c>
      <c r="N153" s="800">
        <v>70</v>
      </c>
      <c r="O153" s="620" t="s">
        <v>4694</v>
      </c>
      <c r="P153" s="620">
        <v>1300</v>
      </c>
      <c r="Q153" s="798">
        <v>40</v>
      </c>
      <c r="R153" s="237">
        <v>23640</v>
      </c>
      <c r="S153" s="302">
        <v>1313.3333333333333</v>
      </c>
      <c r="T153" s="303">
        <v>32.833333333333329</v>
      </c>
      <c r="U153" s="390">
        <v>1313.3333333333333</v>
      </c>
      <c r="V153" s="391">
        <v>0.79344780769230772</v>
      </c>
      <c r="W153" s="306">
        <v>0.97514999999999985</v>
      </c>
      <c r="X153" s="392">
        <v>42</v>
      </c>
      <c r="Y153" s="801">
        <v>4</v>
      </c>
      <c r="Z153" s="802">
        <v>9</v>
      </c>
      <c r="AA153" s="1000">
        <v>8</v>
      </c>
      <c r="AB153" s="310">
        <v>59</v>
      </c>
      <c r="AC153" s="311" t="s">
        <v>8898</v>
      </c>
      <c r="AD153" s="311" t="s">
        <v>8898</v>
      </c>
      <c r="AE153" s="803">
        <v>55</v>
      </c>
      <c r="AF153" s="250">
        <v>4</v>
      </c>
      <c r="AG153" s="313">
        <v>40</v>
      </c>
      <c r="AH153" s="616">
        <v>40</v>
      </c>
      <c r="AI153" s="617">
        <v>0</v>
      </c>
      <c r="AJ153" s="1511"/>
      <c r="AK153" s="253" t="s">
        <v>2819</v>
      </c>
      <c r="AL153" s="254" t="str">
        <f t="shared" si="5"/>
        <v>HAN114</v>
      </c>
      <c r="AM153" s="255">
        <f t="shared" si="5"/>
        <v>1300</v>
      </c>
      <c r="AN153" s="618" t="s">
        <v>8918</v>
      </c>
      <c r="AO153" s="619">
        <v>2.9</v>
      </c>
      <c r="AP153" s="620">
        <v>250</v>
      </c>
      <c r="AQ153" s="620">
        <v>138</v>
      </c>
      <c r="AR153" s="621">
        <f t="shared" si="6"/>
        <v>0.78539250000000005</v>
      </c>
      <c r="AS153" s="622">
        <v>863.07473604549455</v>
      </c>
      <c r="AT153" s="620">
        <v>508</v>
      </c>
      <c r="AU153" s="623">
        <v>0.67736832220832255</v>
      </c>
      <c r="AV153" s="624">
        <v>40</v>
      </c>
      <c r="AW153" s="625">
        <v>1026</v>
      </c>
      <c r="AX153" s="620">
        <v>330</v>
      </c>
      <c r="AY153" s="626">
        <v>500</v>
      </c>
      <c r="AZ153" s="626">
        <v>180</v>
      </c>
      <c r="BA153" s="627">
        <v>2.9700000000000001E-2</v>
      </c>
      <c r="BB153" s="627">
        <v>1.885</v>
      </c>
      <c r="BC153" s="325">
        <v>70</v>
      </c>
      <c r="BD153" s="628">
        <v>0.26600000000000001</v>
      </c>
      <c r="BE153" s="629">
        <v>0.26600000000000001</v>
      </c>
      <c r="BF153" s="1028">
        <v>3</v>
      </c>
      <c r="BG153" s="163" t="s">
        <v>8932</v>
      </c>
      <c r="BH153" s="163">
        <v>3</v>
      </c>
      <c r="BK153" s="163">
        <v>0</v>
      </c>
      <c r="BM153" s="163" t="s">
        <v>8905</v>
      </c>
    </row>
    <row r="154" spans="1:65" ht="35.25" customHeight="1">
      <c r="A154" s="163" t="s">
        <v>9129</v>
      </c>
      <c r="B154" s="163" t="s">
        <v>2843</v>
      </c>
      <c r="C154" s="164" t="s">
        <v>8907</v>
      </c>
      <c r="D154" s="1497"/>
      <c r="E154" s="1535"/>
      <c r="F154" s="913">
        <v>113</v>
      </c>
      <c r="G154" s="1042"/>
      <c r="H154" s="1043"/>
      <c r="I154" s="805"/>
      <c r="J154" s="1029" t="s">
        <v>2843</v>
      </c>
      <c r="K154" s="490" t="s">
        <v>2842</v>
      </c>
      <c r="L154" s="758" t="s">
        <v>8976</v>
      </c>
      <c r="M154" s="490">
        <v>1</v>
      </c>
      <c r="N154" s="759">
        <v>70</v>
      </c>
      <c r="O154" s="642" t="s">
        <v>4694</v>
      </c>
      <c r="P154" s="642">
        <v>1300</v>
      </c>
      <c r="Q154" s="490">
        <v>40</v>
      </c>
      <c r="R154" s="237">
        <v>23912</v>
      </c>
      <c r="S154" s="302">
        <v>1328.4444444444443</v>
      </c>
      <c r="T154" s="399">
        <v>33.211111111111109</v>
      </c>
      <c r="U154" s="400">
        <v>1328.4444444444443</v>
      </c>
      <c r="V154" s="401">
        <v>0.8025771564102564</v>
      </c>
      <c r="W154" s="402">
        <v>0.98636999999999997</v>
      </c>
      <c r="X154" s="392">
        <v>42</v>
      </c>
      <c r="Y154" s="760">
        <v>4</v>
      </c>
      <c r="Z154" s="761">
        <v>9</v>
      </c>
      <c r="AA154" s="1000">
        <v>8</v>
      </c>
      <c r="AB154" s="310">
        <v>59</v>
      </c>
      <c r="AC154" s="397" t="s">
        <v>8898</v>
      </c>
      <c r="AD154" s="397" t="s">
        <v>8898</v>
      </c>
      <c r="AE154" s="762">
        <v>55</v>
      </c>
      <c r="AF154" s="250">
        <v>4</v>
      </c>
      <c r="AG154" s="313">
        <v>40</v>
      </c>
      <c r="AH154" s="638">
        <v>40</v>
      </c>
      <c r="AI154" s="639">
        <v>0</v>
      </c>
      <c r="AJ154" s="1512"/>
      <c r="AK154" s="253" t="s">
        <v>2843</v>
      </c>
      <c r="AL154" s="254" t="str">
        <f t="shared" si="5"/>
        <v>HAN114</v>
      </c>
      <c r="AM154" s="255">
        <f t="shared" si="5"/>
        <v>1300</v>
      </c>
      <c r="AN154" s="640" t="s">
        <v>8918</v>
      </c>
      <c r="AO154" s="641">
        <v>2.9</v>
      </c>
      <c r="AP154" s="642">
        <v>250</v>
      </c>
      <c r="AQ154" s="642">
        <v>138</v>
      </c>
      <c r="AR154" s="643">
        <f t="shared" si="6"/>
        <v>0.78539250000000005</v>
      </c>
      <c r="AS154" s="644">
        <v>863.07473604549455</v>
      </c>
      <c r="AT154" s="642">
        <v>508</v>
      </c>
      <c r="AU154" s="645">
        <v>0.67736832220832255</v>
      </c>
      <c r="AV154" s="646">
        <v>40</v>
      </c>
      <c r="AW154" s="647">
        <v>1026</v>
      </c>
      <c r="AX154" s="642">
        <v>330</v>
      </c>
      <c r="AY154" s="648">
        <v>500</v>
      </c>
      <c r="AZ154" s="648">
        <v>180</v>
      </c>
      <c r="BA154" s="649">
        <v>2.9700000000000001E-2</v>
      </c>
      <c r="BB154" s="649">
        <v>1.885</v>
      </c>
      <c r="BC154" s="264">
        <v>70</v>
      </c>
      <c r="BD154" s="650">
        <v>0.26600000000000001</v>
      </c>
      <c r="BE154" s="651">
        <v>0.26600000000000001</v>
      </c>
      <c r="BF154" s="1030">
        <v>3</v>
      </c>
      <c r="BG154" s="163" t="s">
        <v>8932</v>
      </c>
      <c r="BH154" s="163">
        <v>3</v>
      </c>
      <c r="BK154" s="163">
        <v>0</v>
      </c>
      <c r="BM154" s="163" t="s">
        <v>8905</v>
      </c>
    </row>
    <row r="155" spans="1:65" ht="35.25" customHeight="1">
      <c r="A155" s="163" t="s">
        <v>9130</v>
      </c>
      <c r="B155" s="163" t="s">
        <v>335</v>
      </c>
      <c r="C155" s="164" t="s">
        <v>8907</v>
      </c>
      <c r="D155" s="1497"/>
      <c r="E155" s="763"/>
      <c r="F155" s="268">
        <v>114</v>
      </c>
      <c r="G155" s="424"/>
      <c r="H155" s="271"/>
      <c r="I155" s="271"/>
      <c r="J155" s="1025" t="s">
        <v>335</v>
      </c>
      <c r="K155" s="787" t="s">
        <v>334</v>
      </c>
      <c r="L155" s="788" t="s">
        <v>9131</v>
      </c>
      <c r="M155" s="787">
        <v>1</v>
      </c>
      <c r="N155" s="789">
        <v>50</v>
      </c>
      <c r="O155" s="536" t="s">
        <v>4496</v>
      </c>
      <c r="P155" s="536">
        <v>2500</v>
      </c>
      <c r="Q155" s="787">
        <v>12</v>
      </c>
      <c r="R155" s="237">
        <v>56606</v>
      </c>
      <c r="S155" s="302">
        <v>3144.7777777777778</v>
      </c>
      <c r="T155" s="399">
        <v>262.06481481481484</v>
      </c>
      <c r="U155" s="492">
        <v>3144.7777777777778</v>
      </c>
      <c r="V155" s="790">
        <v>0.90036623062222221</v>
      </c>
      <c r="W155" s="791">
        <v>7.7833250000000005</v>
      </c>
      <c r="X155" s="392">
        <v>292</v>
      </c>
      <c r="Y155" s="760">
        <v>8</v>
      </c>
      <c r="Z155" s="489">
        <v>132</v>
      </c>
      <c r="AA155" s="787">
        <v>66</v>
      </c>
      <c r="AB155" s="310">
        <v>490</v>
      </c>
      <c r="AC155" s="792">
        <v>7.8</v>
      </c>
      <c r="AD155" s="843">
        <v>128</v>
      </c>
      <c r="AE155" s="689">
        <v>445</v>
      </c>
      <c r="AF155" s="250">
        <v>45</v>
      </c>
      <c r="AG155" s="313">
        <v>290</v>
      </c>
      <c r="AH155" s="531">
        <v>290</v>
      </c>
      <c r="AI155" s="532">
        <v>0</v>
      </c>
      <c r="AJ155" s="441"/>
      <c r="AK155" s="253" t="s">
        <v>335</v>
      </c>
      <c r="AL155" s="254" t="str">
        <f t="shared" si="5"/>
        <v>HAN081</v>
      </c>
      <c r="AM155" s="255">
        <f t="shared" si="5"/>
        <v>2500</v>
      </c>
      <c r="AN155" s="534" t="s">
        <v>8982</v>
      </c>
      <c r="AO155" s="535">
        <v>1</v>
      </c>
      <c r="AP155" s="536">
        <v>485</v>
      </c>
      <c r="AQ155" s="536">
        <v>188</v>
      </c>
      <c r="AR155" s="537">
        <f t="shared" si="6"/>
        <v>0.71576300000000004</v>
      </c>
      <c r="AS155" s="538">
        <v>1123.3189410398852</v>
      </c>
      <c r="AT155" s="536">
        <v>508</v>
      </c>
      <c r="AU155" s="539">
        <v>0.68318703257921964</v>
      </c>
      <c r="AV155" s="521">
        <v>12</v>
      </c>
      <c r="AW155" s="540">
        <v>1026</v>
      </c>
      <c r="AX155" s="536">
        <v>330</v>
      </c>
      <c r="AY155" s="290">
        <v>500</v>
      </c>
      <c r="AZ155" s="290">
        <v>180</v>
      </c>
      <c r="BA155" s="541">
        <v>2.9700000000000001E-2</v>
      </c>
      <c r="BB155" s="541">
        <v>1.885</v>
      </c>
      <c r="BC155" s="290">
        <v>50</v>
      </c>
      <c r="BD155" s="542">
        <v>0.48899999999999999</v>
      </c>
      <c r="BE155" s="543">
        <v>0.48899999999999999</v>
      </c>
      <c r="BF155" s="1026">
        <v>1</v>
      </c>
      <c r="BG155" s="163" t="s">
        <v>8904</v>
      </c>
      <c r="BH155" s="163">
        <v>1</v>
      </c>
      <c r="BK155" s="163">
        <v>0</v>
      </c>
      <c r="BM155" s="163" t="s">
        <v>8905</v>
      </c>
    </row>
    <row r="156" spans="1:65" ht="35.25" customHeight="1">
      <c r="A156" s="163" t="s">
        <v>9132</v>
      </c>
      <c r="B156" s="163" t="s">
        <v>299</v>
      </c>
      <c r="C156" s="164" t="s">
        <v>8907</v>
      </c>
      <c r="D156" s="1497"/>
      <c r="E156" s="437"/>
      <c r="F156" s="228">
        <v>115</v>
      </c>
      <c r="G156" s="422"/>
      <c r="H156" s="231"/>
      <c r="I156" s="231"/>
      <c r="J156" s="1044" t="s">
        <v>299</v>
      </c>
      <c r="K156" s="490" t="s">
        <v>298</v>
      </c>
      <c r="L156" s="758" t="s">
        <v>9133</v>
      </c>
      <c r="M156" s="490">
        <v>1</v>
      </c>
      <c r="N156" s="759">
        <v>43</v>
      </c>
      <c r="O156" s="642" t="s">
        <v>4548</v>
      </c>
      <c r="P156" s="642">
        <v>3200</v>
      </c>
      <c r="Q156" s="490">
        <v>15</v>
      </c>
      <c r="R156" s="237">
        <v>42288</v>
      </c>
      <c r="S156" s="302">
        <v>2349.3333333333335</v>
      </c>
      <c r="T156" s="399">
        <v>156.62222222222223</v>
      </c>
      <c r="U156" s="492">
        <v>2349.3333333333335</v>
      </c>
      <c r="V156" s="790">
        <v>0.55551565125000002</v>
      </c>
      <c r="W156" s="900">
        <v>3.2420800000000001</v>
      </c>
      <c r="X156" s="392">
        <v>282</v>
      </c>
      <c r="Y156" s="760">
        <v>8</v>
      </c>
      <c r="Z156" s="489">
        <v>79</v>
      </c>
      <c r="AA156" s="787">
        <v>39</v>
      </c>
      <c r="AB156" s="310">
        <v>400</v>
      </c>
      <c r="AC156" s="897">
        <v>6.2</v>
      </c>
      <c r="AD156" s="843">
        <v>60</v>
      </c>
      <c r="AE156" s="762">
        <v>373</v>
      </c>
      <c r="AF156" s="250">
        <v>27</v>
      </c>
      <c r="AG156" s="313">
        <v>280</v>
      </c>
      <c r="AH156" s="638">
        <v>280</v>
      </c>
      <c r="AI156" s="639">
        <v>0</v>
      </c>
      <c r="AJ156" s="441"/>
      <c r="AK156" s="253" t="s">
        <v>299</v>
      </c>
      <c r="AL156" s="254" t="str">
        <f t="shared" si="5"/>
        <v>HAN082</v>
      </c>
      <c r="AM156" s="255">
        <f t="shared" si="5"/>
        <v>3200</v>
      </c>
      <c r="AN156" s="640" t="s">
        <v>9020</v>
      </c>
      <c r="AO156" s="641">
        <v>1</v>
      </c>
      <c r="AP156" s="642">
        <v>630</v>
      </c>
      <c r="AQ156" s="642">
        <v>153</v>
      </c>
      <c r="AR156" s="643">
        <f t="shared" si="6"/>
        <v>0.75666149999999999</v>
      </c>
      <c r="AS156" s="644">
        <v>1015.2912788714286</v>
      </c>
      <c r="AT156" s="642">
        <v>508</v>
      </c>
      <c r="AU156" s="645">
        <v>0.70441009619228678</v>
      </c>
      <c r="AV156" s="646">
        <v>15</v>
      </c>
      <c r="AW156" s="647" t="s">
        <v>9134</v>
      </c>
      <c r="AX156" s="642">
        <v>300</v>
      </c>
      <c r="AY156" s="648">
        <v>670</v>
      </c>
      <c r="AZ156" s="648">
        <v>103</v>
      </c>
      <c r="BA156" s="649">
        <v>2.07E-2</v>
      </c>
      <c r="BB156" s="649" t="s">
        <v>8969</v>
      </c>
      <c r="BC156" s="264">
        <v>37</v>
      </c>
      <c r="BD156" s="650">
        <v>0.53300000000000003</v>
      </c>
      <c r="BE156" s="651">
        <v>0.53300000000000003</v>
      </c>
      <c r="BF156" s="642">
        <v>1</v>
      </c>
      <c r="BG156" s="163" t="s">
        <v>8904</v>
      </c>
      <c r="BH156" s="163">
        <v>1</v>
      </c>
      <c r="BK156" s="163">
        <v>0</v>
      </c>
      <c r="BM156" s="163" t="s">
        <v>8905</v>
      </c>
    </row>
    <row r="157" spans="1:65" ht="35.25" customHeight="1">
      <c r="A157" s="163" t="s">
        <v>9135</v>
      </c>
      <c r="B157" s="163" t="s">
        <v>323</v>
      </c>
      <c r="C157" s="164" t="s">
        <v>8907</v>
      </c>
      <c r="D157" s="1497"/>
      <c r="E157" s="437"/>
      <c r="F157" s="228">
        <v>116</v>
      </c>
      <c r="G157" s="422"/>
      <c r="H157" s="231"/>
      <c r="I157" s="231"/>
      <c r="J157" s="1044" t="s">
        <v>323</v>
      </c>
      <c r="K157" s="490" t="s">
        <v>322</v>
      </c>
      <c r="L157" s="758" t="s">
        <v>9136</v>
      </c>
      <c r="M157" s="490">
        <v>1</v>
      </c>
      <c r="N157" s="759">
        <v>43</v>
      </c>
      <c r="O157" s="642" t="s">
        <v>4548</v>
      </c>
      <c r="P157" s="642">
        <v>3200</v>
      </c>
      <c r="Q157" s="490">
        <v>15</v>
      </c>
      <c r="R157" s="237">
        <v>42420</v>
      </c>
      <c r="S157" s="302">
        <v>2356.6666666666665</v>
      </c>
      <c r="T157" s="399">
        <v>157.11111111111111</v>
      </c>
      <c r="U157" s="492">
        <v>2356.6666666666665</v>
      </c>
      <c r="V157" s="790">
        <v>0.55724966718750002</v>
      </c>
      <c r="W157" s="900">
        <v>3.2522000000000002</v>
      </c>
      <c r="X157" s="392">
        <v>282</v>
      </c>
      <c r="Y157" s="760">
        <v>8</v>
      </c>
      <c r="Z157" s="489">
        <v>79</v>
      </c>
      <c r="AA157" s="787">
        <v>39</v>
      </c>
      <c r="AB157" s="310">
        <v>400</v>
      </c>
      <c r="AC157" s="897">
        <v>6.2</v>
      </c>
      <c r="AD157" s="843">
        <v>60</v>
      </c>
      <c r="AE157" s="762">
        <v>373</v>
      </c>
      <c r="AF157" s="250">
        <v>27</v>
      </c>
      <c r="AG157" s="313">
        <v>280</v>
      </c>
      <c r="AH157" s="638">
        <v>280</v>
      </c>
      <c r="AI157" s="639">
        <v>0</v>
      </c>
      <c r="AJ157" s="441"/>
      <c r="AK157" s="253" t="s">
        <v>323</v>
      </c>
      <c r="AL157" s="254" t="str">
        <f t="shared" si="5"/>
        <v>HAN082</v>
      </c>
      <c r="AM157" s="255">
        <f t="shared" si="5"/>
        <v>3200</v>
      </c>
      <c r="AN157" s="640" t="s">
        <v>9020</v>
      </c>
      <c r="AO157" s="641">
        <v>1</v>
      </c>
      <c r="AP157" s="642">
        <v>630</v>
      </c>
      <c r="AQ157" s="642">
        <v>153</v>
      </c>
      <c r="AR157" s="643">
        <f t="shared" si="6"/>
        <v>0.75666149999999999</v>
      </c>
      <c r="AS157" s="644">
        <v>1015.2912788714286</v>
      </c>
      <c r="AT157" s="642">
        <v>508</v>
      </c>
      <c r="AU157" s="645">
        <v>0.70441009619228678</v>
      </c>
      <c r="AV157" s="646">
        <v>15</v>
      </c>
      <c r="AW157" s="647" t="s">
        <v>9134</v>
      </c>
      <c r="AX157" s="642">
        <v>300</v>
      </c>
      <c r="AY157" s="648">
        <v>670</v>
      </c>
      <c r="AZ157" s="648">
        <v>103</v>
      </c>
      <c r="BA157" s="649">
        <v>2.07E-2</v>
      </c>
      <c r="BB157" s="649" t="s">
        <v>8969</v>
      </c>
      <c r="BC157" s="264">
        <v>37</v>
      </c>
      <c r="BD157" s="650">
        <v>0.53300000000000003</v>
      </c>
      <c r="BE157" s="651">
        <v>0.53300000000000003</v>
      </c>
      <c r="BF157" s="642">
        <v>1</v>
      </c>
      <c r="BG157" s="163" t="s">
        <v>8904</v>
      </c>
      <c r="BH157" s="163">
        <v>1</v>
      </c>
      <c r="BK157" s="163">
        <v>0</v>
      </c>
      <c r="BM157" s="163" t="s">
        <v>8905</v>
      </c>
    </row>
    <row r="158" spans="1:65" ht="27.65" customHeight="1" thickBot="1">
      <c r="A158" s="163" t="s">
        <v>9137</v>
      </c>
      <c r="B158" s="163" t="s">
        <v>347</v>
      </c>
      <c r="C158" s="164" t="s">
        <v>8907</v>
      </c>
      <c r="D158" s="1498"/>
      <c r="E158" s="1045" t="s">
        <v>9138</v>
      </c>
      <c r="F158" s="546">
        <v>117</v>
      </c>
      <c r="G158" s="547"/>
      <c r="H158" s="1046"/>
      <c r="I158" s="548"/>
      <c r="J158" s="1047" t="s">
        <v>347</v>
      </c>
      <c r="K158" s="550" t="s">
        <v>346</v>
      </c>
      <c r="L158" s="551" t="s">
        <v>9139</v>
      </c>
      <c r="M158" s="550">
        <v>1</v>
      </c>
      <c r="N158" s="552">
        <v>50</v>
      </c>
      <c r="O158" s="553" t="s">
        <v>4494</v>
      </c>
      <c r="P158" s="553">
        <v>2400</v>
      </c>
      <c r="Q158" s="550">
        <v>20</v>
      </c>
      <c r="R158" s="1048">
        <v>57762</v>
      </c>
      <c r="S158" s="1049">
        <v>3209</v>
      </c>
      <c r="T158" s="1050">
        <v>160.44999999999999</v>
      </c>
      <c r="U158" s="1051">
        <v>3209</v>
      </c>
      <c r="V158" s="1052">
        <v>0.83547939556250006</v>
      </c>
      <c r="W158" s="557">
        <v>4.7653650000000001</v>
      </c>
      <c r="X158" s="558">
        <v>193</v>
      </c>
      <c r="Y158" s="559">
        <v>8</v>
      </c>
      <c r="Z158" s="560">
        <v>81</v>
      </c>
      <c r="AA158" s="550">
        <v>40</v>
      </c>
      <c r="AB158" s="1053">
        <v>314</v>
      </c>
      <c r="AC158" s="897">
        <v>4.9000000000000004</v>
      </c>
      <c r="AD158" s="1054">
        <v>50</v>
      </c>
      <c r="AE158" s="561">
        <v>287</v>
      </c>
      <c r="AF158" s="1055">
        <v>27</v>
      </c>
      <c r="AG158" s="562">
        <v>190</v>
      </c>
      <c r="AH158" s="563">
        <v>190</v>
      </c>
      <c r="AI158" s="564">
        <v>0</v>
      </c>
      <c r="AJ158" s="1056"/>
      <c r="AK158" s="253" t="s">
        <v>347</v>
      </c>
      <c r="AL158" s="254" t="str">
        <f t="shared" si="5"/>
        <v>HAN083</v>
      </c>
      <c r="AM158" s="255">
        <f t="shared" si="5"/>
        <v>2400</v>
      </c>
      <c r="AN158" s="566" t="s">
        <v>8982</v>
      </c>
      <c r="AO158" s="567">
        <v>1</v>
      </c>
      <c r="AP158" s="553">
        <v>471</v>
      </c>
      <c r="AQ158" s="553">
        <v>169</v>
      </c>
      <c r="AR158" s="568">
        <f t="shared" si="6"/>
        <v>0.62485215000000005</v>
      </c>
      <c r="AS158" s="1057">
        <v>1136.5218143066611</v>
      </c>
      <c r="AT158" s="553">
        <v>508</v>
      </c>
      <c r="AU158" s="1058">
        <v>0.7441760422845628</v>
      </c>
      <c r="AV158" s="570">
        <v>20</v>
      </c>
      <c r="AW158" s="571">
        <v>1026</v>
      </c>
      <c r="AX158" s="553">
        <v>330</v>
      </c>
      <c r="AY158" s="572">
        <v>500</v>
      </c>
      <c r="AZ158" s="572">
        <v>180</v>
      </c>
      <c r="BA158" s="573">
        <v>2.9700000000000001E-2</v>
      </c>
      <c r="BB158" s="573">
        <v>1.885</v>
      </c>
      <c r="BC158" s="572">
        <v>50</v>
      </c>
      <c r="BD158" s="1059">
        <v>0.46500000000000002</v>
      </c>
      <c r="BE158" s="574">
        <v>0.46500000000000002</v>
      </c>
      <c r="BF158" s="1060">
        <v>1</v>
      </c>
      <c r="BG158" s="163" t="s">
        <v>8953</v>
      </c>
      <c r="BH158" s="163">
        <v>2</v>
      </c>
      <c r="BK158" s="163">
        <v>0</v>
      </c>
      <c r="BM158" s="163" t="s">
        <v>8905</v>
      </c>
    </row>
    <row r="159" spans="1:65" ht="35.25" customHeight="1" thickBot="1">
      <c r="A159" s="163" t="s">
        <v>9140</v>
      </c>
      <c r="B159" s="163" t="s">
        <v>301</v>
      </c>
      <c r="C159" s="164" t="s">
        <v>6747</v>
      </c>
      <c r="D159" s="1544" t="s">
        <v>9141</v>
      </c>
      <c r="E159" s="1546" t="s">
        <v>8978</v>
      </c>
      <c r="F159" s="1061" t="s">
        <v>9142</v>
      </c>
      <c r="G159" s="1062"/>
      <c r="H159" s="1063"/>
      <c r="I159" s="1064"/>
      <c r="J159" s="1065" t="s">
        <v>301</v>
      </c>
      <c r="K159" s="1066" t="s">
        <v>300</v>
      </c>
      <c r="L159" s="1067" t="s">
        <v>5938</v>
      </c>
      <c r="M159" s="1066">
        <v>1</v>
      </c>
      <c r="N159" s="1068">
        <v>43</v>
      </c>
      <c r="O159" s="589" t="s">
        <v>4548</v>
      </c>
      <c r="P159" s="898">
        <v>1600</v>
      </c>
      <c r="Q159" s="858">
        <v>15</v>
      </c>
      <c r="R159" s="237">
        <v>6217</v>
      </c>
      <c r="S159" s="994">
        <v>345.38888888888891</v>
      </c>
      <c r="T159" s="303">
        <v>23.025925925925929</v>
      </c>
      <c r="U159" s="390">
        <v>345.38888888888891</v>
      </c>
      <c r="V159" s="1069">
        <v>0.16333904671874999</v>
      </c>
      <c r="W159" s="1070">
        <v>0.47663666666666671</v>
      </c>
      <c r="X159" s="392">
        <v>141</v>
      </c>
      <c r="Y159" s="1071">
        <v>8</v>
      </c>
      <c r="Z159" s="1072">
        <v>12</v>
      </c>
      <c r="AA159" s="858">
        <v>6</v>
      </c>
      <c r="AB159" s="310">
        <v>159</v>
      </c>
      <c r="AC159" s="738" t="s">
        <v>8898</v>
      </c>
      <c r="AD159" s="738" t="s">
        <v>8898</v>
      </c>
      <c r="AE159" s="996">
        <v>154</v>
      </c>
      <c r="AF159" s="250">
        <v>5</v>
      </c>
      <c r="AG159" s="313">
        <v>140</v>
      </c>
      <c r="AH159" s="616">
        <v>140</v>
      </c>
      <c r="AI159" s="617">
        <v>0</v>
      </c>
      <c r="AJ159" s="1547" t="s">
        <v>9057</v>
      </c>
      <c r="AK159" s="253" t="s">
        <v>301</v>
      </c>
      <c r="AL159" s="254" t="str">
        <f t="shared" si="5"/>
        <v>HAN082</v>
      </c>
      <c r="AM159" s="255">
        <f t="shared" si="5"/>
        <v>1600</v>
      </c>
      <c r="AN159" s="618" t="s">
        <v>9020</v>
      </c>
      <c r="AO159" s="619">
        <v>1</v>
      </c>
      <c r="AP159" s="620">
        <v>630</v>
      </c>
      <c r="AQ159" s="620">
        <v>153</v>
      </c>
      <c r="AR159" s="621">
        <f t="shared" si="6"/>
        <v>0.75666149999999999</v>
      </c>
      <c r="AS159" s="622">
        <v>863.07473604549455</v>
      </c>
      <c r="AT159" s="620">
        <v>508</v>
      </c>
      <c r="AU159" s="623">
        <v>0.67736832220832255</v>
      </c>
      <c r="AV159" s="624">
        <v>15</v>
      </c>
      <c r="AW159" s="625" t="s">
        <v>9134</v>
      </c>
      <c r="AX159" s="620">
        <v>300</v>
      </c>
      <c r="AY159" s="626">
        <v>670</v>
      </c>
      <c r="AZ159" s="626">
        <v>103</v>
      </c>
      <c r="BA159" s="627">
        <v>2.07E-2</v>
      </c>
      <c r="BB159" s="627"/>
      <c r="BC159" s="325">
        <v>37</v>
      </c>
      <c r="BD159" s="628">
        <v>0.53300000000000003</v>
      </c>
      <c r="BE159" s="629">
        <v>0.53300000000000003</v>
      </c>
      <c r="BF159" s="1028">
        <v>1</v>
      </c>
      <c r="BG159" s="163" t="s">
        <v>8904</v>
      </c>
      <c r="BH159" s="163">
        <v>1</v>
      </c>
      <c r="BK159" s="163">
        <v>0</v>
      </c>
      <c r="BM159" s="163" t="s">
        <v>8905</v>
      </c>
    </row>
    <row r="160" spans="1:65" ht="35.25" customHeight="1">
      <c r="A160" s="163" t="s">
        <v>9143</v>
      </c>
      <c r="B160" s="163" t="s">
        <v>303</v>
      </c>
      <c r="C160" s="164" t="s">
        <v>6747</v>
      </c>
      <c r="D160" s="1497"/>
      <c r="E160" s="1524"/>
      <c r="F160" s="1061" t="s">
        <v>9142</v>
      </c>
      <c r="G160" s="1073"/>
      <c r="H160" s="1043"/>
      <c r="I160" s="231"/>
      <c r="J160" s="1007" t="s">
        <v>303</v>
      </c>
      <c r="K160" s="858" t="s">
        <v>302</v>
      </c>
      <c r="L160" s="946" t="s">
        <v>5938</v>
      </c>
      <c r="M160" s="858">
        <v>1</v>
      </c>
      <c r="N160" s="947">
        <v>43</v>
      </c>
      <c r="O160" s="1008" t="s">
        <v>4548</v>
      </c>
      <c r="P160" s="898">
        <v>1600</v>
      </c>
      <c r="Q160" s="858">
        <v>15</v>
      </c>
      <c r="R160" s="237">
        <v>13771</v>
      </c>
      <c r="S160" s="302">
        <v>765.05555555555554</v>
      </c>
      <c r="T160" s="399">
        <v>51.0037037037037</v>
      </c>
      <c r="U160" s="399">
        <v>765.05555555555554</v>
      </c>
      <c r="V160" s="1074">
        <v>0.36180505265625001</v>
      </c>
      <c r="W160" s="402">
        <v>1.0557766666666666</v>
      </c>
      <c r="X160" s="392">
        <v>141</v>
      </c>
      <c r="Y160" s="760">
        <v>8</v>
      </c>
      <c r="Z160" s="1010">
        <v>26</v>
      </c>
      <c r="AA160" s="858">
        <v>13</v>
      </c>
      <c r="AB160" s="310">
        <v>180</v>
      </c>
      <c r="AC160" s="1075" t="s">
        <v>8898</v>
      </c>
      <c r="AD160" s="1076" t="s">
        <v>8898</v>
      </c>
      <c r="AE160" s="952">
        <v>171</v>
      </c>
      <c r="AF160" s="250">
        <v>9</v>
      </c>
      <c r="AG160" s="313">
        <v>140</v>
      </c>
      <c r="AH160" s="584">
        <v>140</v>
      </c>
      <c r="AI160" s="585">
        <v>0</v>
      </c>
      <c r="AJ160" s="1533"/>
      <c r="AK160" s="253" t="s">
        <v>303</v>
      </c>
      <c r="AL160" s="254" t="str">
        <f t="shared" si="5"/>
        <v>HAN082</v>
      </c>
      <c r="AM160" s="255">
        <f t="shared" si="5"/>
        <v>1600</v>
      </c>
      <c r="AN160" s="1077" t="s">
        <v>9020</v>
      </c>
      <c r="AO160" s="1078">
        <v>1</v>
      </c>
      <c r="AP160" s="1008">
        <v>630</v>
      </c>
      <c r="AQ160" s="1008">
        <v>153</v>
      </c>
      <c r="AR160" s="1079">
        <f t="shared" si="6"/>
        <v>0.75666149999999999</v>
      </c>
      <c r="AS160" s="1080">
        <v>863.07473604549455</v>
      </c>
      <c r="AT160" s="1008">
        <v>508</v>
      </c>
      <c r="AU160" s="1081">
        <v>0.67736832220832255</v>
      </c>
      <c r="AV160" s="1082">
        <v>15</v>
      </c>
      <c r="AW160" s="1083" t="s">
        <v>9134</v>
      </c>
      <c r="AX160" s="1008">
        <v>300</v>
      </c>
      <c r="AY160" s="264">
        <v>670</v>
      </c>
      <c r="AZ160" s="264">
        <v>103</v>
      </c>
      <c r="BA160" s="1084">
        <v>2.07E-2</v>
      </c>
      <c r="BB160" s="1084"/>
      <c r="BC160" s="264">
        <v>37</v>
      </c>
      <c r="BD160" s="1085">
        <v>0.53300000000000003</v>
      </c>
      <c r="BE160" s="1086">
        <v>0.53300000000000003</v>
      </c>
      <c r="BF160" s="1087">
        <v>1</v>
      </c>
      <c r="BG160" s="163" t="s">
        <v>8904</v>
      </c>
      <c r="BH160" s="163">
        <v>1</v>
      </c>
      <c r="BK160" s="163">
        <v>0</v>
      </c>
      <c r="BM160" s="163" t="s">
        <v>8905</v>
      </c>
    </row>
    <row r="161" spans="1:65" ht="35.25" customHeight="1">
      <c r="A161" s="163" t="s">
        <v>9144</v>
      </c>
      <c r="B161" s="163" t="s">
        <v>325</v>
      </c>
      <c r="C161" s="164" t="s">
        <v>6747</v>
      </c>
      <c r="D161" s="1545"/>
      <c r="E161" s="1523" t="s">
        <v>8978</v>
      </c>
      <c r="F161" s="494" t="s">
        <v>9145</v>
      </c>
      <c r="G161" s="1073"/>
      <c r="H161" s="1043"/>
      <c r="I161" s="231"/>
      <c r="J161" s="1007" t="s">
        <v>325</v>
      </c>
      <c r="K161" s="858" t="s">
        <v>324</v>
      </c>
      <c r="L161" s="946" t="s">
        <v>5697</v>
      </c>
      <c r="M161" s="858">
        <v>1</v>
      </c>
      <c r="N161" s="947">
        <v>43</v>
      </c>
      <c r="O161" s="1008" t="s">
        <v>4548</v>
      </c>
      <c r="P161" s="898">
        <v>1600</v>
      </c>
      <c r="Q161" s="858">
        <v>15</v>
      </c>
      <c r="R161" s="237">
        <v>6228</v>
      </c>
      <c r="S161" s="302">
        <v>346</v>
      </c>
      <c r="T161" s="399">
        <v>23.066666666666666</v>
      </c>
      <c r="U161" s="400">
        <v>346</v>
      </c>
      <c r="V161" s="401">
        <v>0.16362804937499997</v>
      </c>
      <c r="W161" s="402">
        <v>0.47747999999999996</v>
      </c>
      <c r="X161" s="392">
        <v>141</v>
      </c>
      <c r="Y161" s="760">
        <v>8</v>
      </c>
      <c r="Z161" s="761">
        <v>12</v>
      </c>
      <c r="AA161" s="1000">
        <v>6</v>
      </c>
      <c r="AB161" s="310">
        <v>159</v>
      </c>
      <c r="AC161" s="397" t="s">
        <v>8898</v>
      </c>
      <c r="AD161" s="397" t="s">
        <v>8898</v>
      </c>
      <c r="AE161" s="762">
        <v>154</v>
      </c>
      <c r="AF161" s="250">
        <v>5</v>
      </c>
      <c r="AG161" s="313">
        <v>140</v>
      </c>
      <c r="AH161" s="638">
        <v>140</v>
      </c>
      <c r="AI161" s="639">
        <v>0</v>
      </c>
      <c r="AJ161" s="1532" t="s">
        <v>9057</v>
      </c>
      <c r="AK161" s="253" t="s">
        <v>325</v>
      </c>
      <c r="AL161" s="254" t="str">
        <f t="shared" si="5"/>
        <v>HAN082</v>
      </c>
      <c r="AM161" s="255">
        <f t="shared" si="5"/>
        <v>1600</v>
      </c>
      <c r="AN161" s="640" t="s">
        <v>9020</v>
      </c>
      <c r="AO161" s="641">
        <v>1</v>
      </c>
      <c r="AP161" s="642">
        <v>630</v>
      </c>
      <c r="AQ161" s="642">
        <v>153</v>
      </c>
      <c r="AR161" s="643">
        <f t="shared" si="6"/>
        <v>0.75666149999999999</v>
      </c>
      <c r="AS161" s="644">
        <v>863.07473604549455</v>
      </c>
      <c r="AT161" s="642">
        <v>508</v>
      </c>
      <c r="AU161" s="645">
        <v>0.67736832220832255</v>
      </c>
      <c r="AV161" s="646">
        <v>15</v>
      </c>
      <c r="AW161" s="647" t="s">
        <v>9134</v>
      </c>
      <c r="AX161" s="642">
        <v>300</v>
      </c>
      <c r="AY161" s="648">
        <v>670</v>
      </c>
      <c r="AZ161" s="648">
        <v>103</v>
      </c>
      <c r="BA161" s="649">
        <v>2.07E-2</v>
      </c>
      <c r="BB161" s="649"/>
      <c r="BC161" s="264">
        <v>37</v>
      </c>
      <c r="BD161" s="650">
        <v>0.53300000000000003</v>
      </c>
      <c r="BE161" s="651">
        <v>0.53300000000000003</v>
      </c>
      <c r="BF161" s="1030">
        <v>1</v>
      </c>
      <c r="BG161" s="163" t="s">
        <v>8904</v>
      </c>
      <c r="BH161" s="163">
        <v>1</v>
      </c>
      <c r="BK161" s="163">
        <v>0</v>
      </c>
      <c r="BM161" s="163" t="s">
        <v>8905</v>
      </c>
    </row>
    <row r="162" spans="1:65" ht="35.25" customHeight="1">
      <c r="A162" s="163" t="s">
        <v>9146</v>
      </c>
      <c r="B162" s="163" t="s">
        <v>327</v>
      </c>
      <c r="C162" s="164" t="s">
        <v>6747</v>
      </c>
      <c r="D162" s="1497"/>
      <c r="E162" s="1524"/>
      <c r="F162" s="494" t="s">
        <v>9145</v>
      </c>
      <c r="G162" s="1073"/>
      <c r="H162" s="1043"/>
      <c r="I162" s="231"/>
      <c r="J162" s="1007" t="s">
        <v>327</v>
      </c>
      <c r="K162" s="858" t="s">
        <v>326</v>
      </c>
      <c r="L162" s="946" t="s">
        <v>5697</v>
      </c>
      <c r="M162" s="858">
        <v>1</v>
      </c>
      <c r="N162" s="947">
        <v>43</v>
      </c>
      <c r="O162" s="1008" t="s">
        <v>4548</v>
      </c>
      <c r="P162" s="898">
        <v>1600</v>
      </c>
      <c r="Q162" s="858">
        <v>15</v>
      </c>
      <c r="R162" s="237">
        <v>13765</v>
      </c>
      <c r="S162" s="302">
        <v>764.72222222222217</v>
      </c>
      <c r="T162" s="399">
        <v>50.981481481481481</v>
      </c>
      <c r="U162" s="399">
        <v>764.72222222222217</v>
      </c>
      <c r="V162" s="1074">
        <v>0.36164741484375001</v>
      </c>
      <c r="W162" s="402">
        <v>1.0553166666666667</v>
      </c>
      <c r="X162" s="392">
        <v>141</v>
      </c>
      <c r="Y162" s="760">
        <v>8</v>
      </c>
      <c r="Z162" s="1010">
        <v>26</v>
      </c>
      <c r="AA162" s="858">
        <v>13</v>
      </c>
      <c r="AB162" s="310">
        <v>180</v>
      </c>
      <c r="AC162" s="1088" t="s">
        <v>8898</v>
      </c>
      <c r="AD162" s="1076" t="s">
        <v>8898</v>
      </c>
      <c r="AE162" s="952">
        <v>171</v>
      </c>
      <c r="AF162" s="250">
        <v>9</v>
      </c>
      <c r="AG162" s="313">
        <v>140</v>
      </c>
      <c r="AH162" s="584">
        <v>140</v>
      </c>
      <c r="AI162" s="585">
        <v>0</v>
      </c>
      <c r="AJ162" s="1533"/>
      <c r="AK162" s="253" t="s">
        <v>327</v>
      </c>
      <c r="AL162" s="254" t="str">
        <f t="shared" si="5"/>
        <v>HAN082</v>
      </c>
      <c r="AM162" s="255">
        <f t="shared" si="5"/>
        <v>1600</v>
      </c>
      <c r="AN162" s="1077" t="s">
        <v>9020</v>
      </c>
      <c r="AO162" s="1078">
        <v>1</v>
      </c>
      <c r="AP162" s="1008">
        <v>630</v>
      </c>
      <c r="AQ162" s="1008">
        <v>153</v>
      </c>
      <c r="AR162" s="1079">
        <f t="shared" si="6"/>
        <v>0.75666149999999999</v>
      </c>
      <c r="AS162" s="1080">
        <v>863.07473604549455</v>
      </c>
      <c r="AT162" s="1008">
        <v>508</v>
      </c>
      <c r="AU162" s="1081">
        <v>0.67736832220832255</v>
      </c>
      <c r="AV162" s="1082">
        <v>15</v>
      </c>
      <c r="AW162" s="1083" t="s">
        <v>9134</v>
      </c>
      <c r="AX162" s="1008">
        <v>300</v>
      </c>
      <c r="AY162" s="264">
        <v>670</v>
      </c>
      <c r="AZ162" s="264">
        <v>103</v>
      </c>
      <c r="BA162" s="1084">
        <v>2.07E-2</v>
      </c>
      <c r="BB162" s="1084"/>
      <c r="BC162" s="264">
        <v>37</v>
      </c>
      <c r="BD162" s="1085">
        <v>0.53300000000000003</v>
      </c>
      <c r="BE162" s="1086">
        <v>0.53300000000000003</v>
      </c>
      <c r="BF162" s="1087">
        <v>1</v>
      </c>
      <c r="BG162" s="163" t="s">
        <v>8904</v>
      </c>
      <c r="BH162" s="163">
        <v>1</v>
      </c>
      <c r="BK162" s="163">
        <v>0</v>
      </c>
      <c r="BM162" s="163" t="s">
        <v>8905</v>
      </c>
    </row>
    <row r="163" spans="1:65" ht="35.25" customHeight="1">
      <c r="A163" s="163" t="s">
        <v>9147</v>
      </c>
      <c r="B163" s="163" t="s">
        <v>2635</v>
      </c>
      <c r="C163" s="164" t="s">
        <v>6747</v>
      </c>
      <c r="D163" s="1545"/>
      <c r="E163" s="1006"/>
      <c r="F163" s="268" t="s">
        <v>9148</v>
      </c>
      <c r="G163" s="424"/>
      <c r="H163" s="271"/>
      <c r="I163" s="271"/>
      <c r="J163" s="1025" t="s">
        <v>2635</v>
      </c>
      <c r="K163" s="787" t="s">
        <v>2634</v>
      </c>
      <c r="L163" s="788" t="s">
        <v>5971</v>
      </c>
      <c r="M163" s="490">
        <v>2</v>
      </c>
      <c r="N163" s="789">
        <v>60</v>
      </c>
      <c r="O163" s="536" t="s">
        <v>4606</v>
      </c>
      <c r="P163" s="898">
        <v>1250</v>
      </c>
      <c r="Q163" s="787">
        <v>200</v>
      </c>
      <c r="R163" s="237">
        <v>3102</v>
      </c>
      <c r="S163" s="302">
        <v>172.33333333333334</v>
      </c>
      <c r="T163" s="399">
        <v>0.86166666666666669</v>
      </c>
      <c r="U163" s="492">
        <v>86.166666666666671</v>
      </c>
      <c r="V163" s="790">
        <v>1.702600944E-2</v>
      </c>
      <c r="W163" s="791">
        <v>2.55915E-2</v>
      </c>
      <c r="X163" s="392">
        <v>51</v>
      </c>
      <c r="Y163" s="760">
        <v>8</v>
      </c>
      <c r="Z163" s="489">
        <v>1</v>
      </c>
      <c r="AA163" s="858">
        <v>0</v>
      </c>
      <c r="AB163" s="310">
        <v>52</v>
      </c>
      <c r="AC163" s="1089" t="s">
        <v>8898</v>
      </c>
      <c r="AD163" s="1090" t="s">
        <v>8898</v>
      </c>
      <c r="AE163" s="689">
        <v>52</v>
      </c>
      <c r="AF163" s="250">
        <v>0</v>
      </c>
      <c r="AG163" s="313">
        <v>50</v>
      </c>
      <c r="AH163" s="531">
        <v>50</v>
      </c>
      <c r="AI163" s="532">
        <v>0</v>
      </c>
      <c r="AJ163" s="894" t="s">
        <v>9057</v>
      </c>
      <c r="AK163" s="253" t="s">
        <v>2635</v>
      </c>
      <c r="AL163" s="254" t="str">
        <f t="shared" si="5"/>
        <v>HAN087</v>
      </c>
      <c r="AM163" s="255">
        <f t="shared" si="5"/>
        <v>1250</v>
      </c>
      <c r="AN163" s="534" t="s">
        <v>9149</v>
      </c>
      <c r="AO163" s="535">
        <v>2.2999999999999998</v>
      </c>
      <c r="AP163" s="536">
        <v>228</v>
      </c>
      <c r="AQ163" s="536">
        <v>60</v>
      </c>
      <c r="AR163" s="537">
        <f t="shared" si="6"/>
        <v>0.1234962</v>
      </c>
      <c r="AS163" s="538">
        <v>1123.3189410398852</v>
      </c>
      <c r="AT163" s="536">
        <v>508</v>
      </c>
      <c r="AU163" s="539">
        <v>0.68318703257921964</v>
      </c>
      <c r="AV163" s="521">
        <v>200</v>
      </c>
      <c r="AW163" s="540">
        <v>1026</v>
      </c>
      <c r="AX163" s="536">
        <v>330</v>
      </c>
      <c r="AY163" s="290">
        <v>500</v>
      </c>
      <c r="AZ163" s="290">
        <v>180</v>
      </c>
      <c r="BA163" s="541">
        <v>2.9700000000000001E-2</v>
      </c>
      <c r="BB163" s="541"/>
      <c r="BC163" s="290"/>
      <c r="BD163" s="542">
        <v>7.0000000000000007E-2</v>
      </c>
      <c r="BE163" s="543">
        <v>7.0000000000000007E-2</v>
      </c>
      <c r="BF163" s="1026">
        <v>1</v>
      </c>
      <c r="BG163" s="163" t="s">
        <v>8904</v>
      </c>
      <c r="BH163" s="163">
        <v>1</v>
      </c>
      <c r="BK163" s="163">
        <v>0</v>
      </c>
      <c r="BM163" s="163" t="s">
        <v>8905</v>
      </c>
    </row>
    <row r="164" spans="1:65" ht="35.25" customHeight="1">
      <c r="A164" s="163" t="s">
        <v>9150</v>
      </c>
      <c r="B164" s="163" t="s">
        <v>2641</v>
      </c>
      <c r="C164" s="164" t="s">
        <v>6747</v>
      </c>
      <c r="D164" s="1545"/>
      <c r="E164" s="437"/>
      <c r="F164" s="228" t="s">
        <v>9151</v>
      </c>
      <c r="G164" s="422"/>
      <c r="H164" s="231"/>
      <c r="I164" s="231"/>
      <c r="J164" s="1044" t="s">
        <v>2641</v>
      </c>
      <c r="K164" s="490" t="s">
        <v>2640</v>
      </c>
      <c r="L164" s="758" t="s">
        <v>5972</v>
      </c>
      <c r="M164" s="490">
        <v>2</v>
      </c>
      <c r="N164" s="759">
        <v>60</v>
      </c>
      <c r="O164" s="642" t="s">
        <v>4606</v>
      </c>
      <c r="P164" s="898">
        <v>1250</v>
      </c>
      <c r="Q164" s="490">
        <v>200</v>
      </c>
      <c r="R164" s="237">
        <v>4056</v>
      </c>
      <c r="S164" s="302">
        <v>225.33333333333334</v>
      </c>
      <c r="T164" s="399">
        <v>1.1266666666666667</v>
      </c>
      <c r="U164" s="492">
        <v>112.66666666666667</v>
      </c>
      <c r="V164" s="790">
        <v>2.2262248320000001E-2</v>
      </c>
      <c r="W164" s="900">
        <v>3.3461999999999999E-2</v>
      </c>
      <c r="X164" s="392">
        <v>51</v>
      </c>
      <c r="Y164" s="760">
        <v>8</v>
      </c>
      <c r="Z164" s="489">
        <v>1</v>
      </c>
      <c r="AA164" s="787">
        <v>1</v>
      </c>
      <c r="AB164" s="310">
        <v>53</v>
      </c>
      <c r="AC164" s="1091" t="s">
        <v>8898</v>
      </c>
      <c r="AD164" s="1090" t="s">
        <v>8898</v>
      </c>
      <c r="AE164" s="762">
        <v>53</v>
      </c>
      <c r="AF164" s="250">
        <v>0</v>
      </c>
      <c r="AG164" s="313">
        <v>50</v>
      </c>
      <c r="AH164" s="638">
        <v>50</v>
      </c>
      <c r="AI164" s="639">
        <v>0</v>
      </c>
      <c r="AJ164" s="894" t="s">
        <v>9057</v>
      </c>
      <c r="AK164" s="253" t="s">
        <v>2641</v>
      </c>
      <c r="AL164" s="254" t="str">
        <f t="shared" si="5"/>
        <v>HAN087</v>
      </c>
      <c r="AM164" s="255">
        <f t="shared" si="5"/>
        <v>1250</v>
      </c>
      <c r="AN164" s="534" t="s">
        <v>9149</v>
      </c>
      <c r="AO164" s="535">
        <v>2.2999999999999998</v>
      </c>
      <c r="AP164" s="536">
        <v>228</v>
      </c>
      <c r="AQ164" s="536">
        <v>60</v>
      </c>
      <c r="AR164" s="643">
        <f t="shared" si="6"/>
        <v>0.1234962</v>
      </c>
      <c r="AS164" s="644">
        <v>1015.2912788714286</v>
      </c>
      <c r="AT164" s="642">
        <v>508</v>
      </c>
      <c r="AU164" s="645">
        <v>0.70441009619228678</v>
      </c>
      <c r="AV164" s="646">
        <v>200</v>
      </c>
      <c r="AW164" s="647">
        <v>1026</v>
      </c>
      <c r="AX164" s="642">
        <v>330</v>
      </c>
      <c r="AY164" s="648">
        <v>500</v>
      </c>
      <c r="AZ164" s="648">
        <v>180</v>
      </c>
      <c r="BA164" s="649">
        <v>2.9700000000000001E-2</v>
      </c>
      <c r="BB164" s="649"/>
      <c r="BC164" s="264">
        <v>60</v>
      </c>
      <c r="BD164" s="650">
        <v>7.0000000000000007E-2</v>
      </c>
      <c r="BE164" s="651">
        <v>7.0000000000000007E-2</v>
      </c>
      <c r="BF164" s="642">
        <v>1</v>
      </c>
      <c r="BG164" s="163" t="s">
        <v>8904</v>
      </c>
      <c r="BH164" s="163">
        <v>1</v>
      </c>
      <c r="BK164" s="163">
        <v>0</v>
      </c>
      <c r="BM164" s="163" t="s">
        <v>8905</v>
      </c>
    </row>
    <row r="165" spans="1:65" ht="35.25" customHeight="1">
      <c r="A165" s="163" t="s">
        <v>9152</v>
      </c>
      <c r="B165" s="163" t="s">
        <v>2821</v>
      </c>
      <c r="C165" s="164" t="s">
        <v>6747</v>
      </c>
      <c r="D165" s="1497"/>
      <c r="E165" s="1548" t="s">
        <v>8916</v>
      </c>
      <c r="F165" s="494" t="s">
        <v>9153</v>
      </c>
      <c r="G165" s="1092"/>
      <c r="H165" s="1093"/>
      <c r="I165" s="1094"/>
      <c r="J165" s="1044" t="s">
        <v>2821</v>
      </c>
      <c r="K165" s="490" t="s">
        <v>2820</v>
      </c>
      <c r="L165" s="758" t="s">
        <v>5761</v>
      </c>
      <c r="M165" s="490">
        <v>1</v>
      </c>
      <c r="N165" s="759">
        <v>60</v>
      </c>
      <c r="O165" s="642" t="s">
        <v>4696</v>
      </c>
      <c r="P165" s="898">
        <v>500</v>
      </c>
      <c r="Q165" s="490">
        <v>60</v>
      </c>
      <c r="R165" s="237">
        <v>10267</v>
      </c>
      <c r="S165" s="302">
        <v>570.38888888888891</v>
      </c>
      <c r="T165" s="399">
        <v>9.5064814814814813</v>
      </c>
      <c r="U165" s="492">
        <v>570.38888888888891</v>
      </c>
      <c r="V165" s="790">
        <v>0.69462962773333348</v>
      </c>
      <c r="W165" s="900">
        <v>0.2823425</v>
      </c>
      <c r="X165" s="392">
        <v>14</v>
      </c>
      <c r="Y165" s="760">
        <v>8</v>
      </c>
      <c r="Z165" s="489">
        <v>5</v>
      </c>
      <c r="AA165" s="787">
        <v>2</v>
      </c>
      <c r="AB165" s="310">
        <v>21</v>
      </c>
      <c r="AC165" s="1091" t="s">
        <v>8898</v>
      </c>
      <c r="AD165" s="1090" t="s">
        <v>8898</v>
      </c>
      <c r="AE165" s="762">
        <v>20</v>
      </c>
      <c r="AF165" s="250">
        <v>1</v>
      </c>
      <c r="AG165" s="313">
        <v>10</v>
      </c>
      <c r="AH165" s="638">
        <v>10</v>
      </c>
      <c r="AI165" s="639">
        <v>0</v>
      </c>
      <c r="AJ165" s="1511"/>
      <c r="AK165" s="253" t="s">
        <v>2821</v>
      </c>
      <c r="AL165" s="254" t="str">
        <f t="shared" si="5"/>
        <v>HAN086</v>
      </c>
      <c r="AM165" s="255">
        <f t="shared" si="5"/>
        <v>500</v>
      </c>
      <c r="AN165" s="640" t="s">
        <v>8918</v>
      </c>
      <c r="AO165" s="641">
        <v>3.2</v>
      </c>
      <c r="AP165" s="642">
        <v>202</v>
      </c>
      <c r="AQ165" s="642">
        <v>120</v>
      </c>
      <c r="AR165" s="643">
        <f t="shared" si="6"/>
        <v>0.60890880000000003</v>
      </c>
      <c r="AS165" s="644">
        <v>1015.2912788714286</v>
      </c>
      <c r="AT165" s="642">
        <v>508</v>
      </c>
      <c r="AU165" s="645">
        <v>0.70441009619228678</v>
      </c>
      <c r="AV165" s="646">
        <v>60</v>
      </c>
      <c r="AW165" s="647">
        <v>1026</v>
      </c>
      <c r="AX165" s="642">
        <v>330</v>
      </c>
      <c r="AY165" s="648">
        <v>500</v>
      </c>
      <c r="AZ165" s="648">
        <v>180</v>
      </c>
      <c r="BA165" s="649">
        <v>2.9700000000000001E-2</v>
      </c>
      <c r="BB165" s="649"/>
      <c r="BC165" s="264">
        <v>60</v>
      </c>
      <c r="BD165" s="650">
        <v>0.23</v>
      </c>
      <c r="BE165" s="651">
        <v>0.23</v>
      </c>
      <c r="BF165" s="642">
        <v>2</v>
      </c>
      <c r="BG165" s="163" t="s">
        <v>8904</v>
      </c>
      <c r="BH165" s="163">
        <v>1</v>
      </c>
      <c r="BK165" s="163">
        <v>0</v>
      </c>
      <c r="BM165" s="163" t="s">
        <v>8905</v>
      </c>
    </row>
    <row r="166" spans="1:65" ht="35.25" customHeight="1">
      <c r="A166" s="163" t="s">
        <v>9154</v>
      </c>
      <c r="B166" s="163" t="s">
        <v>2845</v>
      </c>
      <c r="C166" s="164" t="s">
        <v>6747</v>
      </c>
      <c r="D166" s="1497"/>
      <c r="E166" s="1549"/>
      <c r="F166" s="494" t="s">
        <v>9153</v>
      </c>
      <c r="G166" s="1096"/>
      <c r="H166" s="1097"/>
      <c r="I166" s="1098"/>
      <c r="J166" s="1099" t="s">
        <v>2845</v>
      </c>
      <c r="K166" s="1100" t="s">
        <v>2844</v>
      </c>
      <c r="L166" s="1101" t="s">
        <v>5689</v>
      </c>
      <c r="M166" s="490">
        <v>1</v>
      </c>
      <c r="N166" s="1102">
        <v>60</v>
      </c>
      <c r="O166" s="642" t="s">
        <v>4696</v>
      </c>
      <c r="P166" s="536">
        <v>500</v>
      </c>
      <c r="Q166" s="1100">
        <v>60</v>
      </c>
      <c r="R166" s="237">
        <v>10278</v>
      </c>
      <c r="S166" s="302">
        <v>571</v>
      </c>
      <c r="T166" s="1103">
        <v>9.5166666666666675</v>
      </c>
      <c r="U166" s="839">
        <v>571</v>
      </c>
      <c r="V166" s="790">
        <v>0.69537384960000004</v>
      </c>
      <c r="W166" s="1104">
        <v>0.28264500000000004</v>
      </c>
      <c r="X166" s="841">
        <v>14</v>
      </c>
      <c r="Y166" s="760">
        <v>8</v>
      </c>
      <c r="Z166" s="1105">
        <v>5</v>
      </c>
      <c r="AA166" s="787">
        <v>2</v>
      </c>
      <c r="AB166" s="310">
        <v>21</v>
      </c>
      <c r="AC166" s="1091" t="s">
        <v>8898</v>
      </c>
      <c r="AD166" s="1106" t="s">
        <v>8898</v>
      </c>
      <c r="AE166" s="1107">
        <v>20</v>
      </c>
      <c r="AF166" s="250">
        <v>1</v>
      </c>
      <c r="AG166" s="313">
        <v>10</v>
      </c>
      <c r="AH166" s="1108">
        <v>10</v>
      </c>
      <c r="AI166" s="1109">
        <v>0</v>
      </c>
      <c r="AJ166" s="1512"/>
      <c r="AK166" s="253" t="s">
        <v>2845</v>
      </c>
      <c r="AL166" s="254" t="str">
        <f t="shared" si="5"/>
        <v>HAN086</v>
      </c>
      <c r="AM166" s="255">
        <f t="shared" si="5"/>
        <v>500</v>
      </c>
      <c r="AN166" s="981" t="s">
        <v>8918</v>
      </c>
      <c r="AO166" s="982">
        <v>3.2</v>
      </c>
      <c r="AP166" s="983">
        <v>202</v>
      </c>
      <c r="AQ166" s="983">
        <v>120</v>
      </c>
      <c r="AR166" s="984">
        <f t="shared" si="6"/>
        <v>0.60890880000000003</v>
      </c>
      <c r="AS166" s="985">
        <v>1136.5218143066611</v>
      </c>
      <c r="AT166" s="983">
        <v>508</v>
      </c>
      <c r="AU166" s="1110">
        <v>0.7441760422845628</v>
      </c>
      <c r="AV166" s="893">
        <v>60</v>
      </c>
      <c r="AW166" s="987">
        <v>1026</v>
      </c>
      <c r="AX166" s="983">
        <v>330</v>
      </c>
      <c r="AY166" s="686">
        <v>500</v>
      </c>
      <c r="AZ166" s="686">
        <v>180</v>
      </c>
      <c r="BA166" s="988">
        <v>2.9700000000000001E-2</v>
      </c>
      <c r="BB166" s="988"/>
      <c r="BC166" s="686">
        <v>60</v>
      </c>
      <c r="BD166" s="1111">
        <v>0.23</v>
      </c>
      <c r="BE166" s="989">
        <v>0.23</v>
      </c>
      <c r="BF166" s="983">
        <v>2</v>
      </c>
      <c r="BG166" s="163" t="s">
        <v>8904</v>
      </c>
      <c r="BH166" s="163">
        <v>1</v>
      </c>
      <c r="BK166" s="163">
        <v>0</v>
      </c>
      <c r="BM166" s="163" t="s">
        <v>8905</v>
      </c>
    </row>
    <row r="167" spans="1:65" ht="35.25" customHeight="1" thickBot="1">
      <c r="A167" s="163" t="s">
        <v>9155</v>
      </c>
      <c r="B167" s="163" t="s">
        <v>238</v>
      </c>
      <c r="C167" s="164" t="s">
        <v>6747</v>
      </c>
      <c r="D167" s="1545"/>
      <c r="E167" s="1112"/>
      <c r="F167" s="228" t="s">
        <v>9156</v>
      </c>
      <c r="G167" s="1096"/>
      <c r="H167" s="1098"/>
      <c r="I167" s="1097"/>
      <c r="J167" s="1025" t="s">
        <v>238</v>
      </c>
      <c r="K167" s="787" t="s">
        <v>237</v>
      </c>
      <c r="L167" s="788" t="s">
        <v>7928</v>
      </c>
      <c r="M167" s="787">
        <v>1</v>
      </c>
      <c r="N167" s="789">
        <v>55</v>
      </c>
      <c r="O167" s="536" t="s">
        <v>4512</v>
      </c>
      <c r="P167" s="906">
        <v>1500</v>
      </c>
      <c r="Q167" s="787">
        <v>20</v>
      </c>
      <c r="R167" s="237">
        <v>20500</v>
      </c>
      <c r="S167" s="302">
        <v>1138.8888888888889</v>
      </c>
      <c r="T167" s="399">
        <v>56.944444444444443</v>
      </c>
      <c r="U167" s="492">
        <v>1138.8888888888889</v>
      </c>
      <c r="V167" s="1113">
        <v>0.37315944620370373</v>
      </c>
      <c r="W167" s="791">
        <v>2.4030555555555555</v>
      </c>
      <c r="X167" s="392">
        <v>153</v>
      </c>
      <c r="Y167" s="760">
        <v>8</v>
      </c>
      <c r="Z167" s="489">
        <v>29</v>
      </c>
      <c r="AA167" s="787">
        <v>14</v>
      </c>
      <c r="AB167" s="310">
        <v>196</v>
      </c>
      <c r="AC167" s="1089" t="s">
        <v>8898</v>
      </c>
      <c r="AD167" s="1114" t="s">
        <v>8898</v>
      </c>
      <c r="AE167" s="689">
        <v>187</v>
      </c>
      <c r="AF167" s="250">
        <v>9</v>
      </c>
      <c r="AG167" s="313">
        <v>150</v>
      </c>
      <c r="AH167" s="531">
        <v>150</v>
      </c>
      <c r="AI167" s="532">
        <v>0</v>
      </c>
      <c r="AJ167" s="894" t="s">
        <v>9067</v>
      </c>
      <c r="AK167" s="253" t="s">
        <v>238</v>
      </c>
      <c r="AL167" s="254" t="str">
        <f t="shared" si="5"/>
        <v>HAN088</v>
      </c>
      <c r="AM167" s="255">
        <f t="shared" si="5"/>
        <v>1500</v>
      </c>
      <c r="AN167" s="566" t="s">
        <v>8918</v>
      </c>
      <c r="AO167" s="567">
        <v>0.7</v>
      </c>
      <c r="AP167" s="553">
        <v>517</v>
      </c>
      <c r="AQ167" s="553">
        <v>173</v>
      </c>
      <c r="AR167" s="568">
        <f t="shared" si="6"/>
        <v>0.49147829500000001</v>
      </c>
      <c r="AS167" s="1057">
        <v>952.45787308415902</v>
      </c>
      <c r="AT167" s="553">
        <v>508</v>
      </c>
      <c r="AU167" s="1058">
        <v>0.52454102660172341</v>
      </c>
      <c r="AV167" s="570">
        <v>20</v>
      </c>
      <c r="AW167" s="571">
        <v>2546</v>
      </c>
      <c r="AX167" s="553">
        <v>370</v>
      </c>
      <c r="AY167" s="572">
        <v>570</v>
      </c>
      <c r="AZ167" s="572">
        <v>200</v>
      </c>
      <c r="BA167" s="573">
        <v>4.2200000000000001E-2</v>
      </c>
      <c r="BB167" s="573"/>
      <c r="BC167" s="572">
        <v>55</v>
      </c>
      <c r="BD167" s="1059">
        <v>0.49199999999999999</v>
      </c>
      <c r="BE167" s="574">
        <v>0.5</v>
      </c>
      <c r="BF167" s="1060">
        <v>3</v>
      </c>
      <c r="BG167" s="163" t="s">
        <v>8904</v>
      </c>
      <c r="BH167" s="163">
        <v>1</v>
      </c>
      <c r="BK167" s="163">
        <v>0</v>
      </c>
      <c r="BM167" s="163" t="s">
        <v>8905</v>
      </c>
    </row>
    <row r="168" spans="1:65" ht="35.25" customHeight="1">
      <c r="A168" s="163" t="s">
        <v>9157</v>
      </c>
      <c r="B168" s="163" t="s">
        <v>2717</v>
      </c>
      <c r="C168" s="164" t="s">
        <v>6747</v>
      </c>
      <c r="D168" s="1545"/>
      <c r="E168" s="1034"/>
      <c r="F168" s="228" t="s">
        <v>9158</v>
      </c>
      <c r="G168" s="229"/>
      <c r="H168" s="1115"/>
      <c r="I168" s="231"/>
      <c r="J168" s="1007" t="s">
        <v>2717</v>
      </c>
      <c r="K168" s="858" t="s">
        <v>2716</v>
      </c>
      <c r="L168" s="946" t="s">
        <v>4823</v>
      </c>
      <c r="M168" s="858">
        <v>1</v>
      </c>
      <c r="N168" s="947">
        <v>60</v>
      </c>
      <c r="O168" s="1008" t="s">
        <v>4528</v>
      </c>
      <c r="P168" s="906">
        <v>1250</v>
      </c>
      <c r="Q168" s="858">
        <v>30</v>
      </c>
      <c r="R168" s="237">
        <v>6355</v>
      </c>
      <c r="S168" s="302">
        <v>353.05555555555554</v>
      </c>
      <c r="T168" s="1116">
        <v>11.768518518518517</v>
      </c>
      <c r="U168" s="1117">
        <v>353.05555555555554</v>
      </c>
      <c r="V168" s="1069">
        <v>0.19237749800888887</v>
      </c>
      <c r="W168" s="1070">
        <v>0.49663148148148145</v>
      </c>
      <c r="X168" s="392">
        <v>62</v>
      </c>
      <c r="Y168" s="1071">
        <v>8</v>
      </c>
      <c r="Z168" s="1072">
        <v>6</v>
      </c>
      <c r="AA168" s="858">
        <v>3</v>
      </c>
      <c r="AB168" s="310">
        <v>71</v>
      </c>
      <c r="AC168" s="738" t="s">
        <v>8898</v>
      </c>
      <c r="AD168" s="738" t="s">
        <v>8898</v>
      </c>
      <c r="AE168" s="996">
        <v>69</v>
      </c>
      <c r="AF168" s="250">
        <v>2</v>
      </c>
      <c r="AG168" s="313">
        <v>60</v>
      </c>
      <c r="AH168" s="997">
        <v>60</v>
      </c>
      <c r="AI168" s="998">
        <v>0</v>
      </c>
      <c r="AJ168" s="894" t="s">
        <v>9057</v>
      </c>
      <c r="AK168" s="253" t="s">
        <v>2717</v>
      </c>
      <c r="AL168" s="254" t="str">
        <f t="shared" si="5"/>
        <v>HAN089</v>
      </c>
      <c r="AM168" s="255">
        <f t="shared" si="5"/>
        <v>1250</v>
      </c>
      <c r="AN168" s="618" t="s">
        <v>9020</v>
      </c>
      <c r="AO168" s="619">
        <v>1.4</v>
      </c>
      <c r="AP168" s="620">
        <v>508</v>
      </c>
      <c r="AQ168" s="620">
        <v>122</v>
      </c>
      <c r="AR168" s="621">
        <f t="shared" si="6"/>
        <v>0.68111623999999993</v>
      </c>
      <c r="AS168" s="622">
        <v>863.07473604549455</v>
      </c>
      <c r="AT168" s="620">
        <v>508</v>
      </c>
      <c r="AU168" s="623">
        <v>0.67736832220832255</v>
      </c>
      <c r="AV168" s="624">
        <v>30</v>
      </c>
      <c r="AW168" s="625">
        <v>2546</v>
      </c>
      <c r="AX168" s="620">
        <v>370</v>
      </c>
      <c r="AY168" s="626">
        <v>570</v>
      </c>
      <c r="AZ168" s="626">
        <v>200</v>
      </c>
      <c r="BA168" s="627">
        <v>4.2200000000000001E-2</v>
      </c>
      <c r="BB168" s="627"/>
      <c r="BC168" s="325">
        <v>60</v>
      </c>
      <c r="BD168" s="628">
        <v>0.68200000000000005</v>
      </c>
      <c r="BE168" s="629">
        <v>0.68200000000000005</v>
      </c>
      <c r="BF168" s="1028">
        <v>1</v>
      </c>
      <c r="BG168" s="163" t="s">
        <v>8953</v>
      </c>
      <c r="BH168" s="163">
        <v>2</v>
      </c>
      <c r="BK168" s="163">
        <v>0</v>
      </c>
      <c r="BM168" s="163" t="s">
        <v>8905</v>
      </c>
    </row>
    <row r="169" spans="1:65" ht="35.25" customHeight="1">
      <c r="A169" s="163" t="s">
        <v>9159</v>
      </c>
      <c r="B169" s="163" t="s">
        <v>2777</v>
      </c>
      <c r="C169" s="164" t="s">
        <v>6747</v>
      </c>
      <c r="D169" s="1545"/>
      <c r="E169" s="755"/>
      <c r="F169" s="228" t="s">
        <v>9160</v>
      </c>
      <c r="G169" s="1043"/>
      <c r="H169" s="1115"/>
      <c r="I169" s="231"/>
      <c r="J169" s="1007" t="s">
        <v>2777</v>
      </c>
      <c r="K169" s="858" t="s">
        <v>2776</v>
      </c>
      <c r="L169" s="946" t="s">
        <v>4821</v>
      </c>
      <c r="M169" s="858">
        <v>1</v>
      </c>
      <c r="N169" s="947">
        <v>60</v>
      </c>
      <c r="O169" s="1008" t="s">
        <v>4528</v>
      </c>
      <c r="P169" s="906">
        <v>1250</v>
      </c>
      <c r="Q169" s="858">
        <v>30</v>
      </c>
      <c r="R169" s="237">
        <v>7681</v>
      </c>
      <c r="S169" s="302">
        <v>426.72222222222223</v>
      </c>
      <c r="T169" s="399">
        <v>14.224074074074075</v>
      </c>
      <c r="U169" s="400">
        <v>426.72222222222223</v>
      </c>
      <c r="V169" s="401">
        <v>0.23251794841955553</v>
      </c>
      <c r="W169" s="402">
        <v>0.60025592592592603</v>
      </c>
      <c r="X169" s="392">
        <v>62</v>
      </c>
      <c r="Y169" s="760">
        <v>8</v>
      </c>
      <c r="Z169" s="1072">
        <v>8</v>
      </c>
      <c r="AA169" s="1000">
        <v>4</v>
      </c>
      <c r="AB169" s="310">
        <v>74</v>
      </c>
      <c r="AC169" s="397" t="s">
        <v>8898</v>
      </c>
      <c r="AD169" s="397" t="s">
        <v>8898</v>
      </c>
      <c r="AE169" s="762">
        <v>71</v>
      </c>
      <c r="AF169" s="250">
        <v>3</v>
      </c>
      <c r="AG169" s="313">
        <v>60</v>
      </c>
      <c r="AH169" s="638">
        <v>60</v>
      </c>
      <c r="AI169" s="639">
        <v>0</v>
      </c>
      <c r="AJ169" s="894" t="s">
        <v>9057</v>
      </c>
      <c r="AK169" s="253" t="s">
        <v>2777</v>
      </c>
      <c r="AL169" s="254" t="str">
        <f t="shared" si="5"/>
        <v>HAN089</v>
      </c>
      <c r="AM169" s="255">
        <f t="shared" si="5"/>
        <v>1250</v>
      </c>
      <c r="AN169" s="640" t="s">
        <v>9020</v>
      </c>
      <c r="AO169" s="641">
        <v>1.4</v>
      </c>
      <c r="AP169" s="642">
        <v>508</v>
      </c>
      <c r="AQ169" s="642">
        <v>122</v>
      </c>
      <c r="AR169" s="643">
        <f t="shared" si="6"/>
        <v>0.68111623999999993</v>
      </c>
      <c r="AS169" s="644">
        <v>863.07473604549455</v>
      </c>
      <c r="AT169" s="642">
        <v>508</v>
      </c>
      <c r="AU169" s="645">
        <v>0.67736832220832255</v>
      </c>
      <c r="AV169" s="646">
        <v>30</v>
      </c>
      <c r="AW169" s="647">
        <v>2546</v>
      </c>
      <c r="AX169" s="642">
        <v>370</v>
      </c>
      <c r="AY169" s="648">
        <v>570</v>
      </c>
      <c r="AZ169" s="648">
        <v>200</v>
      </c>
      <c r="BA169" s="649">
        <v>4.2200000000000001E-2</v>
      </c>
      <c r="BB169" s="649"/>
      <c r="BC169" s="264">
        <v>60</v>
      </c>
      <c r="BD169" s="650">
        <v>0.68</v>
      </c>
      <c r="BE169" s="651">
        <v>0.68</v>
      </c>
      <c r="BF169" s="1030">
        <v>1</v>
      </c>
      <c r="BG169" s="163" t="s">
        <v>8953</v>
      </c>
      <c r="BH169" s="163">
        <v>2</v>
      </c>
      <c r="BK169" s="163">
        <v>0</v>
      </c>
      <c r="BM169" s="163" t="s">
        <v>8905</v>
      </c>
    </row>
    <row r="170" spans="1:65" ht="35.25" customHeight="1">
      <c r="A170" s="163" t="s">
        <v>9161</v>
      </c>
      <c r="B170" s="163" t="s">
        <v>2721</v>
      </c>
      <c r="C170" s="164" t="s">
        <v>6747</v>
      </c>
      <c r="D170" s="1545"/>
      <c r="E170" s="1006"/>
      <c r="F170" s="268" t="s">
        <v>9162</v>
      </c>
      <c r="G170" s="269"/>
      <c r="H170" s="1118"/>
      <c r="I170" s="271"/>
      <c r="J170" s="1007" t="s">
        <v>2721</v>
      </c>
      <c r="K170" s="787" t="s">
        <v>2720</v>
      </c>
      <c r="L170" s="788" t="s">
        <v>4823</v>
      </c>
      <c r="M170" s="787">
        <v>1</v>
      </c>
      <c r="N170" s="789">
        <v>60</v>
      </c>
      <c r="O170" s="1008" t="s">
        <v>4536</v>
      </c>
      <c r="P170" s="906">
        <v>1250</v>
      </c>
      <c r="Q170" s="787">
        <v>30</v>
      </c>
      <c r="R170" s="237">
        <v>434</v>
      </c>
      <c r="S170" s="302">
        <v>24.111111111111111</v>
      </c>
      <c r="T170" s="399">
        <v>0.8037037037037037</v>
      </c>
      <c r="U170" s="492">
        <v>24.111111111111111</v>
      </c>
      <c r="V170" s="790">
        <v>1.6032598848000002E-2</v>
      </c>
      <c r="W170" s="791">
        <v>3.3916296296296299E-2</v>
      </c>
      <c r="X170" s="392">
        <v>51</v>
      </c>
      <c r="Y170" s="760">
        <v>8</v>
      </c>
      <c r="Z170" s="489">
        <v>1</v>
      </c>
      <c r="AA170" s="787">
        <v>0</v>
      </c>
      <c r="AB170" s="310">
        <v>52</v>
      </c>
      <c r="AC170" s="1089" t="s">
        <v>8898</v>
      </c>
      <c r="AD170" s="1090" t="s">
        <v>8898</v>
      </c>
      <c r="AE170" s="689">
        <v>52</v>
      </c>
      <c r="AF170" s="250">
        <v>0</v>
      </c>
      <c r="AG170" s="313">
        <v>50</v>
      </c>
      <c r="AH170" s="531">
        <v>50</v>
      </c>
      <c r="AI170" s="532">
        <v>0</v>
      </c>
      <c r="AJ170" s="894" t="s">
        <v>9067</v>
      </c>
      <c r="AK170" s="253" t="s">
        <v>2721</v>
      </c>
      <c r="AL170" s="254" t="str">
        <f t="shared" si="5"/>
        <v>HAN090</v>
      </c>
      <c r="AM170" s="255">
        <f t="shared" si="5"/>
        <v>1250</v>
      </c>
      <c r="AN170" s="534" t="s">
        <v>9149</v>
      </c>
      <c r="AO170" s="535">
        <v>1.6</v>
      </c>
      <c r="AP170" s="536">
        <v>513</v>
      </c>
      <c r="AQ170" s="536">
        <v>129</v>
      </c>
      <c r="AR170" s="537">
        <f t="shared" si="6"/>
        <v>0.83118312000000016</v>
      </c>
      <c r="AS170" s="538">
        <v>1123.3189410398852</v>
      </c>
      <c r="AT170" s="536">
        <v>508</v>
      </c>
      <c r="AU170" s="539">
        <v>0.68318703257921964</v>
      </c>
      <c r="AV170" s="521">
        <v>30</v>
      </c>
      <c r="AW170" s="540">
        <v>2546</v>
      </c>
      <c r="AX170" s="536">
        <v>370</v>
      </c>
      <c r="AY170" s="290">
        <v>570</v>
      </c>
      <c r="AZ170" s="290">
        <v>200</v>
      </c>
      <c r="BA170" s="541">
        <v>4.2200000000000001E-2</v>
      </c>
      <c r="BB170" s="541"/>
      <c r="BC170" s="290">
        <v>60</v>
      </c>
      <c r="BD170" s="542">
        <v>0.83199999999999996</v>
      </c>
      <c r="BE170" s="543">
        <v>0.83199999999999996</v>
      </c>
      <c r="BF170" s="1026">
        <v>1</v>
      </c>
      <c r="BG170" s="163" t="s">
        <v>8953</v>
      </c>
      <c r="BH170" s="163">
        <v>2</v>
      </c>
      <c r="BK170" s="163">
        <v>0</v>
      </c>
      <c r="BM170" s="163" t="s">
        <v>8905</v>
      </c>
    </row>
    <row r="171" spans="1:65" ht="35.25" customHeight="1">
      <c r="A171" s="163" t="s">
        <v>9163</v>
      </c>
      <c r="B171" s="163" t="s">
        <v>2725</v>
      </c>
      <c r="C171" s="164" t="s">
        <v>6747</v>
      </c>
      <c r="D171" s="1545"/>
      <c r="E171" s="437"/>
      <c r="F171" s="228" t="s">
        <v>9164</v>
      </c>
      <c r="G171" s="229"/>
      <c r="H171" s="1119"/>
      <c r="I171" s="231"/>
      <c r="J171" s="1007" t="s">
        <v>2725</v>
      </c>
      <c r="K171" s="490" t="s">
        <v>2724</v>
      </c>
      <c r="L171" s="758" t="s">
        <v>4823</v>
      </c>
      <c r="M171" s="490">
        <v>1</v>
      </c>
      <c r="N171" s="759">
        <v>60</v>
      </c>
      <c r="O171" s="642" t="s">
        <v>4538</v>
      </c>
      <c r="P171" s="906">
        <v>1250</v>
      </c>
      <c r="Q171" s="490">
        <v>30</v>
      </c>
      <c r="R171" s="237">
        <v>7979</v>
      </c>
      <c r="S171" s="302">
        <v>443.27777777777777</v>
      </c>
      <c r="T171" s="399">
        <v>14.775925925925925</v>
      </c>
      <c r="U171" s="492">
        <v>443.27777777777777</v>
      </c>
      <c r="V171" s="790">
        <v>0.30049282807111111</v>
      </c>
      <c r="W171" s="900">
        <v>0.62354407407407408</v>
      </c>
      <c r="X171" s="392">
        <v>50</v>
      </c>
      <c r="Y171" s="760">
        <v>8</v>
      </c>
      <c r="Z171" s="489">
        <v>8</v>
      </c>
      <c r="AA171" s="787">
        <v>4</v>
      </c>
      <c r="AB171" s="310">
        <v>62</v>
      </c>
      <c r="AC171" s="1091" t="s">
        <v>8898</v>
      </c>
      <c r="AD171" s="1090" t="s">
        <v>8898</v>
      </c>
      <c r="AE171" s="762">
        <v>59</v>
      </c>
      <c r="AF171" s="250">
        <v>3</v>
      </c>
      <c r="AG171" s="313">
        <v>50</v>
      </c>
      <c r="AH171" s="638">
        <v>50</v>
      </c>
      <c r="AI171" s="639">
        <v>0</v>
      </c>
      <c r="AJ171" s="894" t="s">
        <v>9057</v>
      </c>
      <c r="AK171" s="253" t="s">
        <v>2725</v>
      </c>
      <c r="AL171" s="254" t="str">
        <f t="shared" si="5"/>
        <v>HAN092</v>
      </c>
      <c r="AM171" s="255">
        <f t="shared" si="5"/>
        <v>1250</v>
      </c>
      <c r="AN171" s="534" t="s">
        <v>9149</v>
      </c>
      <c r="AO171" s="535">
        <v>1.6</v>
      </c>
      <c r="AP171" s="536">
        <v>515</v>
      </c>
      <c r="AQ171" s="536">
        <v>131</v>
      </c>
      <c r="AR171" s="643">
        <f t="shared" si="6"/>
        <v>0.8473603999999999</v>
      </c>
      <c r="AS171" s="644">
        <v>1015.2912788714286</v>
      </c>
      <c r="AT171" s="642">
        <v>508</v>
      </c>
      <c r="AU171" s="645">
        <v>0.70441009619228678</v>
      </c>
      <c r="AV171" s="646">
        <v>30</v>
      </c>
      <c r="AW171" s="647">
        <v>2546</v>
      </c>
      <c r="AX171" s="642">
        <v>370</v>
      </c>
      <c r="AY171" s="648">
        <v>570</v>
      </c>
      <c r="AZ171" s="648">
        <v>200</v>
      </c>
      <c r="BA171" s="649">
        <v>4.2200000000000001E-2</v>
      </c>
      <c r="BB171" s="649"/>
      <c r="BC171" s="264">
        <v>60</v>
      </c>
      <c r="BD171" s="650">
        <v>0.84</v>
      </c>
      <c r="BE171" s="651">
        <v>0.84</v>
      </c>
      <c r="BF171" s="642">
        <v>1</v>
      </c>
      <c r="BG171" s="163" t="s">
        <v>8953</v>
      </c>
      <c r="BH171" s="163">
        <v>2</v>
      </c>
      <c r="BK171" s="163">
        <v>0</v>
      </c>
      <c r="BM171" s="163" t="s">
        <v>8905</v>
      </c>
    </row>
    <row r="172" spans="1:65" ht="35.25" customHeight="1">
      <c r="A172" s="163" t="s">
        <v>9165</v>
      </c>
      <c r="B172" s="163" t="s">
        <v>2785</v>
      </c>
      <c r="C172" s="164" t="s">
        <v>6747</v>
      </c>
      <c r="D172" s="1545"/>
      <c r="E172" s="1120"/>
      <c r="F172" s="228" t="s">
        <v>9166</v>
      </c>
      <c r="G172" s="229"/>
      <c r="H172" s="270"/>
      <c r="I172" s="271"/>
      <c r="J172" s="1007" t="s">
        <v>2785</v>
      </c>
      <c r="K172" s="490" t="s">
        <v>2784</v>
      </c>
      <c r="L172" s="758" t="s">
        <v>4821</v>
      </c>
      <c r="M172" s="490">
        <v>1</v>
      </c>
      <c r="N172" s="759">
        <v>60</v>
      </c>
      <c r="O172" s="642" t="s">
        <v>4538</v>
      </c>
      <c r="P172" s="906">
        <v>1250</v>
      </c>
      <c r="Q172" s="490">
        <v>30</v>
      </c>
      <c r="R172" s="237">
        <v>5428</v>
      </c>
      <c r="S172" s="302">
        <v>301.55555555555554</v>
      </c>
      <c r="T172" s="399">
        <v>10.051851851851852</v>
      </c>
      <c r="U172" s="492">
        <v>301.55555555555554</v>
      </c>
      <c r="V172" s="790">
        <v>0.20442098894222219</v>
      </c>
      <c r="W172" s="900">
        <v>0.4241881481481482</v>
      </c>
      <c r="X172" s="392">
        <v>50</v>
      </c>
      <c r="Y172" s="760">
        <v>8</v>
      </c>
      <c r="Z172" s="489">
        <v>6</v>
      </c>
      <c r="AA172" s="787">
        <v>3</v>
      </c>
      <c r="AB172" s="310">
        <v>59</v>
      </c>
      <c r="AC172" s="1091" t="s">
        <v>8898</v>
      </c>
      <c r="AD172" s="1090" t="s">
        <v>8898</v>
      </c>
      <c r="AE172" s="762">
        <v>56</v>
      </c>
      <c r="AF172" s="250">
        <v>3</v>
      </c>
      <c r="AG172" s="313">
        <v>50</v>
      </c>
      <c r="AH172" s="638">
        <v>50</v>
      </c>
      <c r="AI172" s="639">
        <v>0</v>
      </c>
      <c r="AJ172" s="894" t="s">
        <v>9057</v>
      </c>
      <c r="AK172" s="253" t="s">
        <v>2785</v>
      </c>
      <c r="AL172" s="254" t="str">
        <f t="shared" si="5"/>
        <v>HAN092</v>
      </c>
      <c r="AM172" s="255">
        <f t="shared" si="5"/>
        <v>1250</v>
      </c>
      <c r="AN172" s="640" t="s">
        <v>8918</v>
      </c>
      <c r="AO172" s="641">
        <v>1.6</v>
      </c>
      <c r="AP172" s="642">
        <v>515</v>
      </c>
      <c r="AQ172" s="642">
        <v>131</v>
      </c>
      <c r="AR172" s="643">
        <f t="shared" si="6"/>
        <v>0.8473603999999999</v>
      </c>
      <c r="AS172" s="644">
        <v>1015.2912788714286</v>
      </c>
      <c r="AT172" s="642">
        <v>508</v>
      </c>
      <c r="AU172" s="645">
        <v>0.70441009619228678</v>
      </c>
      <c r="AV172" s="646">
        <v>30</v>
      </c>
      <c r="AW172" s="647">
        <v>2546</v>
      </c>
      <c r="AX172" s="642">
        <v>370</v>
      </c>
      <c r="AY172" s="648">
        <v>570</v>
      </c>
      <c r="AZ172" s="648">
        <v>200</v>
      </c>
      <c r="BA172" s="649">
        <v>4.2200000000000001E-2</v>
      </c>
      <c r="BB172" s="649"/>
      <c r="BC172" s="264">
        <v>60</v>
      </c>
      <c r="BD172" s="650">
        <v>0.84</v>
      </c>
      <c r="BE172" s="651">
        <v>0.84</v>
      </c>
      <c r="BF172" s="642">
        <v>2</v>
      </c>
      <c r="BG172" s="163" t="s">
        <v>8953</v>
      </c>
      <c r="BH172" s="163">
        <v>2</v>
      </c>
      <c r="BK172" s="163">
        <v>0</v>
      </c>
      <c r="BM172" s="163" t="s">
        <v>8905</v>
      </c>
    </row>
    <row r="173" spans="1:65" ht="35.25" customHeight="1">
      <c r="A173" s="163" t="s">
        <v>9167</v>
      </c>
      <c r="B173" s="163" t="s">
        <v>2729</v>
      </c>
      <c r="C173" s="164" t="s">
        <v>6747</v>
      </c>
      <c r="D173" s="1545"/>
      <c r="E173" s="1120"/>
      <c r="F173" s="228" t="s">
        <v>9168</v>
      </c>
      <c r="G173" s="229"/>
      <c r="H173" s="270"/>
      <c r="I173" s="271"/>
      <c r="J173" s="1007" t="s">
        <v>2729</v>
      </c>
      <c r="K173" s="1100" t="s">
        <v>2728</v>
      </c>
      <c r="L173" s="1101" t="s">
        <v>4823</v>
      </c>
      <c r="M173" s="1100">
        <v>1</v>
      </c>
      <c r="N173" s="1102">
        <v>60</v>
      </c>
      <c r="O173" s="642" t="s">
        <v>4526</v>
      </c>
      <c r="P173" s="906">
        <v>1250</v>
      </c>
      <c r="Q173" s="1100">
        <v>30</v>
      </c>
      <c r="R173" s="237">
        <v>5409</v>
      </c>
      <c r="S173" s="302">
        <v>300.5</v>
      </c>
      <c r="T173" s="1103">
        <v>10.016666666666667</v>
      </c>
      <c r="U173" s="839">
        <v>300.5</v>
      </c>
      <c r="V173" s="790">
        <v>0.15825820239599997</v>
      </c>
      <c r="W173" s="1104">
        <v>0.42270333333333338</v>
      </c>
      <c r="X173" s="1121">
        <v>64</v>
      </c>
      <c r="Y173" s="760">
        <v>8</v>
      </c>
      <c r="Z173" s="1105">
        <v>6</v>
      </c>
      <c r="AA173" s="787">
        <v>3</v>
      </c>
      <c r="AB173" s="310">
        <v>73</v>
      </c>
      <c r="AC173" s="1091" t="s">
        <v>8898</v>
      </c>
      <c r="AD173" s="1106" t="s">
        <v>8898</v>
      </c>
      <c r="AE173" s="1107">
        <v>70</v>
      </c>
      <c r="AF173" s="250">
        <v>3</v>
      </c>
      <c r="AG173" s="313">
        <v>60</v>
      </c>
      <c r="AH173" s="1108">
        <v>60</v>
      </c>
      <c r="AI173" s="1109">
        <v>0</v>
      </c>
      <c r="AJ173" s="894" t="s">
        <v>9057</v>
      </c>
      <c r="AK173" s="253" t="s">
        <v>2729</v>
      </c>
      <c r="AL173" s="254" t="str">
        <f t="shared" si="5"/>
        <v>HAN091</v>
      </c>
      <c r="AM173" s="255">
        <f t="shared" si="5"/>
        <v>1250</v>
      </c>
      <c r="AN173" s="981" t="s">
        <v>8918</v>
      </c>
      <c r="AO173" s="982">
        <v>1.4</v>
      </c>
      <c r="AP173" s="983">
        <v>487</v>
      </c>
      <c r="AQ173" s="983">
        <v>123</v>
      </c>
      <c r="AR173" s="984">
        <f t="shared" si="6"/>
        <v>0.65831198999999985</v>
      </c>
      <c r="AS173" s="985">
        <v>1136.5218143066611</v>
      </c>
      <c r="AT173" s="983">
        <v>508</v>
      </c>
      <c r="AU173" s="1110">
        <v>0.7441760422845628</v>
      </c>
      <c r="AV173" s="893">
        <v>30</v>
      </c>
      <c r="AW173" s="987">
        <v>2546</v>
      </c>
      <c r="AX173" s="983">
        <v>370</v>
      </c>
      <c r="AY173" s="686">
        <v>570</v>
      </c>
      <c r="AZ173" s="686">
        <v>200</v>
      </c>
      <c r="BA173" s="988">
        <v>4.2200000000000001E-2</v>
      </c>
      <c r="BB173" s="988"/>
      <c r="BC173" s="686">
        <v>60</v>
      </c>
      <c r="BD173" s="1111">
        <v>0.66</v>
      </c>
      <c r="BE173" s="989">
        <v>0.66</v>
      </c>
      <c r="BF173" s="983">
        <v>2</v>
      </c>
      <c r="BG173" s="163" t="s">
        <v>8953</v>
      </c>
      <c r="BH173" s="163">
        <v>2</v>
      </c>
      <c r="BK173" s="163">
        <v>0</v>
      </c>
      <c r="BM173" s="163" t="s">
        <v>8905</v>
      </c>
    </row>
    <row r="174" spans="1:65" ht="35.25" customHeight="1" thickBot="1">
      <c r="A174" s="163" t="s">
        <v>9169</v>
      </c>
      <c r="B174" s="163" t="s">
        <v>2781</v>
      </c>
      <c r="C174" s="164" t="s">
        <v>6747</v>
      </c>
      <c r="D174" s="1545"/>
      <c r="E174" s="1112"/>
      <c r="F174" s="1122" t="s">
        <v>9170</v>
      </c>
      <c r="G174" s="1123"/>
      <c r="H174" s="1124"/>
      <c r="I174" s="1098"/>
      <c r="J174" s="1007" t="s">
        <v>2781</v>
      </c>
      <c r="K174" s="787" t="s">
        <v>2780</v>
      </c>
      <c r="L174" s="788" t="s">
        <v>4821</v>
      </c>
      <c r="M174" s="787">
        <v>1</v>
      </c>
      <c r="N174" s="789">
        <v>60</v>
      </c>
      <c r="O174" s="536" t="s">
        <v>4526</v>
      </c>
      <c r="P174" s="906">
        <v>1250</v>
      </c>
      <c r="Q174" s="787">
        <v>30</v>
      </c>
      <c r="R174" s="237">
        <v>7987</v>
      </c>
      <c r="S174" s="302">
        <v>443.72222222222223</v>
      </c>
      <c r="T174" s="399">
        <v>14.790740740740741</v>
      </c>
      <c r="U174" s="492">
        <v>443.72222222222223</v>
      </c>
      <c r="V174" s="1113">
        <v>0.23368612729466662</v>
      </c>
      <c r="W174" s="791">
        <v>0.62416925925925926</v>
      </c>
      <c r="X174" s="841">
        <v>64</v>
      </c>
      <c r="Y174" s="488">
        <v>8</v>
      </c>
      <c r="Z174" s="489">
        <v>8</v>
      </c>
      <c r="AA174" s="787">
        <v>4</v>
      </c>
      <c r="AB174" s="842">
        <v>76</v>
      </c>
      <c r="AC174" s="1089" t="s">
        <v>8898</v>
      </c>
      <c r="AD174" s="1114" t="s">
        <v>8898</v>
      </c>
      <c r="AE174" s="689">
        <v>73</v>
      </c>
      <c r="AF174" s="844">
        <v>3</v>
      </c>
      <c r="AG174" s="845">
        <v>60</v>
      </c>
      <c r="AH174" s="531">
        <v>60</v>
      </c>
      <c r="AI174" s="532">
        <v>0</v>
      </c>
      <c r="AJ174" s="894" t="s">
        <v>9057</v>
      </c>
      <c r="AK174" s="253" t="s">
        <v>2781</v>
      </c>
      <c r="AL174" s="254" t="str">
        <f t="shared" si="5"/>
        <v>HAN091</v>
      </c>
      <c r="AM174" s="255">
        <f t="shared" si="5"/>
        <v>1250</v>
      </c>
      <c r="AN174" s="566" t="s">
        <v>8918</v>
      </c>
      <c r="AO174" s="567">
        <v>1.4</v>
      </c>
      <c r="AP174" s="553">
        <v>487</v>
      </c>
      <c r="AQ174" s="553">
        <v>123</v>
      </c>
      <c r="AR174" s="568">
        <f t="shared" si="6"/>
        <v>0.65831198999999985</v>
      </c>
      <c r="AS174" s="1057">
        <v>952.45787308415902</v>
      </c>
      <c r="AT174" s="553">
        <v>508</v>
      </c>
      <c r="AU174" s="1058">
        <v>0.52454102660172341</v>
      </c>
      <c r="AV174" s="570">
        <v>30</v>
      </c>
      <c r="AW174" s="571">
        <v>2546</v>
      </c>
      <c r="AX174" s="553">
        <v>370</v>
      </c>
      <c r="AY174" s="572">
        <v>570</v>
      </c>
      <c r="AZ174" s="572">
        <v>200</v>
      </c>
      <c r="BA174" s="573">
        <v>4.2200000000000001E-2</v>
      </c>
      <c r="BB174" s="573"/>
      <c r="BC174" s="572">
        <v>60</v>
      </c>
      <c r="BD174" s="1059">
        <v>0.66</v>
      </c>
      <c r="BE174" s="574">
        <v>0.66</v>
      </c>
      <c r="BF174" s="1060">
        <v>3</v>
      </c>
      <c r="BG174" s="163" t="s">
        <v>8953</v>
      </c>
      <c r="BH174" s="163">
        <v>2</v>
      </c>
      <c r="BK174" s="163">
        <v>0</v>
      </c>
      <c r="BM174" s="163" t="s">
        <v>8905</v>
      </c>
    </row>
    <row r="175" spans="1:65" ht="35.25" customHeight="1">
      <c r="A175" s="163" t="s">
        <v>9171</v>
      </c>
      <c r="B175" s="163" t="s">
        <v>1328</v>
      </c>
      <c r="C175" s="164" t="s">
        <v>6747</v>
      </c>
      <c r="D175" s="1497"/>
      <c r="E175" s="1125"/>
      <c r="F175" s="494" t="s">
        <v>9172</v>
      </c>
      <c r="G175" s="229"/>
      <c r="H175" s="1043"/>
      <c r="I175" s="393"/>
      <c r="J175" s="1007" t="s">
        <v>1328</v>
      </c>
      <c r="K175" s="858" t="s">
        <v>1327</v>
      </c>
      <c r="L175" s="946" t="s">
        <v>9173</v>
      </c>
      <c r="M175" s="858">
        <v>1</v>
      </c>
      <c r="N175" s="947">
        <v>70</v>
      </c>
      <c r="O175" s="1008" t="s">
        <v>4556</v>
      </c>
      <c r="P175" s="1008">
        <v>3000</v>
      </c>
      <c r="Q175" s="858">
        <v>30</v>
      </c>
      <c r="R175" s="237">
        <v>74678</v>
      </c>
      <c r="S175" s="302">
        <v>4148.7777777777774</v>
      </c>
      <c r="T175" s="1116">
        <v>138.29259259259257</v>
      </c>
      <c r="U175" s="1117">
        <v>4148.7777777777774</v>
      </c>
      <c r="V175" s="1069">
        <v>0.80488973148111098</v>
      </c>
      <c r="W175" s="1070">
        <v>4.107289999999999</v>
      </c>
      <c r="X175" s="392">
        <v>152</v>
      </c>
      <c r="Y175" s="1071">
        <v>8</v>
      </c>
      <c r="Z175" s="1072">
        <v>70</v>
      </c>
      <c r="AA175" s="1126">
        <v>35</v>
      </c>
      <c r="AB175" s="310">
        <v>257</v>
      </c>
      <c r="AC175" s="792">
        <v>5.6</v>
      </c>
      <c r="AD175" s="843">
        <v>49</v>
      </c>
      <c r="AE175" s="996">
        <v>233</v>
      </c>
      <c r="AF175" s="250">
        <v>24</v>
      </c>
      <c r="AG175" s="313">
        <v>150</v>
      </c>
      <c r="AH175" s="997">
        <v>150</v>
      </c>
      <c r="AI175" s="998">
        <v>0</v>
      </c>
      <c r="AJ175" s="1127"/>
      <c r="AK175" s="253" t="s">
        <v>1328</v>
      </c>
      <c r="AL175" s="254" t="str">
        <f t="shared" si="5"/>
        <v>HAN093</v>
      </c>
      <c r="AM175" s="255">
        <f t="shared" si="5"/>
        <v>3000</v>
      </c>
      <c r="AN175" s="618" t="s">
        <v>9020</v>
      </c>
      <c r="AO175" s="619">
        <v>1.4</v>
      </c>
      <c r="AP175" s="620">
        <v>417</v>
      </c>
      <c r="AQ175" s="620">
        <v>127</v>
      </c>
      <c r="AR175" s="621">
        <f t="shared" si="6"/>
        <v>0.5820194099999999</v>
      </c>
      <c r="AS175" s="622">
        <v>863.07473604549455</v>
      </c>
      <c r="AT175" s="620">
        <v>508</v>
      </c>
      <c r="AU175" s="623">
        <v>0.67736832220832255</v>
      </c>
      <c r="AV175" s="624">
        <v>30</v>
      </c>
      <c r="AW175" s="625">
        <v>1026</v>
      </c>
      <c r="AX175" s="620">
        <v>330</v>
      </c>
      <c r="AY175" s="626">
        <v>500</v>
      </c>
      <c r="AZ175" s="626">
        <v>180</v>
      </c>
      <c r="BA175" s="627">
        <v>2.9700000000000001E-2</v>
      </c>
      <c r="BB175" s="627"/>
      <c r="BC175" s="325">
        <v>70</v>
      </c>
      <c r="BD175" s="628">
        <v>0.57999999999999996</v>
      </c>
      <c r="BE175" s="629">
        <v>0.57999999999999996</v>
      </c>
      <c r="BF175" s="1028">
        <v>1</v>
      </c>
      <c r="BG175" s="163" t="s">
        <v>8932</v>
      </c>
      <c r="BH175" s="163">
        <v>3</v>
      </c>
      <c r="BK175" s="163">
        <v>0</v>
      </c>
      <c r="BM175" s="163" t="s">
        <v>8905</v>
      </c>
    </row>
    <row r="176" spans="1:65" ht="35.25" customHeight="1">
      <c r="A176" s="163" t="s">
        <v>9174</v>
      </c>
      <c r="B176" s="163" t="s">
        <v>50</v>
      </c>
      <c r="C176" s="164" t="s">
        <v>6747</v>
      </c>
      <c r="D176" s="1497"/>
      <c r="E176" s="755"/>
      <c r="F176" s="494" t="s">
        <v>9175</v>
      </c>
      <c r="G176" s="1043"/>
      <c r="H176" s="1043"/>
      <c r="I176" s="393"/>
      <c r="J176" s="1007" t="s">
        <v>50</v>
      </c>
      <c r="K176" s="858" t="s">
        <v>12</v>
      </c>
      <c r="L176" s="946" t="s">
        <v>9176</v>
      </c>
      <c r="M176" s="858">
        <v>1</v>
      </c>
      <c r="N176" s="947">
        <v>70</v>
      </c>
      <c r="O176" s="1008" t="s">
        <v>4556</v>
      </c>
      <c r="P176" s="1008">
        <v>3000</v>
      </c>
      <c r="Q176" s="858">
        <v>30</v>
      </c>
      <c r="R176" s="237">
        <v>20432</v>
      </c>
      <c r="S176" s="302">
        <v>1135.1111111111111</v>
      </c>
      <c r="T176" s="399">
        <v>37.837037037037035</v>
      </c>
      <c r="U176" s="400">
        <v>1135.1111111111111</v>
      </c>
      <c r="V176" s="401">
        <v>0.22021889972444439</v>
      </c>
      <c r="W176" s="402">
        <v>1.1237599999999999</v>
      </c>
      <c r="X176" s="392">
        <v>172</v>
      </c>
      <c r="Y176" s="760">
        <v>8</v>
      </c>
      <c r="Z176" s="761">
        <v>19</v>
      </c>
      <c r="AA176" s="1000">
        <v>9</v>
      </c>
      <c r="AB176" s="310">
        <v>200</v>
      </c>
      <c r="AC176" s="397" t="s">
        <v>8898</v>
      </c>
      <c r="AD176" s="397" t="s">
        <v>8898</v>
      </c>
      <c r="AE176" s="762">
        <v>194</v>
      </c>
      <c r="AF176" s="250">
        <v>6</v>
      </c>
      <c r="AG176" s="313">
        <v>170</v>
      </c>
      <c r="AH176" s="638">
        <v>170</v>
      </c>
      <c r="AI176" s="639">
        <v>0</v>
      </c>
      <c r="AJ176" s="407"/>
      <c r="AK176" s="253" t="s">
        <v>50</v>
      </c>
      <c r="AL176" s="254" t="str">
        <f t="shared" si="5"/>
        <v>HAN093</v>
      </c>
      <c r="AM176" s="255">
        <f t="shared" si="5"/>
        <v>3000</v>
      </c>
      <c r="AN176" s="640" t="s">
        <v>9020</v>
      </c>
      <c r="AO176" s="641">
        <v>1.4</v>
      </c>
      <c r="AP176" s="642">
        <v>417</v>
      </c>
      <c r="AQ176" s="642">
        <v>127</v>
      </c>
      <c r="AR176" s="643">
        <f t="shared" si="6"/>
        <v>0.5820194099999999</v>
      </c>
      <c r="AS176" s="644">
        <v>863.07473604549455</v>
      </c>
      <c r="AT176" s="642">
        <v>508</v>
      </c>
      <c r="AU176" s="645">
        <v>0.67736832220832255</v>
      </c>
      <c r="AV176" s="646">
        <v>30</v>
      </c>
      <c r="AW176" s="647">
        <v>1026</v>
      </c>
      <c r="AX176" s="642">
        <v>330</v>
      </c>
      <c r="AY176" s="648">
        <v>500</v>
      </c>
      <c r="AZ176" s="648">
        <v>180</v>
      </c>
      <c r="BA176" s="649">
        <v>2.9700000000000001E-2</v>
      </c>
      <c r="BB176" s="649"/>
      <c r="BC176" s="264">
        <v>70</v>
      </c>
      <c r="BD176" s="650">
        <v>0.57999999999999996</v>
      </c>
      <c r="BE176" s="651">
        <v>0.57999999999999996</v>
      </c>
      <c r="BF176" s="1030">
        <v>1</v>
      </c>
      <c r="BG176" s="163" t="s">
        <v>8932</v>
      </c>
      <c r="BH176" s="163">
        <v>3</v>
      </c>
      <c r="BK176" s="163">
        <v>0</v>
      </c>
      <c r="BM176" s="163" t="s">
        <v>8905</v>
      </c>
    </row>
    <row r="177" spans="1:65" ht="35.25" customHeight="1">
      <c r="A177" s="163" t="s">
        <v>9177</v>
      </c>
      <c r="B177" s="163" t="s">
        <v>1388</v>
      </c>
      <c r="C177" s="164" t="s">
        <v>6747</v>
      </c>
      <c r="D177" s="1497"/>
      <c r="E177" s="1006"/>
      <c r="F177" s="494" t="s">
        <v>9178</v>
      </c>
      <c r="G177" s="269"/>
      <c r="H177" s="271"/>
      <c r="I177" s="440"/>
      <c r="J177" s="1007" t="s">
        <v>1388</v>
      </c>
      <c r="K177" s="787" t="s">
        <v>1387</v>
      </c>
      <c r="L177" s="788" t="s">
        <v>9179</v>
      </c>
      <c r="M177" s="787">
        <v>1</v>
      </c>
      <c r="N177" s="789">
        <v>70</v>
      </c>
      <c r="O177" s="536" t="s">
        <v>4570</v>
      </c>
      <c r="P177" s="1008">
        <v>2500</v>
      </c>
      <c r="Q177" s="787">
        <v>25</v>
      </c>
      <c r="R177" s="237">
        <v>12470</v>
      </c>
      <c r="S177" s="302">
        <v>692.77777777777783</v>
      </c>
      <c r="T177" s="399">
        <v>27.711111111111112</v>
      </c>
      <c r="U177" s="492">
        <v>692.77777777777783</v>
      </c>
      <c r="V177" s="790">
        <v>0.19320341848888892</v>
      </c>
      <c r="W177" s="791">
        <v>1.1694088888888889</v>
      </c>
      <c r="X177" s="392">
        <v>144</v>
      </c>
      <c r="Y177" s="760">
        <v>8</v>
      </c>
      <c r="Z177" s="489">
        <v>14</v>
      </c>
      <c r="AA177" s="787">
        <v>7</v>
      </c>
      <c r="AB177" s="310">
        <v>165</v>
      </c>
      <c r="AC177" s="1089" t="s">
        <v>8898</v>
      </c>
      <c r="AD177" s="1090" t="s">
        <v>8898</v>
      </c>
      <c r="AE177" s="689">
        <v>160</v>
      </c>
      <c r="AF177" s="250">
        <v>5</v>
      </c>
      <c r="AG177" s="313">
        <v>140</v>
      </c>
      <c r="AH177" s="531">
        <v>140</v>
      </c>
      <c r="AI177" s="532">
        <v>0</v>
      </c>
      <c r="AJ177" s="407"/>
      <c r="AK177" s="253" t="s">
        <v>1388</v>
      </c>
      <c r="AL177" s="254" t="str">
        <f t="shared" si="5"/>
        <v>HAN094</v>
      </c>
      <c r="AM177" s="255">
        <f t="shared" si="5"/>
        <v>2500</v>
      </c>
      <c r="AN177" s="534" t="s">
        <v>9149</v>
      </c>
      <c r="AO177" s="535">
        <v>1.4</v>
      </c>
      <c r="AP177" s="536">
        <v>520</v>
      </c>
      <c r="AQ177" s="536">
        <v>122</v>
      </c>
      <c r="AR177" s="537">
        <f t="shared" si="6"/>
        <v>0.69720559999999998</v>
      </c>
      <c r="AS177" s="538">
        <v>1123.3189410398852</v>
      </c>
      <c r="AT177" s="536">
        <v>508</v>
      </c>
      <c r="AU177" s="539">
        <v>0.68318703257921964</v>
      </c>
      <c r="AV177" s="521">
        <v>25</v>
      </c>
      <c r="AW177" s="540">
        <v>2546</v>
      </c>
      <c r="AX177" s="536">
        <v>370</v>
      </c>
      <c r="AY177" s="290">
        <v>570</v>
      </c>
      <c r="AZ177" s="290">
        <v>200</v>
      </c>
      <c r="BA177" s="541">
        <v>4.2200000000000001E-2</v>
      </c>
      <c r="BB177" s="541"/>
      <c r="BC177" s="290">
        <v>70</v>
      </c>
      <c r="BD177" s="542">
        <v>0.7</v>
      </c>
      <c r="BE177" s="543">
        <v>0.7</v>
      </c>
      <c r="BF177" s="1026">
        <v>1</v>
      </c>
      <c r="BG177" s="163" t="s">
        <v>8932</v>
      </c>
      <c r="BH177" s="163">
        <v>3</v>
      </c>
      <c r="BK177" s="163">
        <v>0</v>
      </c>
      <c r="BM177" s="163" t="s">
        <v>8905</v>
      </c>
    </row>
    <row r="178" spans="1:65" ht="35.25" customHeight="1">
      <c r="A178" s="163" t="s">
        <v>9180</v>
      </c>
      <c r="B178" s="163" t="s">
        <v>1390</v>
      </c>
      <c r="C178" s="164" t="s">
        <v>6747</v>
      </c>
      <c r="D178" s="1497"/>
      <c r="E178" s="437"/>
      <c r="F178" s="228" t="s">
        <v>9178</v>
      </c>
      <c r="G178" s="229"/>
      <c r="H178" s="231"/>
      <c r="I178" s="393"/>
      <c r="J178" s="1007" t="s">
        <v>1390</v>
      </c>
      <c r="K178" s="490" t="s">
        <v>1389</v>
      </c>
      <c r="L178" s="758" t="s">
        <v>9181</v>
      </c>
      <c r="M178" s="490">
        <v>1</v>
      </c>
      <c r="N178" s="759">
        <v>70</v>
      </c>
      <c r="O178" s="642" t="s">
        <v>4570</v>
      </c>
      <c r="P178" s="1008">
        <v>2500</v>
      </c>
      <c r="Q178" s="490">
        <v>25</v>
      </c>
      <c r="R178" s="237">
        <v>10636</v>
      </c>
      <c r="S178" s="302">
        <v>590.88888888888891</v>
      </c>
      <c r="T178" s="399">
        <v>23.635555555555555</v>
      </c>
      <c r="U178" s="492">
        <v>590.88888888888891</v>
      </c>
      <c r="V178" s="790">
        <v>0.16478841692444443</v>
      </c>
      <c r="W178" s="900">
        <v>0.99742044444444444</v>
      </c>
      <c r="X178" s="392">
        <v>144</v>
      </c>
      <c r="Y178" s="760">
        <v>8</v>
      </c>
      <c r="Z178" s="489">
        <v>12</v>
      </c>
      <c r="AA178" s="787">
        <v>6</v>
      </c>
      <c r="AB178" s="310">
        <v>162</v>
      </c>
      <c r="AC178" s="1091" t="s">
        <v>8898</v>
      </c>
      <c r="AD178" s="1090" t="s">
        <v>8898</v>
      </c>
      <c r="AE178" s="762">
        <v>159</v>
      </c>
      <c r="AF178" s="250">
        <v>3</v>
      </c>
      <c r="AG178" s="313">
        <v>140</v>
      </c>
      <c r="AH178" s="638">
        <v>140</v>
      </c>
      <c r="AI178" s="639">
        <v>0</v>
      </c>
      <c r="AJ178" s="407"/>
      <c r="AK178" s="253" t="s">
        <v>1390</v>
      </c>
      <c r="AL178" s="254" t="str">
        <f t="shared" si="5"/>
        <v>HAN094</v>
      </c>
      <c r="AM178" s="255">
        <f t="shared" si="5"/>
        <v>2500</v>
      </c>
      <c r="AN178" s="534" t="s">
        <v>9149</v>
      </c>
      <c r="AO178" s="535">
        <v>1.4</v>
      </c>
      <c r="AP178" s="536">
        <v>520</v>
      </c>
      <c r="AQ178" s="536">
        <v>122</v>
      </c>
      <c r="AR178" s="643">
        <f t="shared" si="6"/>
        <v>0.69720559999999998</v>
      </c>
      <c r="AS178" s="644">
        <v>1015.2912788714286</v>
      </c>
      <c r="AT178" s="642">
        <v>508</v>
      </c>
      <c r="AU178" s="645">
        <v>0.70441009619228678</v>
      </c>
      <c r="AV178" s="646">
        <v>25</v>
      </c>
      <c r="AW178" s="647">
        <v>2546</v>
      </c>
      <c r="AX178" s="642">
        <v>370</v>
      </c>
      <c r="AY178" s="648">
        <v>570</v>
      </c>
      <c r="AZ178" s="648">
        <v>200</v>
      </c>
      <c r="BA178" s="649">
        <v>4.2200000000000001E-2</v>
      </c>
      <c r="BB178" s="649"/>
      <c r="BC178" s="264">
        <v>70</v>
      </c>
      <c r="BD178" s="650">
        <v>0.7</v>
      </c>
      <c r="BE178" s="651">
        <v>0.7</v>
      </c>
      <c r="BF178" s="642">
        <v>1</v>
      </c>
      <c r="BG178" s="163" t="s">
        <v>8932</v>
      </c>
      <c r="BH178" s="163">
        <v>3</v>
      </c>
      <c r="BK178" s="163">
        <v>0</v>
      </c>
      <c r="BM178" s="163" t="s">
        <v>8905</v>
      </c>
    </row>
    <row r="179" spans="1:65" ht="35.25" customHeight="1" thickBot="1">
      <c r="A179" s="163" t="s">
        <v>9182</v>
      </c>
      <c r="B179" s="163" t="s">
        <v>1795</v>
      </c>
      <c r="C179" s="164" t="s">
        <v>6747</v>
      </c>
      <c r="D179" s="1497"/>
      <c r="E179" s="1128"/>
      <c r="F179" s="546" t="s">
        <v>9183</v>
      </c>
      <c r="G179" s="1129"/>
      <c r="H179" s="1130"/>
      <c r="I179" s="1131"/>
      <c r="J179" s="1047" t="s">
        <v>1795</v>
      </c>
      <c r="K179" s="550" t="s">
        <v>1794</v>
      </c>
      <c r="L179" s="551" t="s">
        <v>6117</v>
      </c>
      <c r="M179" s="550">
        <v>2</v>
      </c>
      <c r="N179" s="552">
        <v>70</v>
      </c>
      <c r="O179" s="553" t="s">
        <v>4670</v>
      </c>
      <c r="P179" s="1132">
        <v>1800</v>
      </c>
      <c r="Q179" s="550">
        <v>200</v>
      </c>
      <c r="R179" s="1048">
        <v>74678</v>
      </c>
      <c r="S179" s="1049">
        <v>4148.7777777777774</v>
      </c>
      <c r="T179" s="554">
        <v>20.743888888888886</v>
      </c>
      <c r="U179" s="555">
        <v>2074.3888888888887</v>
      </c>
      <c r="V179" s="1052">
        <v>0.26757791204444442</v>
      </c>
      <c r="W179" s="557">
        <v>0.61609349999999996</v>
      </c>
      <c r="X179" s="558">
        <v>78</v>
      </c>
      <c r="Y179" s="559">
        <v>8</v>
      </c>
      <c r="Z179" s="1133">
        <v>11</v>
      </c>
      <c r="AA179" s="550">
        <v>5</v>
      </c>
      <c r="AB179" s="1053">
        <v>94</v>
      </c>
      <c r="AC179" s="1134" t="s">
        <v>8898</v>
      </c>
      <c r="AD179" s="1135" t="s">
        <v>8898</v>
      </c>
      <c r="AE179" s="561">
        <v>91</v>
      </c>
      <c r="AF179" s="1055">
        <v>3</v>
      </c>
      <c r="AG179" s="562">
        <v>70</v>
      </c>
      <c r="AH179" s="563">
        <v>70</v>
      </c>
      <c r="AI179" s="564">
        <v>0</v>
      </c>
      <c r="AJ179" s="1136"/>
      <c r="AK179" s="253" t="s">
        <v>1795</v>
      </c>
      <c r="AL179" s="254" t="str">
        <f t="shared" si="5"/>
        <v>HAN095</v>
      </c>
      <c r="AM179" s="255">
        <f t="shared" si="5"/>
        <v>1800</v>
      </c>
      <c r="AN179" s="566" t="s">
        <v>8918</v>
      </c>
      <c r="AO179" s="567">
        <v>1.6</v>
      </c>
      <c r="AP179" s="553">
        <v>237</v>
      </c>
      <c r="AQ179" s="553">
        <v>78</v>
      </c>
      <c r="AR179" s="568">
        <f t="shared" si="6"/>
        <v>0.11609208</v>
      </c>
      <c r="AS179" s="1057">
        <v>952.45787308415902</v>
      </c>
      <c r="AT179" s="553">
        <v>508</v>
      </c>
      <c r="AU179" s="1058">
        <v>0.52454102660172341</v>
      </c>
      <c r="AV179" s="570">
        <v>200</v>
      </c>
      <c r="AW179" s="571">
        <v>1026</v>
      </c>
      <c r="AX179" s="553">
        <v>330</v>
      </c>
      <c r="AY179" s="572">
        <v>500</v>
      </c>
      <c r="AZ179" s="572">
        <v>180</v>
      </c>
      <c r="BA179" s="573">
        <v>2.9700000000000001E-2</v>
      </c>
      <c r="BB179" s="573"/>
      <c r="BC179" s="572">
        <v>70</v>
      </c>
      <c r="BD179" s="1059">
        <v>0.11700000000000001</v>
      </c>
      <c r="BE179" s="574">
        <v>0.11700000000000001</v>
      </c>
      <c r="BF179" s="1060">
        <v>3</v>
      </c>
      <c r="BG179" s="163" t="s">
        <v>8932</v>
      </c>
      <c r="BH179" s="163">
        <v>3</v>
      </c>
      <c r="BJ179" s="163" t="s">
        <v>8928</v>
      </c>
      <c r="BK179" s="163">
        <v>0</v>
      </c>
      <c r="BM179" s="163" t="s">
        <v>8905</v>
      </c>
    </row>
    <row r="180" spans="1:65" ht="35.25" customHeight="1">
      <c r="A180" s="163" t="s">
        <v>9184</v>
      </c>
      <c r="B180" s="163" t="s">
        <v>434</v>
      </c>
      <c r="C180" s="164" t="s">
        <v>6768</v>
      </c>
      <c r="D180" s="1496" t="s">
        <v>6768</v>
      </c>
      <c r="E180" s="1095"/>
      <c r="F180" s="1137" t="s">
        <v>9185</v>
      </c>
      <c r="G180" s="1043"/>
      <c r="H180" s="1115"/>
      <c r="I180" s="231"/>
      <c r="J180" s="1138" t="s">
        <v>434</v>
      </c>
      <c r="K180" s="858" t="s">
        <v>433</v>
      </c>
      <c r="L180" s="946" t="s">
        <v>5845</v>
      </c>
      <c r="M180" s="858">
        <v>1</v>
      </c>
      <c r="N180" s="947">
        <v>60</v>
      </c>
      <c r="O180" s="1008" t="s">
        <v>4594</v>
      </c>
      <c r="P180" s="1008">
        <v>500</v>
      </c>
      <c r="Q180" s="858">
        <v>60</v>
      </c>
      <c r="R180" s="237">
        <v>4650</v>
      </c>
      <c r="S180" s="994">
        <v>258.33333333333331</v>
      </c>
      <c r="T180" s="399">
        <v>4.3055555555555554</v>
      </c>
      <c r="U180" s="400">
        <v>258.33333333333331</v>
      </c>
      <c r="V180" s="401">
        <v>0.20165603333333332</v>
      </c>
      <c r="W180" s="402">
        <v>0.12787499999999999</v>
      </c>
      <c r="X180" s="392">
        <v>22</v>
      </c>
      <c r="Y180" s="1009">
        <v>8</v>
      </c>
      <c r="Z180" s="1010">
        <v>3</v>
      </c>
      <c r="AA180" s="858">
        <v>13</v>
      </c>
      <c r="AB180" s="310">
        <v>38</v>
      </c>
      <c r="AC180" s="299" t="s">
        <v>8898</v>
      </c>
      <c r="AD180" s="299" t="s">
        <v>8898</v>
      </c>
      <c r="AE180" s="952">
        <v>34</v>
      </c>
      <c r="AF180" s="250">
        <v>4</v>
      </c>
      <c r="AG180" s="313">
        <v>20</v>
      </c>
      <c r="AH180" s="584">
        <v>20</v>
      </c>
      <c r="AI180" s="585">
        <v>0</v>
      </c>
      <c r="AJ180" s="1139"/>
      <c r="AK180" s="253" t="s">
        <v>434</v>
      </c>
      <c r="AL180" s="254" t="str">
        <f t="shared" si="5"/>
        <v>HAN097</v>
      </c>
      <c r="AM180" s="255">
        <f t="shared" si="5"/>
        <v>500</v>
      </c>
      <c r="AN180" s="640" t="s">
        <v>9020</v>
      </c>
      <c r="AO180" s="641">
        <v>2</v>
      </c>
      <c r="AP180" s="642">
        <v>220</v>
      </c>
      <c r="AQ180" s="642">
        <v>113</v>
      </c>
      <c r="AR180" s="643">
        <f t="shared" si="6"/>
        <v>0.39030199999999998</v>
      </c>
      <c r="AS180" s="644">
        <v>863.07473604549455</v>
      </c>
      <c r="AT180" s="642">
        <v>508</v>
      </c>
      <c r="AU180" s="645">
        <v>0.67736832220832255</v>
      </c>
      <c r="AV180" s="646">
        <v>60</v>
      </c>
      <c r="AW180" s="647">
        <v>1026</v>
      </c>
      <c r="AX180" s="642">
        <v>330</v>
      </c>
      <c r="AY180" s="648">
        <v>500</v>
      </c>
      <c r="AZ180" s="648">
        <v>180</v>
      </c>
      <c r="BA180" s="649">
        <v>2.9700000000000001E-2</v>
      </c>
      <c r="BB180" s="649"/>
      <c r="BC180" s="264">
        <v>60</v>
      </c>
      <c r="BD180" s="650">
        <v>0.39030199999999998</v>
      </c>
      <c r="BE180" s="651">
        <v>0.39030199999999998</v>
      </c>
      <c r="BF180" s="1030">
        <v>2</v>
      </c>
      <c r="BG180" s="163" t="s">
        <v>8953</v>
      </c>
      <c r="BH180" s="163">
        <v>2</v>
      </c>
      <c r="BK180" s="163">
        <v>0</v>
      </c>
      <c r="BM180" s="163" t="s">
        <v>8905</v>
      </c>
    </row>
    <row r="181" spans="1:65" ht="35.25" customHeight="1">
      <c r="A181" s="163" t="s">
        <v>9186</v>
      </c>
      <c r="B181" s="163" t="s">
        <v>420</v>
      </c>
      <c r="C181" s="164" t="s">
        <v>6768</v>
      </c>
      <c r="D181" s="1497"/>
      <c r="E181" s="1140"/>
      <c r="F181" s="879" t="s">
        <v>9187</v>
      </c>
      <c r="G181" s="1141"/>
      <c r="H181" s="1118"/>
      <c r="I181" s="271"/>
      <c r="J181" s="1138" t="s">
        <v>420</v>
      </c>
      <c r="K181" s="787" t="s">
        <v>419</v>
      </c>
      <c r="L181" s="788" t="s">
        <v>6393</v>
      </c>
      <c r="M181" s="787">
        <v>1</v>
      </c>
      <c r="N181" s="789">
        <v>60</v>
      </c>
      <c r="O181" s="1008" t="s">
        <v>4594</v>
      </c>
      <c r="P181" s="1008">
        <v>500</v>
      </c>
      <c r="Q181" s="787">
        <v>60</v>
      </c>
      <c r="R181" s="237">
        <v>6510</v>
      </c>
      <c r="S181" s="302">
        <v>361.66666666666669</v>
      </c>
      <c r="T181" s="399">
        <v>6.0277777777777777</v>
      </c>
      <c r="U181" s="492">
        <v>361.66666666666669</v>
      </c>
      <c r="V181" s="790">
        <v>0.28231844666666667</v>
      </c>
      <c r="W181" s="791">
        <v>0.17902499999999999</v>
      </c>
      <c r="X181" s="392">
        <v>22</v>
      </c>
      <c r="Y181" s="760">
        <v>8</v>
      </c>
      <c r="Z181" s="489">
        <v>4</v>
      </c>
      <c r="AA181" s="787">
        <v>18</v>
      </c>
      <c r="AB181" s="310">
        <v>44</v>
      </c>
      <c r="AC181" s="1089" t="s">
        <v>8898</v>
      </c>
      <c r="AD181" s="1090" t="s">
        <v>8898</v>
      </c>
      <c r="AE181" s="689">
        <v>39</v>
      </c>
      <c r="AF181" s="250">
        <v>5</v>
      </c>
      <c r="AG181" s="313">
        <v>20</v>
      </c>
      <c r="AH181" s="531">
        <v>20</v>
      </c>
      <c r="AI181" s="532">
        <v>0</v>
      </c>
      <c r="AJ181" s="407"/>
      <c r="AK181" s="253" t="s">
        <v>420</v>
      </c>
      <c r="AL181" s="254" t="str">
        <f t="shared" si="5"/>
        <v>HAN097</v>
      </c>
      <c r="AM181" s="255">
        <f t="shared" si="5"/>
        <v>500</v>
      </c>
      <c r="AN181" s="534" t="s">
        <v>9149</v>
      </c>
      <c r="AO181" s="535">
        <v>2</v>
      </c>
      <c r="AP181" s="536">
        <v>220</v>
      </c>
      <c r="AQ181" s="536">
        <v>113</v>
      </c>
      <c r="AR181" s="537">
        <f t="shared" si="6"/>
        <v>0.39030199999999998</v>
      </c>
      <c r="AS181" s="538">
        <v>1123.3189410398852</v>
      </c>
      <c r="AT181" s="536">
        <v>508</v>
      </c>
      <c r="AU181" s="539">
        <v>0.68318703257921964</v>
      </c>
      <c r="AV181" s="521">
        <v>60</v>
      </c>
      <c r="AW181" s="540">
        <v>1026</v>
      </c>
      <c r="AX181" s="536">
        <v>330</v>
      </c>
      <c r="AY181" s="290">
        <v>500</v>
      </c>
      <c r="AZ181" s="290">
        <v>180</v>
      </c>
      <c r="BA181" s="541">
        <v>2.9700000000000001E-2</v>
      </c>
      <c r="BB181" s="541"/>
      <c r="BC181" s="290">
        <v>60</v>
      </c>
      <c r="BD181" s="542">
        <v>0.39030199999999998</v>
      </c>
      <c r="BE181" s="543">
        <v>0.39030199999999998</v>
      </c>
      <c r="BF181" s="1026">
        <v>2</v>
      </c>
      <c r="BG181" s="163" t="s">
        <v>8953</v>
      </c>
      <c r="BH181" s="163">
        <v>2</v>
      </c>
      <c r="BK181" s="163">
        <v>0</v>
      </c>
      <c r="BM181" s="163" t="s">
        <v>8905</v>
      </c>
    </row>
    <row r="182" spans="1:65" ht="35.25" customHeight="1">
      <c r="A182" s="163" t="s">
        <v>9188</v>
      </c>
      <c r="B182" s="163" t="s">
        <v>418</v>
      </c>
      <c r="C182" s="164" t="s">
        <v>6768</v>
      </c>
      <c r="D182" s="1497"/>
      <c r="E182" s="1140"/>
      <c r="F182" s="268" t="s">
        <v>9189</v>
      </c>
      <c r="G182" s="1043"/>
      <c r="H182" s="1119"/>
      <c r="I182" s="231"/>
      <c r="J182" s="1138" t="s">
        <v>418</v>
      </c>
      <c r="K182" s="490" t="s">
        <v>417</v>
      </c>
      <c r="L182" s="758" t="s">
        <v>6393</v>
      </c>
      <c r="M182" s="490">
        <v>1</v>
      </c>
      <c r="N182" s="759">
        <v>60</v>
      </c>
      <c r="O182" s="642" t="s">
        <v>4522</v>
      </c>
      <c r="P182" s="1008">
        <v>1000</v>
      </c>
      <c r="Q182" s="490">
        <v>40</v>
      </c>
      <c r="R182" s="237">
        <v>4650</v>
      </c>
      <c r="S182" s="302">
        <v>258.33333333333331</v>
      </c>
      <c r="T182" s="399">
        <v>6.458333333333333</v>
      </c>
      <c r="U182" s="492">
        <v>258.33333333333331</v>
      </c>
      <c r="V182" s="790">
        <v>0.10494103724999997</v>
      </c>
      <c r="W182" s="900">
        <v>0.1918125</v>
      </c>
      <c r="X182" s="392">
        <v>62</v>
      </c>
      <c r="Y182" s="760">
        <v>8</v>
      </c>
      <c r="Z182" s="489">
        <v>4</v>
      </c>
      <c r="AA182" s="787">
        <v>19</v>
      </c>
      <c r="AB182" s="310">
        <v>85</v>
      </c>
      <c r="AC182" s="1091" t="s">
        <v>8898</v>
      </c>
      <c r="AD182" s="1090" t="s">
        <v>8898</v>
      </c>
      <c r="AE182" s="762">
        <v>80</v>
      </c>
      <c r="AF182" s="250">
        <v>5</v>
      </c>
      <c r="AG182" s="313">
        <v>60</v>
      </c>
      <c r="AH182" s="638">
        <v>60</v>
      </c>
      <c r="AI182" s="639">
        <v>0</v>
      </c>
      <c r="AJ182" s="1127"/>
      <c r="AK182" s="253" t="s">
        <v>418</v>
      </c>
      <c r="AL182" s="254" t="str">
        <f t="shared" si="5"/>
        <v>HAN098</v>
      </c>
      <c r="AM182" s="255">
        <f t="shared" si="5"/>
        <v>1000</v>
      </c>
      <c r="AN182" s="534" t="s">
        <v>9149</v>
      </c>
      <c r="AO182" s="535">
        <v>1.4</v>
      </c>
      <c r="AP182" s="536">
        <v>333</v>
      </c>
      <c r="AQ182" s="536">
        <v>111</v>
      </c>
      <c r="AR182" s="643">
        <f t="shared" si="6"/>
        <v>0.40622336999999992</v>
      </c>
      <c r="AS182" s="644">
        <v>1015.2912788714286</v>
      </c>
      <c r="AT182" s="642">
        <v>508</v>
      </c>
      <c r="AU182" s="645">
        <v>0.70441009619228678</v>
      </c>
      <c r="AV182" s="646">
        <v>40</v>
      </c>
      <c r="AW182" s="647">
        <v>1026</v>
      </c>
      <c r="AX182" s="642">
        <v>330</v>
      </c>
      <c r="AY182" s="648">
        <v>500</v>
      </c>
      <c r="AZ182" s="648">
        <v>180</v>
      </c>
      <c r="BA182" s="649">
        <v>2.9700000000000001E-2</v>
      </c>
      <c r="BB182" s="649"/>
      <c r="BC182" s="264">
        <v>60</v>
      </c>
      <c r="BD182" s="650">
        <v>0.40622336999999992</v>
      </c>
      <c r="BE182" s="651">
        <v>0.40622336999999992</v>
      </c>
      <c r="BF182" s="642">
        <v>2</v>
      </c>
      <c r="BG182" s="163" t="s">
        <v>8953</v>
      </c>
      <c r="BH182" s="163">
        <v>2</v>
      </c>
      <c r="BK182" s="163">
        <v>0</v>
      </c>
      <c r="BM182" s="163" t="s">
        <v>8905</v>
      </c>
    </row>
    <row r="183" spans="1:65" ht="35.25" customHeight="1" thickBot="1">
      <c r="A183" s="163" t="s">
        <v>9190</v>
      </c>
      <c r="B183" s="163" t="s">
        <v>432</v>
      </c>
      <c r="C183" s="164" t="s">
        <v>6768</v>
      </c>
      <c r="D183" s="1497"/>
      <c r="E183" s="1128"/>
      <c r="F183" s="1142" t="s">
        <v>9191</v>
      </c>
      <c r="G183" s="1129"/>
      <c r="H183" s="1143"/>
      <c r="I183" s="1130"/>
      <c r="J183" s="1144" t="s">
        <v>432</v>
      </c>
      <c r="K183" s="550" t="s">
        <v>431</v>
      </c>
      <c r="L183" s="551" t="s">
        <v>5845</v>
      </c>
      <c r="M183" s="550">
        <v>1</v>
      </c>
      <c r="N183" s="552">
        <v>60</v>
      </c>
      <c r="O183" s="553" t="s">
        <v>4522</v>
      </c>
      <c r="P183" s="553">
        <v>1000</v>
      </c>
      <c r="Q183" s="550">
        <v>40</v>
      </c>
      <c r="R183" s="1048">
        <v>6510</v>
      </c>
      <c r="S183" s="1049">
        <v>361.66666666666669</v>
      </c>
      <c r="T183" s="554">
        <v>9.0416666666666679</v>
      </c>
      <c r="U183" s="1051">
        <v>361.66666666666669</v>
      </c>
      <c r="V183" s="1052">
        <v>0.14691745214999996</v>
      </c>
      <c r="W183" s="557">
        <v>0.26853750000000004</v>
      </c>
      <c r="X183" s="558">
        <v>62</v>
      </c>
      <c r="Y183" s="559">
        <v>8</v>
      </c>
      <c r="Z183" s="560">
        <v>5</v>
      </c>
      <c r="AA183" s="550">
        <v>27</v>
      </c>
      <c r="AB183" s="1053">
        <v>94</v>
      </c>
      <c r="AC183" s="1134" t="s">
        <v>8898</v>
      </c>
      <c r="AD183" s="1135" t="s">
        <v>8898</v>
      </c>
      <c r="AE183" s="561">
        <v>87</v>
      </c>
      <c r="AF183" s="1055">
        <v>7</v>
      </c>
      <c r="AG183" s="562">
        <v>60</v>
      </c>
      <c r="AH183" s="563">
        <v>60</v>
      </c>
      <c r="AI183" s="564">
        <v>0</v>
      </c>
      <c r="AJ183" s="1145"/>
      <c r="AK183" s="253" t="s">
        <v>432</v>
      </c>
      <c r="AL183" s="254" t="str">
        <f t="shared" si="5"/>
        <v>HAN098</v>
      </c>
      <c r="AM183" s="255">
        <f t="shared" si="5"/>
        <v>1000</v>
      </c>
      <c r="AN183" s="566" t="s">
        <v>8918</v>
      </c>
      <c r="AO183" s="567">
        <v>1.4</v>
      </c>
      <c r="AP183" s="553">
        <v>333</v>
      </c>
      <c r="AQ183" s="553">
        <v>111</v>
      </c>
      <c r="AR183" s="568">
        <f t="shared" si="6"/>
        <v>0.40622336999999992</v>
      </c>
      <c r="AS183" s="1057">
        <v>952.45787308415902</v>
      </c>
      <c r="AT183" s="553">
        <v>508</v>
      </c>
      <c r="AU183" s="1058">
        <v>0.52454102660172341</v>
      </c>
      <c r="AV183" s="570">
        <v>40</v>
      </c>
      <c r="AW183" s="571">
        <v>1026</v>
      </c>
      <c r="AX183" s="553">
        <v>330</v>
      </c>
      <c r="AY183" s="572">
        <v>500</v>
      </c>
      <c r="AZ183" s="572">
        <v>180</v>
      </c>
      <c r="BA183" s="573">
        <v>2.9700000000000001E-2</v>
      </c>
      <c r="BB183" s="573"/>
      <c r="BC183" s="572">
        <v>60</v>
      </c>
      <c r="BD183" s="1059">
        <v>0.40622336999999992</v>
      </c>
      <c r="BE183" s="574">
        <v>0.40622336999999992</v>
      </c>
      <c r="BF183" s="1060">
        <v>2</v>
      </c>
      <c r="BG183" s="163" t="s">
        <v>8953</v>
      </c>
      <c r="BH183" s="163">
        <v>2</v>
      </c>
      <c r="BK183" s="163">
        <v>0</v>
      </c>
      <c r="BM183" s="163" t="s">
        <v>8905</v>
      </c>
    </row>
    <row r="184" spans="1:65" ht="35.25" customHeight="1">
      <c r="A184" s="163" t="s">
        <v>9192</v>
      </c>
      <c r="B184" s="163" t="s">
        <v>2713</v>
      </c>
      <c r="C184" s="164" t="s">
        <v>8907</v>
      </c>
      <c r="D184" s="1517" t="s">
        <v>6783</v>
      </c>
      <c r="E184" s="1095"/>
      <c r="F184" s="879" t="s">
        <v>9193</v>
      </c>
      <c r="G184" s="1141"/>
      <c r="H184" s="1118"/>
      <c r="I184" s="271"/>
      <c r="J184" s="1138" t="s">
        <v>2713</v>
      </c>
      <c r="K184" s="787" t="s">
        <v>2712</v>
      </c>
      <c r="L184" s="788" t="s">
        <v>9194</v>
      </c>
      <c r="M184" s="787">
        <v>1</v>
      </c>
      <c r="N184" s="789">
        <v>60</v>
      </c>
      <c r="O184" s="1008" t="s">
        <v>4530</v>
      </c>
      <c r="P184" s="1146">
        <v>1250</v>
      </c>
      <c r="Q184" s="858">
        <v>12</v>
      </c>
      <c r="R184" s="237">
        <v>7065</v>
      </c>
      <c r="S184" s="994">
        <v>392.5</v>
      </c>
      <c r="T184" s="399">
        <v>32.708333333333336</v>
      </c>
      <c r="U184" s="492">
        <v>392.5</v>
      </c>
      <c r="V184" s="790">
        <v>0.35621157263999997</v>
      </c>
      <c r="W184" s="791">
        <v>0.97143750000000006</v>
      </c>
      <c r="X184" s="392">
        <v>92</v>
      </c>
      <c r="Y184" s="1009">
        <v>8</v>
      </c>
      <c r="Z184" s="1010">
        <v>17</v>
      </c>
      <c r="AA184" s="858">
        <v>8</v>
      </c>
      <c r="AB184" s="310">
        <v>117</v>
      </c>
      <c r="AC184" s="1091" t="s">
        <v>8898</v>
      </c>
      <c r="AD184" s="1090" t="s">
        <v>8898</v>
      </c>
      <c r="AE184" s="952">
        <v>111</v>
      </c>
      <c r="AF184" s="250">
        <v>6</v>
      </c>
      <c r="AG184" s="313">
        <v>90</v>
      </c>
      <c r="AH184" s="531">
        <v>90</v>
      </c>
      <c r="AI184" s="532">
        <v>0</v>
      </c>
      <c r="AJ184" s="1147" t="s">
        <v>9057</v>
      </c>
      <c r="AK184" s="253" t="s">
        <v>2713</v>
      </c>
      <c r="AL184" s="254" t="str">
        <f t="shared" si="5"/>
        <v>TTC063</v>
      </c>
      <c r="AM184" s="255">
        <f t="shared" si="5"/>
        <v>1250</v>
      </c>
      <c r="AN184" s="534" t="s">
        <v>8918</v>
      </c>
      <c r="AO184" s="535">
        <v>1.4</v>
      </c>
      <c r="AP184" s="536">
        <v>561</v>
      </c>
      <c r="AQ184" s="536">
        <v>184</v>
      </c>
      <c r="AR184" s="537">
        <f t="shared" si="6"/>
        <v>1.13443176</v>
      </c>
      <c r="AS184" s="538">
        <v>1123.3189410398852</v>
      </c>
      <c r="AT184" s="536">
        <v>508</v>
      </c>
      <c r="AU184" s="539">
        <v>0.68318703257921964</v>
      </c>
      <c r="AV184" s="521">
        <v>12</v>
      </c>
      <c r="AW184" s="540">
        <v>2546</v>
      </c>
      <c r="AX184" s="536">
        <v>330</v>
      </c>
      <c r="AY184" s="290">
        <v>500</v>
      </c>
      <c r="AZ184" s="290">
        <v>180</v>
      </c>
      <c r="BA184" s="541">
        <v>2.9700000000000001E-2</v>
      </c>
      <c r="BB184" s="541"/>
      <c r="BC184" s="290">
        <v>60</v>
      </c>
      <c r="BD184" s="542">
        <v>0.39030199999999998</v>
      </c>
      <c r="BE184" s="543">
        <v>0.39030199999999998</v>
      </c>
      <c r="BF184" s="1026">
        <v>2</v>
      </c>
      <c r="BG184" s="163" t="s">
        <v>8953</v>
      </c>
      <c r="BH184" s="163">
        <v>2</v>
      </c>
      <c r="BK184" s="163">
        <v>0</v>
      </c>
      <c r="BM184" s="163" t="s">
        <v>8905</v>
      </c>
    </row>
    <row r="185" spans="1:65" ht="35.25" customHeight="1">
      <c r="A185" s="163" t="s">
        <v>9195</v>
      </c>
      <c r="B185" s="163" t="s">
        <v>2769</v>
      </c>
      <c r="C185" s="164" t="s">
        <v>8907</v>
      </c>
      <c r="D185" s="1529"/>
      <c r="E185" s="1112"/>
      <c r="F185" s="268" t="s">
        <v>9196</v>
      </c>
      <c r="G185" s="1043"/>
      <c r="H185" s="1119"/>
      <c r="I185" s="231"/>
      <c r="J185" s="1138" t="s">
        <v>2769</v>
      </c>
      <c r="K185" s="490" t="s">
        <v>2768</v>
      </c>
      <c r="L185" s="758" t="s">
        <v>5384</v>
      </c>
      <c r="M185" s="490">
        <v>1</v>
      </c>
      <c r="N185" s="759">
        <v>60</v>
      </c>
      <c r="O185" s="642" t="s">
        <v>4530</v>
      </c>
      <c r="P185" s="898">
        <v>1250</v>
      </c>
      <c r="Q185" s="490">
        <v>12</v>
      </c>
      <c r="R185" s="237">
        <v>7065</v>
      </c>
      <c r="S185" s="302">
        <v>392.5</v>
      </c>
      <c r="T185" s="399">
        <v>32.708333333333336</v>
      </c>
      <c r="U185" s="492">
        <v>392.5</v>
      </c>
      <c r="V185" s="790">
        <v>0.35621157263999997</v>
      </c>
      <c r="W185" s="900">
        <v>0.97143750000000006</v>
      </c>
      <c r="X185" s="392">
        <v>92</v>
      </c>
      <c r="Y185" s="760">
        <v>8</v>
      </c>
      <c r="Z185" s="489">
        <v>17</v>
      </c>
      <c r="AA185" s="787">
        <v>8</v>
      </c>
      <c r="AB185" s="310">
        <v>117</v>
      </c>
      <c r="AC185" s="1091" t="s">
        <v>8898</v>
      </c>
      <c r="AD185" s="1090" t="s">
        <v>8898</v>
      </c>
      <c r="AE185" s="762">
        <v>111</v>
      </c>
      <c r="AF185" s="250">
        <v>6</v>
      </c>
      <c r="AG185" s="313">
        <v>90</v>
      </c>
      <c r="AH185" s="638">
        <v>90</v>
      </c>
      <c r="AI185" s="639">
        <v>0</v>
      </c>
      <c r="AJ185" s="1005" t="s">
        <v>9057</v>
      </c>
      <c r="AK185" s="253" t="s">
        <v>2769</v>
      </c>
      <c r="AL185" s="254" t="str">
        <f t="shared" si="5"/>
        <v>TTC063</v>
      </c>
      <c r="AM185" s="255">
        <f t="shared" si="5"/>
        <v>1250</v>
      </c>
      <c r="AN185" s="534" t="s">
        <v>8918</v>
      </c>
      <c r="AO185" s="535">
        <v>1.4</v>
      </c>
      <c r="AP185" s="536">
        <v>561</v>
      </c>
      <c r="AQ185" s="536">
        <v>184</v>
      </c>
      <c r="AR185" s="643">
        <f t="shared" si="6"/>
        <v>1.13443176</v>
      </c>
      <c r="AS185" s="644">
        <v>1015.2912788714286</v>
      </c>
      <c r="AT185" s="642">
        <v>508</v>
      </c>
      <c r="AU185" s="645">
        <v>0.70441009619228678</v>
      </c>
      <c r="AV185" s="646">
        <v>12</v>
      </c>
      <c r="AW185" s="647">
        <v>2546</v>
      </c>
      <c r="AX185" s="642">
        <v>330</v>
      </c>
      <c r="AY185" s="648">
        <v>500</v>
      </c>
      <c r="AZ185" s="648">
        <v>180</v>
      </c>
      <c r="BA185" s="649">
        <v>2.9700000000000001E-2</v>
      </c>
      <c r="BB185" s="649"/>
      <c r="BC185" s="264">
        <v>60</v>
      </c>
      <c r="BD185" s="650">
        <v>0.40622336999999992</v>
      </c>
      <c r="BE185" s="651">
        <v>0.40622336999999992</v>
      </c>
      <c r="BF185" s="642">
        <v>2</v>
      </c>
      <c r="BG185" s="163" t="s">
        <v>8953</v>
      </c>
      <c r="BH185" s="163">
        <v>2</v>
      </c>
      <c r="BK185" s="163">
        <v>0</v>
      </c>
      <c r="BM185" s="163" t="s">
        <v>8905</v>
      </c>
    </row>
    <row r="186" spans="1:65" ht="35.25" customHeight="1" thickBot="1">
      <c r="A186" s="163" t="s">
        <v>9197</v>
      </c>
      <c r="B186" s="163" t="s">
        <v>1326</v>
      </c>
      <c r="C186" s="164" t="s">
        <v>8907</v>
      </c>
      <c r="D186" s="1540"/>
      <c r="E186" s="1148" t="s">
        <v>8978</v>
      </c>
      <c r="F186" s="546" t="s">
        <v>9198</v>
      </c>
      <c r="G186" s="1149"/>
      <c r="H186" s="1130"/>
      <c r="I186" s="1150"/>
      <c r="J186" s="1144" t="s">
        <v>1326</v>
      </c>
      <c r="K186" s="550" t="s">
        <v>1325</v>
      </c>
      <c r="L186" s="551" t="s">
        <v>9199</v>
      </c>
      <c r="M186" s="550">
        <v>1</v>
      </c>
      <c r="N186" s="552">
        <v>63</v>
      </c>
      <c r="O186" s="553" t="s">
        <v>4560</v>
      </c>
      <c r="P186" s="1151">
        <v>1000</v>
      </c>
      <c r="Q186" s="550">
        <v>30</v>
      </c>
      <c r="R186" s="237">
        <v>224</v>
      </c>
      <c r="S186" s="302">
        <v>12.444444444444445</v>
      </c>
      <c r="T186" s="1050">
        <v>0.4148148148148148</v>
      </c>
      <c r="U186" s="1051">
        <v>12.444444444444445</v>
      </c>
      <c r="V186" s="1052">
        <v>6.3041570666666656E-3</v>
      </c>
      <c r="W186" s="557">
        <v>1.2319999999999999E-2</v>
      </c>
      <c r="X186" s="558">
        <v>66</v>
      </c>
      <c r="Y186" s="559">
        <v>8</v>
      </c>
      <c r="Z186" s="560">
        <v>1</v>
      </c>
      <c r="AA186" s="550">
        <v>1</v>
      </c>
      <c r="AB186" s="1053">
        <v>68</v>
      </c>
      <c r="AC186" s="1134" t="s">
        <v>8898</v>
      </c>
      <c r="AD186" s="1135" t="s">
        <v>8898</v>
      </c>
      <c r="AE186" s="561">
        <v>68</v>
      </c>
      <c r="AF186" s="1055">
        <v>0</v>
      </c>
      <c r="AG186" s="562">
        <v>60</v>
      </c>
      <c r="AH186" s="563">
        <v>60</v>
      </c>
      <c r="AI186" s="564">
        <v>0</v>
      </c>
      <c r="AJ186" s="1152" t="s">
        <v>9067</v>
      </c>
      <c r="AK186" s="253" t="s">
        <v>1326</v>
      </c>
      <c r="AL186" s="254" t="str">
        <f t="shared" si="5"/>
        <v>HAN045</v>
      </c>
      <c r="AM186" s="255">
        <f t="shared" si="5"/>
        <v>1000</v>
      </c>
      <c r="AN186" s="566" t="s">
        <v>9020</v>
      </c>
      <c r="AO186" s="567">
        <v>1.4</v>
      </c>
      <c r="AP186" s="553">
        <v>439</v>
      </c>
      <c r="AQ186" s="553">
        <v>105</v>
      </c>
      <c r="AR186" s="568">
        <f t="shared" si="6"/>
        <v>0.50658404999999995</v>
      </c>
      <c r="AS186" s="1057">
        <v>952.45787308415902</v>
      </c>
      <c r="AT186" s="553">
        <v>508</v>
      </c>
      <c r="AU186" s="1058">
        <v>0.52454102660172341</v>
      </c>
      <c r="AV186" s="570">
        <v>30</v>
      </c>
      <c r="AW186" s="571">
        <v>1026</v>
      </c>
      <c r="AX186" s="553">
        <v>330</v>
      </c>
      <c r="AY186" s="572">
        <v>500</v>
      </c>
      <c r="AZ186" s="572">
        <v>180</v>
      </c>
      <c r="BA186" s="573">
        <v>2.9700000000000001E-2</v>
      </c>
      <c r="BB186" s="573"/>
      <c r="BC186" s="572">
        <v>60</v>
      </c>
      <c r="BD186" s="1059">
        <v>0.40622336999999992</v>
      </c>
      <c r="BE186" s="574">
        <v>0.40622336999999992</v>
      </c>
      <c r="BF186" s="1060">
        <v>2</v>
      </c>
      <c r="BG186" s="163" t="s">
        <v>8904</v>
      </c>
      <c r="BH186" s="163">
        <v>1</v>
      </c>
      <c r="BK186" s="163">
        <v>0</v>
      </c>
      <c r="BM186" s="163" t="s">
        <v>8905</v>
      </c>
    </row>
    <row r="187" spans="1:65" ht="35.25" customHeight="1" thickBot="1">
      <c r="A187" s="163" t="s">
        <v>9200</v>
      </c>
      <c r="B187" s="163" t="s">
        <v>349</v>
      </c>
      <c r="C187" s="164" t="s">
        <v>6782</v>
      </c>
      <c r="D187" s="1517" t="s">
        <v>6782</v>
      </c>
      <c r="E187" s="437"/>
      <c r="F187" s="228" t="s">
        <v>9201</v>
      </c>
      <c r="G187" s="229"/>
      <c r="H187" s="1119"/>
      <c r="I187" s="231"/>
      <c r="J187" s="1007" t="s">
        <v>349</v>
      </c>
      <c r="K187" s="490" t="s">
        <v>348</v>
      </c>
      <c r="L187" s="758" t="s">
        <v>7923</v>
      </c>
      <c r="M187" s="490">
        <v>3</v>
      </c>
      <c r="N187" s="759">
        <v>60</v>
      </c>
      <c r="O187" s="642" t="s">
        <v>4480</v>
      </c>
      <c r="P187" s="898">
        <v>1000</v>
      </c>
      <c r="Q187" s="490">
        <v>40</v>
      </c>
      <c r="R187" s="237">
        <v>1150</v>
      </c>
      <c r="S187" s="302">
        <v>63.888888888888886</v>
      </c>
      <c r="T187" s="399">
        <v>1.5972222222222221</v>
      </c>
      <c r="U187" s="492">
        <v>21.296296296296294</v>
      </c>
      <c r="V187" s="790">
        <v>1.5290578888888887E-2</v>
      </c>
      <c r="W187" s="900">
        <v>4.74375E-2</v>
      </c>
      <c r="X187" s="392">
        <v>105</v>
      </c>
      <c r="Y187" s="1009">
        <v>4</v>
      </c>
      <c r="Z187" s="1010">
        <v>1</v>
      </c>
      <c r="AA187" s="858">
        <v>0</v>
      </c>
      <c r="AB187" s="310">
        <v>106</v>
      </c>
      <c r="AC187" s="1134" t="s">
        <v>8898</v>
      </c>
      <c r="AD187" s="1135" t="s">
        <v>8898</v>
      </c>
      <c r="AE187" s="762">
        <v>106</v>
      </c>
      <c r="AF187" s="250">
        <v>0</v>
      </c>
      <c r="AG187" s="313">
        <v>100</v>
      </c>
      <c r="AH187" s="638">
        <v>100</v>
      </c>
      <c r="AI187" s="639">
        <v>0</v>
      </c>
      <c r="AJ187" s="894" t="s">
        <v>9049</v>
      </c>
      <c r="AK187" s="253" t="s">
        <v>349</v>
      </c>
      <c r="AL187" s="254" t="str">
        <f t="shared" si="5"/>
        <v>HAN105</v>
      </c>
      <c r="AM187" s="255">
        <f t="shared" si="5"/>
        <v>1000</v>
      </c>
      <c r="AN187" s="534" t="s">
        <v>8982</v>
      </c>
      <c r="AO187" s="535">
        <v>1</v>
      </c>
      <c r="AP187" s="536">
        <v>412</v>
      </c>
      <c r="AQ187" s="536">
        <v>222</v>
      </c>
      <c r="AR187" s="643">
        <f t="shared" si="6"/>
        <v>0.23933079999999998</v>
      </c>
      <c r="AS187" s="644">
        <v>1015.2912788714286</v>
      </c>
      <c r="AT187" s="642">
        <v>508</v>
      </c>
      <c r="AU187" s="645">
        <v>0.70441009619228678</v>
      </c>
      <c r="AV187" s="646">
        <v>40</v>
      </c>
      <c r="AW187" s="647">
        <v>1026</v>
      </c>
      <c r="AX187" s="642">
        <v>330</v>
      </c>
      <c r="AY187" s="648">
        <v>500</v>
      </c>
      <c r="AZ187" s="648">
        <v>180</v>
      </c>
      <c r="BA187" s="649">
        <v>2.9700000000000001E-2</v>
      </c>
      <c r="BB187" s="649"/>
      <c r="BC187" s="264">
        <v>60</v>
      </c>
      <c r="BD187" s="650">
        <v>0.84</v>
      </c>
      <c r="BE187" s="651">
        <v>0.84</v>
      </c>
      <c r="BF187" s="642">
        <v>1</v>
      </c>
      <c r="BG187" s="163" t="s">
        <v>8953</v>
      </c>
      <c r="BH187" s="163">
        <v>2</v>
      </c>
      <c r="BK187" s="163">
        <v>0</v>
      </c>
      <c r="BM187" s="163" t="s">
        <v>8905</v>
      </c>
    </row>
    <row r="188" spans="1:65" ht="35.25" customHeight="1">
      <c r="A188" s="163" t="s">
        <v>9202</v>
      </c>
      <c r="B188" s="163" t="s">
        <v>2739</v>
      </c>
      <c r="C188" s="164" t="s">
        <v>6782</v>
      </c>
      <c r="D188" s="1497"/>
      <c r="E188" s="1120"/>
      <c r="F188" s="228" t="s">
        <v>9203</v>
      </c>
      <c r="G188" s="229"/>
      <c r="H188" s="270"/>
      <c r="I188" s="271"/>
      <c r="J188" s="1007" t="s">
        <v>2739</v>
      </c>
      <c r="K188" s="490" t="s">
        <v>2738</v>
      </c>
      <c r="L188" s="758" t="s">
        <v>6077</v>
      </c>
      <c r="M188" s="490">
        <v>1</v>
      </c>
      <c r="N188" s="759">
        <v>60</v>
      </c>
      <c r="O188" s="642" t="s">
        <v>4514</v>
      </c>
      <c r="P188" s="898">
        <v>3000</v>
      </c>
      <c r="Q188" s="490">
        <v>20</v>
      </c>
      <c r="R188" s="237">
        <v>10233</v>
      </c>
      <c r="S188" s="302">
        <v>568.5</v>
      </c>
      <c r="T188" s="399">
        <v>28.425000000000001</v>
      </c>
      <c r="U188" s="492">
        <v>568.5</v>
      </c>
      <c r="V188" s="790">
        <v>0.14916033530999998</v>
      </c>
      <c r="W188" s="900">
        <v>1.199535</v>
      </c>
      <c r="X188" s="392">
        <v>191</v>
      </c>
      <c r="Y188" s="760">
        <v>4</v>
      </c>
      <c r="Z188" s="489">
        <v>8</v>
      </c>
      <c r="AA188" s="787">
        <v>7</v>
      </c>
      <c r="AB188" s="310">
        <v>206</v>
      </c>
      <c r="AC188" s="1091" t="s">
        <v>8898</v>
      </c>
      <c r="AD188" s="1090" t="s">
        <v>8898</v>
      </c>
      <c r="AE188" s="762">
        <v>203</v>
      </c>
      <c r="AF188" s="250">
        <v>3</v>
      </c>
      <c r="AG188" s="313">
        <v>190</v>
      </c>
      <c r="AH188" s="638">
        <v>190</v>
      </c>
      <c r="AI188" s="639">
        <v>0</v>
      </c>
      <c r="AJ188" s="1005"/>
      <c r="AK188" s="253" t="s">
        <v>2739</v>
      </c>
      <c r="AL188" s="254" t="str">
        <f t="shared" si="5"/>
        <v>HAN100</v>
      </c>
      <c r="AM188" s="255">
        <f t="shared" si="5"/>
        <v>3000</v>
      </c>
      <c r="AN188" s="640" t="s">
        <v>8968</v>
      </c>
      <c r="AO188" s="641">
        <v>1.2</v>
      </c>
      <c r="AP188" s="642">
        <v>519</v>
      </c>
      <c r="AQ188" s="642">
        <v>161</v>
      </c>
      <c r="AR188" s="643">
        <f t="shared" si="6"/>
        <v>0.78712577999999989</v>
      </c>
      <c r="AS188" s="644">
        <v>1015.2912788714286</v>
      </c>
      <c r="AT188" s="642">
        <v>508</v>
      </c>
      <c r="AU188" s="645">
        <v>0.70441009619228678</v>
      </c>
      <c r="AV188" s="646">
        <v>20</v>
      </c>
      <c r="AW188" s="647">
        <v>2546</v>
      </c>
      <c r="AX188" s="642">
        <v>370</v>
      </c>
      <c r="AY188" s="648">
        <v>570</v>
      </c>
      <c r="AZ188" s="648">
        <v>200</v>
      </c>
      <c r="BA188" s="649">
        <v>4.2200000000000001E-2</v>
      </c>
      <c r="BB188" s="649"/>
      <c r="BC188" s="264">
        <v>60</v>
      </c>
      <c r="BD188" s="650">
        <v>0.84</v>
      </c>
      <c r="BE188" s="651">
        <v>0.84</v>
      </c>
      <c r="BF188" s="642">
        <v>2</v>
      </c>
      <c r="BG188" s="163" t="s">
        <v>8953</v>
      </c>
      <c r="BH188" s="163">
        <v>2</v>
      </c>
      <c r="BK188" s="163">
        <v>0</v>
      </c>
      <c r="BM188" s="163" t="s">
        <v>8905</v>
      </c>
    </row>
    <row r="189" spans="1:65" ht="35.25" customHeight="1">
      <c r="A189" s="163" t="s">
        <v>9204</v>
      </c>
      <c r="B189" s="163" t="s">
        <v>2789</v>
      </c>
      <c r="C189" s="164" t="s">
        <v>6782</v>
      </c>
      <c r="D189" s="1497"/>
      <c r="E189" s="1120"/>
      <c r="F189" s="228" t="s">
        <v>9205</v>
      </c>
      <c r="G189" s="229"/>
      <c r="H189" s="270"/>
      <c r="I189" s="271"/>
      <c r="J189" s="1007" t="s">
        <v>2789</v>
      </c>
      <c r="K189" s="1100" t="s">
        <v>2788</v>
      </c>
      <c r="L189" s="1101" t="s">
        <v>6098</v>
      </c>
      <c r="M189" s="1100">
        <v>1</v>
      </c>
      <c r="N189" s="759">
        <v>60</v>
      </c>
      <c r="O189" s="642" t="s">
        <v>4514</v>
      </c>
      <c r="P189" s="898">
        <v>3000</v>
      </c>
      <c r="Q189" s="1100">
        <v>20</v>
      </c>
      <c r="R189" s="237">
        <v>10233</v>
      </c>
      <c r="S189" s="302">
        <v>568.5</v>
      </c>
      <c r="T189" s="838">
        <v>28.425000000000001</v>
      </c>
      <c r="U189" s="1103">
        <v>568.5</v>
      </c>
      <c r="V189" s="790">
        <v>0.14916033530999998</v>
      </c>
      <c r="W189" s="1104">
        <v>1.199535</v>
      </c>
      <c r="X189" s="1121">
        <v>191</v>
      </c>
      <c r="Y189" s="760">
        <v>4</v>
      </c>
      <c r="Z189" s="1105">
        <v>8</v>
      </c>
      <c r="AA189" s="787">
        <v>7</v>
      </c>
      <c r="AB189" s="310">
        <v>206</v>
      </c>
      <c r="AC189" s="1091" t="s">
        <v>8898</v>
      </c>
      <c r="AD189" s="1106" t="s">
        <v>8898</v>
      </c>
      <c r="AE189" s="1107">
        <v>203</v>
      </c>
      <c r="AF189" s="250">
        <v>3</v>
      </c>
      <c r="AG189" s="313">
        <v>190</v>
      </c>
      <c r="AH189" s="1108">
        <v>190</v>
      </c>
      <c r="AI189" s="1109">
        <v>0</v>
      </c>
      <c r="AJ189" s="1153"/>
      <c r="AK189" s="253" t="s">
        <v>2789</v>
      </c>
      <c r="AL189" s="254" t="str">
        <f t="shared" si="5"/>
        <v>HAN100</v>
      </c>
      <c r="AM189" s="255">
        <f t="shared" si="5"/>
        <v>3000</v>
      </c>
      <c r="AN189" s="981" t="s">
        <v>8968</v>
      </c>
      <c r="AO189" s="982">
        <v>1.2</v>
      </c>
      <c r="AP189" s="983">
        <v>519</v>
      </c>
      <c r="AQ189" s="983">
        <v>161</v>
      </c>
      <c r="AR189" s="984">
        <f t="shared" si="6"/>
        <v>0.78712577999999989</v>
      </c>
      <c r="AS189" s="985">
        <v>1136.5218143066611</v>
      </c>
      <c r="AT189" s="983">
        <v>508</v>
      </c>
      <c r="AU189" s="1110">
        <v>0.7441760422845628</v>
      </c>
      <c r="AV189" s="893">
        <v>20</v>
      </c>
      <c r="AW189" s="987">
        <v>2546</v>
      </c>
      <c r="AX189" s="983">
        <v>370</v>
      </c>
      <c r="AY189" s="686">
        <v>570</v>
      </c>
      <c r="AZ189" s="686">
        <v>200</v>
      </c>
      <c r="BA189" s="988">
        <v>4.2200000000000001E-2</v>
      </c>
      <c r="BB189" s="988"/>
      <c r="BC189" s="686">
        <v>60</v>
      </c>
      <c r="BD189" s="1111">
        <v>0.66</v>
      </c>
      <c r="BE189" s="989">
        <v>0.66</v>
      </c>
      <c r="BF189" s="983">
        <v>2</v>
      </c>
      <c r="BG189" s="163" t="s">
        <v>8953</v>
      </c>
      <c r="BH189" s="163">
        <v>2</v>
      </c>
      <c r="BK189" s="163">
        <v>0</v>
      </c>
      <c r="BM189" s="163" t="s">
        <v>8905</v>
      </c>
    </row>
    <row r="190" spans="1:65" ht="35.25" customHeight="1" thickBot="1">
      <c r="A190" s="163" t="s">
        <v>9206</v>
      </c>
      <c r="B190" s="163" t="s">
        <v>2741</v>
      </c>
      <c r="C190" s="164" t="s">
        <v>6782</v>
      </c>
      <c r="D190" s="1497"/>
      <c r="E190" s="1112"/>
      <c r="F190" s="228" t="s">
        <v>9207</v>
      </c>
      <c r="G190" s="1123"/>
      <c r="H190" s="1124"/>
      <c r="I190" s="1098"/>
      <c r="J190" s="1007" t="s">
        <v>2741</v>
      </c>
      <c r="K190" s="787" t="s">
        <v>2740</v>
      </c>
      <c r="L190" s="788" t="s">
        <v>4826</v>
      </c>
      <c r="M190" s="787">
        <v>1</v>
      </c>
      <c r="N190" s="759">
        <v>54</v>
      </c>
      <c r="O190" s="642" t="s">
        <v>4520</v>
      </c>
      <c r="P190" s="898">
        <v>3000</v>
      </c>
      <c r="Q190" s="787">
        <v>12</v>
      </c>
      <c r="R190" s="237">
        <v>19825</v>
      </c>
      <c r="S190" s="302">
        <v>1101.3888888888889</v>
      </c>
      <c r="T190" s="399">
        <v>91.782407407407405</v>
      </c>
      <c r="U190" s="492">
        <v>1101.3888888888889</v>
      </c>
      <c r="V190" s="1113">
        <v>0.4018615611111111</v>
      </c>
      <c r="W190" s="791">
        <v>3.8732175925925927</v>
      </c>
      <c r="X190" s="841">
        <v>229</v>
      </c>
      <c r="Y190" s="488">
        <v>4</v>
      </c>
      <c r="Z190" s="489">
        <v>23</v>
      </c>
      <c r="AA190" s="787">
        <v>23</v>
      </c>
      <c r="AB190" s="842">
        <v>275</v>
      </c>
      <c r="AC190" s="897">
        <v>8.8000000000000007</v>
      </c>
      <c r="AD190" s="843">
        <v>50</v>
      </c>
      <c r="AE190" s="689">
        <v>265</v>
      </c>
      <c r="AF190" s="844">
        <v>10</v>
      </c>
      <c r="AG190" s="845">
        <v>220</v>
      </c>
      <c r="AH190" s="531">
        <v>220</v>
      </c>
      <c r="AI190" s="532">
        <v>0</v>
      </c>
      <c r="AJ190" s="1005"/>
      <c r="AK190" s="253" t="s">
        <v>2741</v>
      </c>
      <c r="AL190" s="254" t="str">
        <f t="shared" si="5"/>
        <v>HAN101</v>
      </c>
      <c r="AM190" s="255">
        <f t="shared" si="5"/>
        <v>3000</v>
      </c>
      <c r="AN190" s="566" t="s">
        <v>8968</v>
      </c>
      <c r="AO190" s="567">
        <v>1.2</v>
      </c>
      <c r="AP190" s="553">
        <v>581</v>
      </c>
      <c r="AQ190" s="553">
        <v>200</v>
      </c>
      <c r="AR190" s="568">
        <f t="shared" si="6"/>
        <v>1.0946039999999999</v>
      </c>
      <c r="AS190" s="1057">
        <v>952.45787308415902</v>
      </c>
      <c r="AT190" s="553">
        <v>508</v>
      </c>
      <c r="AU190" s="1058">
        <v>0.52454102660172341</v>
      </c>
      <c r="AV190" s="570">
        <v>12</v>
      </c>
      <c r="AW190" s="571">
        <v>2546</v>
      </c>
      <c r="AX190" s="553">
        <v>370</v>
      </c>
      <c r="AY190" s="572">
        <v>570</v>
      </c>
      <c r="AZ190" s="572">
        <v>200</v>
      </c>
      <c r="BA190" s="573">
        <v>4.2200000000000001E-2</v>
      </c>
      <c r="BB190" s="573"/>
      <c r="BC190" s="572">
        <v>60</v>
      </c>
      <c r="BD190" s="1059">
        <v>0.66</v>
      </c>
      <c r="BE190" s="574">
        <v>0.66</v>
      </c>
      <c r="BF190" s="1060">
        <v>3</v>
      </c>
      <c r="BG190" s="163" t="s">
        <v>8953</v>
      </c>
      <c r="BH190" s="163">
        <v>2</v>
      </c>
      <c r="BK190" s="163">
        <v>0</v>
      </c>
      <c r="BM190" s="163" t="s">
        <v>8905</v>
      </c>
    </row>
    <row r="191" spans="1:65" ht="35.25" customHeight="1">
      <c r="A191" s="163" t="s">
        <v>9208</v>
      </c>
      <c r="B191" s="163" t="s">
        <v>2791</v>
      </c>
      <c r="C191" s="164" t="s">
        <v>6782</v>
      </c>
      <c r="D191" s="1497"/>
      <c r="E191" s="1125"/>
      <c r="F191" s="228" t="s">
        <v>9209</v>
      </c>
      <c r="G191" s="229"/>
      <c r="H191" s="1115"/>
      <c r="I191" s="1098"/>
      <c r="J191" s="1007" t="s">
        <v>2791</v>
      </c>
      <c r="K191" s="858" t="s">
        <v>2790</v>
      </c>
      <c r="L191" s="946" t="s">
        <v>4824</v>
      </c>
      <c r="M191" s="858">
        <v>1</v>
      </c>
      <c r="N191" s="759">
        <v>54</v>
      </c>
      <c r="O191" s="642" t="s">
        <v>4520</v>
      </c>
      <c r="P191" s="898">
        <v>3000</v>
      </c>
      <c r="Q191" s="858">
        <v>12</v>
      </c>
      <c r="R191" s="237">
        <v>19825</v>
      </c>
      <c r="S191" s="302">
        <v>1101.3888888888889</v>
      </c>
      <c r="T191" s="838">
        <v>91.782407407407405</v>
      </c>
      <c r="U191" s="1103">
        <v>1101.3888888888889</v>
      </c>
      <c r="V191" s="1113">
        <v>0.4018615611111111</v>
      </c>
      <c r="W191" s="1154">
        <v>3.8732175925925927</v>
      </c>
      <c r="X191" s="841">
        <v>229</v>
      </c>
      <c r="Y191" s="488">
        <v>4</v>
      </c>
      <c r="Z191" s="489">
        <v>23</v>
      </c>
      <c r="AA191" s="787">
        <v>23</v>
      </c>
      <c r="AB191" s="842">
        <v>275</v>
      </c>
      <c r="AC191" s="897">
        <v>12.3</v>
      </c>
      <c r="AD191" s="843">
        <v>70</v>
      </c>
      <c r="AE191" s="689">
        <v>265</v>
      </c>
      <c r="AF191" s="250">
        <v>10</v>
      </c>
      <c r="AG191" s="313">
        <v>220</v>
      </c>
      <c r="AH191" s="531">
        <v>220</v>
      </c>
      <c r="AI191" s="532">
        <v>0</v>
      </c>
      <c r="AJ191" s="1153"/>
      <c r="AK191" s="253" t="s">
        <v>2791</v>
      </c>
      <c r="AL191" s="254" t="str">
        <f t="shared" si="5"/>
        <v>HAN101</v>
      </c>
      <c r="AM191" s="255">
        <f t="shared" si="5"/>
        <v>3000</v>
      </c>
      <c r="AN191" s="618" t="s">
        <v>8968</v>
      </c>
      <c r="AO191" s="619">
        <v>1.2</v>
      </c>
      <c r="AP191" s="620">
        <v>581</v>
      </c>
      <c r="AQ191" s="620">
        <v>200</v>
      </c>
      <c r="AR191" s="621">
        <f t="shared" si="6"/>
        <v>1.0946039999999999</v>
      </c>
      <c r="AS191" s="622">
        <v>863.07473604549455</v>
      </c>
      <c r="AT191" s="620">
        <v>508</v>
      </c>
      <c r="AU191" s="623">
        <v>0.67736832220832255</v>
      </c>
      <c r="AV191" s="624">
        <v>12</v>
      </c>
      <c r="AW191" s="625">
        <v>2546</v>
      </c>
      <c r="AX191" s="620">
        <v>370</v>
      </c>
      <c r="AY191" s="626">
        <v>570</v>
      </c>
      <c r="AZ191" s="626">
        <v>200</v>
      </c>
      <c r="BA191" s="627">
        <v>4.2200000000000001E-2</v>
      </c>
      <c r="BB191" s="627"/>
      <c r="BC191" s="325">
        <v>70</v>
      </c>
      <c r="BD191" s="628">
        <v>0.57999999999999996</v>
      </c>
      <c r="BE191" s="629">
        <v>0.57999999999999996</v>
      </c>
      <c r="BF191" s="1028">
        <v>1</v>
      </c>
      <c r="BG191" s="163" t="s">
        <v>8953</v>
      </c>
      <c r="BH191" s="163">
        <v>2</v>
      </c>
      <c r="BK191" s="163">
        <v>0</v>
      </c>
      <c r="BM191" s="163" t="s">
        <v>8905</v>
      </c>
    </row>
    <row r="192" spans="1:65" ht="35.25" customHeight="1">
      <c r="A192" s="163" t="s">
        <v>9210</v>
      </c>
      <c r="B192" s="163" t="s">
        <v>337</v>
      </c>
      <c r="C192" s="164" t="s">
        <v>6782</v>
      </c>
      <c r="D192" s="1497"/>
      <c r="E192" s="755"/>
      <c r="F192" s="228" t="s">
        <v>9211</v>
      </c>
      <c r="G192" s="1073"/>
      <c r="H192" s="1043"/>
      <c r="I192" s="1098"/>
      <c r="J192" s="1007" t="s">
        <v>337</v>
      </c>
      <c r="K192" s="858" t="s">
        <v>336</v>
      </c>
      <c r="L192" s="946" t="s">
        <v>6058</v>
      </c>
      <c r="M192" s="858">
        <v>1</v>
      </c>
      <c r="N192" s="759">
        <v>43</v>
      </c>
      <c r="O192" s="642" t="s">
        <v>4488</v>
      </c>
      <c r="P192" s="898">
        <v>3000</v>
      </c>
      <c r="Q192" s="858">
        <v>15</v>
      </c>
      <c r="R192" s="237">
        <v>37706</v>
      </c>
      <c r="S192" s="302">
        <v>2094.7777777777778</v>
      </c>
      <c r="T192" s="399">
        <v>139.65185185185186</v>
      </c>
      <c r="U192" s="400">
        <v>2094.7777777777778</v>
      </c>
      <c r="V192" s="401">
        <v>0.41036015863888892</v>
      </c>
      <c r="W192" s="402">
        <v>4.1476600000000001</v>
      </c>
      <c r="X192" s="392">
        <v>341</v>
      </c>
      <c r="Y192" s="1009">
        <v>4</v>
      </c>
      <c r="Z192" s="1010">
        <v>35</v>
      </c>
      <c r="AA192" s="858">
        <v>35</v>
      </c>
      <c r="AB192" s="310">
        <v>411</v>
      </c>
      <c r="AC192" s="897">
        <v>8.6</v>
      </c>
      <c r="AD192" s="843">
        <v>75</v>
      </c>
      <c r="AE192" s="952">
        <v>396</v>
      </c>
      <c r="AF192" s="250">
        <v>15</v>
      </c>
      <c r="AG192" s="313">
        <v>340</v>
      </c>
      <c r="AH192" s="584">
        <v>340</v>
      </c>
      <c r="AI192" s="585">
        <v>0</v>
      </c>
      <c r="AJ192" s="894"/>
      <c r="AK192" s="253" t="s">
        <v>337</v>
      </c>
      <c r="AL192" s="254" t="str">
        <f t="shared" si="5"/>
        <v>HAN102</v>
      </c>
      <c r="AM192" s="255">
        <f t="shared" si="5"/>
        <v>3000</v>
      </c>
      <c r="AN192" s="640" t="s">
        <v>8982</v>
      </c>
      <c r="AO192" s="641">
        <v>1</v>
      </c>
      <c r="AP192" s="642">
        <v>465</v>
      </c>
      <c r="AQ192" s="642">
        <v>161</v>
      </c>
      <c r="AR192" s="643">
        <f t="shared" si="6"/>
        <v>0.58769024999999997</v>
      </c>
      <c r="AS192" s="644">
        <v>863.07473604549455</v>
      </c>
      <c r="AT192" s="642">
        <v>508</v>
      </c>
      <c r="AU192" s="645">
        <v>0.67736832220832255</v>
      </c>
      <c r="AV192" s="646">
        <v>15</v>
      </c>
      <c r="AW192" s="647">
        <v>2546</v>
      </c>
      <c r="AX192" s="642">
        <v>330</v>
      </c>
      <c r="AY192" s="648">
        <v>500</v>
      </c>
      <c r="AZ192" s="648">
        <v>180</v>
      </c>
      <c r="BA192" s="649">
        <v>2.9700000000000001E-2</v>
      </c>
      <c r="BB192" s="649"/>
      <c r="BC192" s="264">
        <v>70</v>
      </c>
      <c r="BD192" s="650">
        <v>0.57999999999999996</v>
      </c>
      <c r="BE192" s="651">
        <v>0.57999999999999996</v>
      </c>
      <c r="BF192" s="1030">
        <v>1</v>
      </c>
      <c r="BG192" s="163" t="s">
        <v>8904</v>
      </c>
      <c r="BH192" s="163">
        <v>1</v>
      </c>
      <c r="BK192" s="163">
        <v>0</v>
      </c>
      <c r="BM192" s="163" t="s">
        <v>8905</v>
      </c>
    </row>
    <row r="193" spans="1:65" ht="35.25" customHeight="1">
      <c r="A193" s="163" t="s">
        <v>9212</v>
      </c>
      <c r="B193" s="163" t="s">
        <v>307</v>
      </c>
      <c r="C193" s="164" t="s">
        <v>6782</v>
      </c>
      <c r="D193" s="1497"/>
      <c r="E193" s="1006"/>
      <c r="F193" s="228" t="s">
        <v>9213</v>
      </c>
      <c r="G193" s="424"/>
      <c r="H193" s="271"/>
      <c r="I193" s="1098"/>
      <c r="J193" s="1007" t="s">
        <v>307</v>
      </c>
      <c r="K193" s="787" t="s">
        <v>306</v>
      </c>
      <c r="L193" s="788" t="s">
        <v>5938</v>
      </c>
      <c r="M193" s="787">
        <v>1</v>
      </c>
      <c r="N193" s="759">
        <v>55</v>
      </c>
      <c r="O193" s="1155" t="s">
        <v>4314</v>
      </c>
      <c r="P193" s="898">
        <v>2000</v>
      </c>
      <c r="Q193" s="787">
        <v>20</v>
      </c>
      <c r="R193" s="237">
        <v>42616</v>
      </c>
      <c r="S193" s="302">
        <v>2367.5555555555557</v>
      </c>
      <c r="T193" s="399">
        <v>118.37777777777778</v>
      </c>
      <c r="U193" s="492">
        <v>2367.5555555555557</v>
      </c>
      <c r="V193" s="790">
        <v>0.79693814044444455</v>
      </c>
      <c r="W193" s="791">
        <v>2.4504199999999998</v>
      </c>
      <c r="X193" s="392">
        <v>149</v>
      </c>
      <c r="Y193" s="760">
        <v>4</v>
      </c>
      <c r="Z193" s="489">
        <v>30</v>
      </c>
      <c r="AA193" s="787">
        <v>30</v>
      </c>
      <c r="AB193" s="310">
        <v>209</v>
      </c>
      <c r="AC193" s="897">
        <v>8.1999999999999993</v>
      </c>
      <c r="AD193" s="843">
        <v>60</v>
      </c>
      <c r="AE193" s="689">
        <v>196</v>
      </c>
      <c r="AF193" s="250">
        <v>13</v>
      </c>
      <c r="AG193" s="313">
        <v>140</v>
      </c>
      <c r="AH193" s="531">
        <v>140</v>
      </c>
      <c r="AI193" s="532">
        <v>0</v>
      </c>
      <c r="AJ193" s="894"/>
      <c r="AK193" s="253" t="s">
        <v>307</v>
      </c>
      <c r="AL193" s="254" t="str">
        <f t="shared" si="5"/>
        <v>MSA001</v>
      </c>
      <c r="AM193" s="255">
        <f t="shared" si="5"/>
        <v>2000</v>
      </c>
      <c r="AN193" s="534" t="s">
        <v>9214</v>
      </c>
      <c r="AO193" s="535">
        <v>1</v>
      </c>
      <c r="AP193" s="536">
        <v>670</v>
      </c>
      <c r="AQ193" s="536">
        <v>128</v>
      </c>
      <c r="AR193" s="537">
        <f t="shared" si="6"/>
        <v>0.67321600000000004</v>
      </c>
      <c r="AS193" s="538">
        <v>1123.3189410398852</v>
      </c>
      <c r="AT193" s="536">
        <v>508</v>
      </c>
      <c r="AU193" s="539">
        <v>0.68318703257921964</v>
      </c>
      <c r="AV193" s="521">
        <v>20</v>
      </c>
      <c r="AW193" s="540" t="s">
        <v>9134</v>
      </c>
      <c r="AX193" s="536">
        <v>300</v>
      </c>
      <c r="AY193" s="290">
        <v>670</v>
      </c>
      <c r="AZ193" s="290">
        <v>103</v>
      </c>
      <c r="BA193" s="541">
        <v>2.07E-2</v>
      </c>
      <c r="BB193" s="541"/>
      <c r="BC193" s="290">
        <v>70</v>
      </c>
      <c r="BD193" s="542">
        <v>0.7</v>
      </c>
      <c r="BE193" s="543">
        <v>0.7</v>
      </c>
      <c r="BF193" s="1026">
        <v>1</v>
      </c>
      <c r="BG193" s="163" t="s">
        <v>8904</v>
      </c>
      <c r="BH193" s="163">
        <v>1</v>
      </c>
      <c r="BK193" s="163">
        <v>0</v>
      </c>
      <c r="BM193" s="163" t="s">
        <v>8905</v>
      </c>
    </row>
    <row r="194" spans="1:65" ht="35.25" customHeight="1">
      <c r="A194" s="163" t="s">
        <v>9215</v>
      </c>
      <c r="B194" s="163" t="s">
        <v>331</v>
      </c>
      <c r="C194" s="164" t="s">
        <v>6782</v>
      </c>
      <c r="D194" s="1497"/>
      <c r="E194" s="437"/>
      <c r="F194" s="228" t="s">
        <v>9216</v>
      </c>
      <c r="G194" s="422"/>
      <c r="H194" s="231"/>
      <c r="I194" s="1098"/>
      <c r="J194" s="1007" t="s">
        <v>331</v>
      </c>
      <c r="K194" s="490" t="s">
        <v>330</v>
      </c>
      <c r="L194" s="758" t="s">
        <v>5697</v>
      </c>
      <c r="M194" s="490">
        <v>1</v>
      </c>
      <c r="N194" s="759">
        <v>55</v>
      </c>
      <c r="O194" s="1155" t="s">
        <v>4314</v>
      </c>
      <c r="P194" s="898">
        <v>2000</v>
      </c>
      <c r="Q194" s="490">
        <v>20</v>
      </c>
      <c r="R194" s="237">
        <v>42616</v>
      </c>
      <c r="S194" s="302">
        <v>2367.5555555555557</v>
      </c>
      <c r="T194" s="399">
        <v>118.37777777777778</v>
      </c>
      <c r="U194" s="492">
        <v>2367.5555555555557</v>
      </c>
      <c r="V194" s="790">
        <v>0.79693814044444455</v>
      </c>
      <c r="W194" s="900">
        <v>2.4504199999999998</v>
      </c>
      <c r="X194" s="392">
        <v>149</v>
      </c>
      <c r="Y194" s="760">
        <v>4</v>
      </c>
      <c r="Z194" s="489">
        <v>30</v>
      </c>
      <c r="AA194" s="787">
        <v>30</v>
      </c>
      <c r="AB194" s="310">
        <v>209</v>
      </c>
      <c r="AC194" s="897">
        <v>4.0999999999999996</v>
      </c>
      <c r="AD194" s="843">
        <v>30</v>
      </c>
      <c r="AE194" s="762">
        <v>196</v>
      </c>
      <c r="AF194" s="250">
        <v>13</v>
      </c>
      <c r="AG194" s="313">
        <v>140</v>
      </c>
      <c r="AH194" s="638">
        <v>140</v>
      </c>
      <c r="AI194" s="639">
        <v>0</v>
      </c>
      <c r="AJ194" s="894"/>
      <c r="AK194" s="253" t="s">
        <v>331</v>
      </c>
      <c r="AL194" s="254" t="str">
        <f t="shared" si="5"/>
        <v>MSA001</v>
      </c>
      <c r="AM194" s="255">
        <f t="shared" si="5"/>
        <v>2000</v>
      </c>
      <c r="AN194" s="534" t="s">
        <v>9214</v>
      </c>
      <c r="AO194" s="535">
        <v>1</v>
      </c>
      <c r="AP194" s="536">
        <v>670</v>
      </c>
      <c r="AQ194" s="536">
        <v>128</v>
      </c>
      <c r="AR194" s="643">
        <f t="shared" si="6"/>
        <v>0.67321600000000004</v>
      </c>
      <c r="AS194" s="644">
        <v>1015.2912788714286</v>
      </c>
      <c r="AT194" s="642">
        <v>508</v>
      </c>
      <c r="AU194" s="645">
        <v>0.70441009619228678</v>
      </c>
      <c r="AV194" s="646">
        <v>20</v>
      </c>
      <c r="AW194" s="647" t="s">
        <v>9134</v>
      </c>
      <c r="AX194" s="642">
        <v>300</v>
      </c>
      <c r="AY194" s="648">
        <v>670</v>
      </c>
      <c r="AZ194" s="648">
        <v>103</v>
      </c>
      <c r="BA194" s="649">
        <v>2.07E-2</v>
      </c>
      <c r="BB194" s="649"/>
      <c r="BC194" s="264">
        <v>70</v>
      </c>
      <c r="BD194" s="650">
        <v>0.7</v>
      </c>
      <c r="BE194" s="651">
        <v>0.7</v>
      </c>
      <c r="BF194" s="642">
        <v>1</v>
      </c>
      <c r="BG194" s="163" t="s">
        <v>8904</v>
      </c>
      <c r="BH194" s="163">
        <v>1</v>
      </c>
      <c r="BK194" s="163">
        <v>0</v>
      </c>
      <c r="BM194" s="163" t="s">
        <v>8905</v>
      </c>
    </row>
    <row r="195" spans="1:65" ht="35.25" customHeight="1" thickBot="1">
      <c r="A195" s="163" t="s">
        <v>9217</v>
      </c>
      <c r="B195" s="163" t="s">
        <v>1396</v>
      </c>
      <c r="C195" s="164" t="s">
        <v>6782</v>
      </c>
      <c r="D195" s="1498"/>
      <c r="E195" s="1128"/>
      <c r="F195" s="546" t="s">
        <v>9218</v>
      </c>
      <c r="G195" s="1129"/>
      <c r="H195" s="1130"/>
      <c r="I195" s="1131"/>
      <c r="J195" s="1047" t="s">
        <v>1396</v>
      </c>
      <c r="K195" s="550" t="s">
        <v>1395</v>
      </c>
      <c r="L195" s="551" t="s">
        <v>9219</v>
      </c>
      <c r="M195" s="550">
        <v>1</v>
      </c>
      <c r="N195" s="1156">
        <v>70</v>
      </c>
      <c r="O195" s="553" t="s">
        <v>4566</v>
      </c>
      <c r="P195" s="1151">
        <v>1000</v>
      </c>
      <c r="Q195" s="550">
        <v>25</v>
      </c>
      <c r="R195" s="1157">
        <v>2300</v>
      </c>
      <c r="S195" s="1049">
        <v>127.77777777777777</v>
      </c>
      <c r="T195" s="554">
        <v>5.1111111111111107</v>
      </c>
      <c r="U195" s="555">
        <v>127.77777777777777</v>
      </c>
      <c r="V195" s="1052">
        <v>8.2577150444444428E-2</v>
      </c>
      <c r="W195" s="557">
        <v>0.21568888888888887</v>
      </c>
      <c r="X195" s="558">
        <v>62</v>
      </c>
      <c r="Y195" s="559">
        <v>4</v>
      </c>
      <c r="Z195" s="1133">
        <v>2</v>
      </c>
      <c r="AA195" s="550">
        <v>1</v>
      </c>
      <c r="AB195" s="1053">
        <v>65</v>
      </c>
      <c r="AC195" s="1158"/>
      <c r="AD195" s="1159"/>
      <c r="AE195" s="561">
        <v>64</v>
      </c>
      <c r="AF195" s="1055">
        <v>1</v>
      </c>
      <c r="AG195" s="562">
        <v>60</v>
      </c>
      <c r="AH195" s="563">
        <v>60</v>
      </c>
      <c r="AI195" s="564">
        <v>0</v>
      </c>
      <c r="AJ195" s="1160"/>
      <c r="AK195" s="253" t="s">
        <v>1396</v>
      </c>
      <c r="AL195" s="254" t="str">
        <f t="shared" si="5"/>
        <v>HAN104</v>
      </c>
      <c r="AM195" s="255">
        <f t="shared" si="5"/>
        <v>1000</v>
      </c>
      <c r="AN195" s="566" t="s">
        <v>9220</v>
      </c>
      <c r="AO195" s="567">
        <v>1.4</v>
      </c>
      <c r="AP195" s="553">
        <v>482</v>
      </c>
      <c r="AQ195" s="553">
        <v>122</v>
      </c>
      <c r="AR195" s="568">
        <f t="shared" si="6"/>
        <v>0.64625595999999985</v>
      </c>
      <c r="AS195" s="1057">
        <v>952.45787308415902</v>
      </c>
      <c r="AT195" s="553">
        <v>508</v>
      </c>
      <c r="AU195" s="1058">
        <v>0.52454102660172341</v>
      </c>
      <c r="AV195" s="570">
        <v>25</v>
      </c>
      <c r="AW195" s="571">
        <v>2546</v>
      </c>
      <c r="AX195" s="553">
        <v>370</v>
      </c>
      <c r="AY195" s="572">
        <v>570</v>
      </c>
      <c r="AZ195" s="572">
        <v>200</v>
      </c>
      <c r="BA195" s="573">
        <v>4.2200000000000001E-2</v>
      </c>
      <c r="BB195" s="573"/>
      <c r="BC195" s="572">
        <v>70</v>
      </c>
      <c r="BD195" s="1059">
        <v>0.11700000000000001</v>
      </c>
      <c r="BE195" s="574">
        <v>0.11700000000000001</v>
      </c>
      <c r="BF195" s="1060">
        <v>3</v>
      </c>
      <c r="BG195" s="163" t="s">
        <v>8932</v>
      </c>
      <c r="BH195" s="163">
        <v>3</v>
      </c>
      <c r="BK195" s="163">
        <v>0</v>
      </c>
      <c r="BM195" s="163" t="s">
        <v>8905</v>
      </c>
    </row>
    <row r="196" spans="1:65" ht="35.25" customHeight="1" thickBot="1">
      <c r="A196" s="163" t="s">
        <v>9221</v>
      </c>
      <c r="B196" s="163" t="s">
        <v>2823</v>
      </c>
      <c r="D196" s="1161"/>
      <c r="E196" s="1541" t="s">
        <v>6768</v>
      </c>
      <c r="F196" s="231"/>
      <c r="G196" s="1043"/>
      <c r="H196" s="1043"/>
      <c r="I196" s="231"/>
      <c r="J196" s="1162" t="s">
        <v>2823</v>
      </c>
      <c r="K196" s="858" t="s">
        <v>2822</v>
      </c>
      <c r="L196" s="946" t="s">
        <v>5761</v>
      </c>
      <c r="M196" s="858">
        <v>1</v>
      </c>
      <c r="N196" s="947"/>
      <c r="O196" s="1008"/>
      <c r="P196" s="1146" t="e">
        <v>#N/A</v>
      </c>
      <c r="Q196" s="858">
        <v>60</v>
      </c>
      <c r="R196" s="237">
        <v>930</v>
      </c>
      <c r="S196" s="994">
        <v>51.666666666666664</v>
      </c>
      <c r="T196" s="399">
        <v>0.86111111111111105</v>
      </c>
      <c r="U196" s="400">
        <v>51.666666666666664</v>
      </c>
      <c r="V196" s="401">
        <v>0</v>
      </c>
      <c r="W196" s="402">
        <v>2.5575000000000001E-2</v>
      </c>
      <c r="X196" s="392">
        <v>0</v>
      </c>
      <c r="Y196" s="1163">
        <v>4</v>
      </c>
      <c r="Z196" s="1010">
        <v>1</v>
      </c>
      <c r="AA196" s="858">
        <v>3</v>
      </c>
      <c r="AB196" s="310">
        <v>4</v>
      </c>
      <c r="AC196" s="299" t="s">
        <v>8898</v>
      </c>
      <c r="AD196" s="299" t="s">
        <v>8898</v>
      </c>
      <c r="AE196" s="952">
        <v>3</v>
      </c>
      <c r="AF196" s="250">
        <v>1</v>
      </c>
      <c r="AG196" s="313">
        <v>0</v>
      </c>
      <c r="AH196" s="584">
        <v>0</v>
      </c>
      <c r="AI196" s="585">
        <v>0</v>
      </c>
      <c r="AJ196" s="1164"/>
      <c r="AK196" s="253" t="s">
        <v>2823</v>
      </c>
      <c r="AL196" s="254">
        <f t="shared" si="5"/>
        <v>0</v>
      </c>
      <c r="AM196" s="255" t="e">
        <f t="shared" si="5"/>
        <v>#N/A</v>
      </c>
      <c r="AN196" s="640" t="s">
        <v>9020</v>
      </c>
      <c r="AO196" s="641">
        <v>2</v>
      </c>
      <c r="AP196" s="642">
        <v>220</v>
      </c>
      <c r="AQ196" s="642">
        <v>113</v>
      </c>
      <c r="AR196" s="643">
        <f t="shared" si="6"/>
        <v>0.39030199999999998</v>
      </c>
      <c r="AS196" s="644">
        <v>863.07473604549455</v>
      </c>
      <c r="AT196" s="642">
        <v>508</v>
      </c>
      <c r="AU196" s="645">
        <v>0.67736832220832255</v>
      </c>
      <c r="AV196" s="646">
        <v>60</v>
      </c>
      <c r="AW196" s="647">
        <v>1026</v>
      </c>
      <c r="AX196" s="642">
        <v>330</v>
      </c>
      <c r="AY196" s="648">
        <v>500</v>
      </c>
      <c r="AZ196" s="648">
        <v>180</v>
      </c>
      <c r="BA196" s="649">
        <v>2.9700000000000001E-2</v>
      </c>
      <c r="BB196" s="649"/>
      <c r="BC196" s="264">
        <v>60</v>
      </c>
      <c r="BD196" s="650">
        <v>0.39030199999999998</v>
      </c>
      <c r="BE196" s="651">
        <v>0.39030199999999998</v>
      </c>
      <c r="BF196" s="1030">
        <v>2</v>
      </c>
      <c r="BG196" s="163" t="s">
        <v>8905</v>
      </c>
      <c r="BK196" s="163">
        <v>0</v>
      </c>
      <c r="BM196" s="163" t="s">
        <v>8905</v>
      </c>
    </row>
    <row r="197" spans="1:65" ht="35.25" customHeight="1" thickBot="1">
      <c r="A197" s="163" t="s">
        <v>9222</v>
      </c>
      <c r="B197" s="163" t="s">
        <v>2847</v>
      </c>
      <c r="D197" s="1161"/>
      <c r="E197" s="1541"/>
      <c r="F197" s="1165"/>
      <c r="G197" s="269"/>
      <c r="H197" s="271"/>
      <c r="I197" s="271"/>
      <c r="J197" s="1162" t="s">
        <v>2847</v>
      </c>
      <c r="K197" s="787" t="s">
        <v>2846</v>
      </c>
      <c r="L197" s="788" t="s">
        <v>5689</v>
      </c>
      <c r="M197" s="787">
        <v>1</v>
      </c>
      <c r="N197" s="789"/>
      <c r="O197" s="1008"/>
      <c r="P197" s="1146" t="e">
        <v>#N/A</v>
      </c>
      <c r="Q197" s="787">
        <v>60</v>
      </c>
      <c r="R197" s="237">
        <v>930</v>
      </c>
      <c r="S197" s="302">
        <v>51.666666666666664</v>
      </c>
      <c r="T197" s="399">
        <v>0.86111111111111105</v>
      </c>
      <c r="U197" s="492">
        <v>51.666666666666664</v>
      </c>
      <c r="V197" s="790">
        <v>0</v>
      </c>
      <c r="W197" s="791">
        <v>2.5575000000000001E-2</v>
      </c>
      <c r="X197" s="392">
        <v>0</v>
      </c>
      <c r="Y197" s="559">
        <v>4</v>
      </c>
      <c r="Z197" s="895">
        <v>1</v>
      </c>
      <c r="AA197" s="896">
        <v>3</v>
      </c>
      <c r="AB197" s="310">
        <v>4</v>
      </c>
      <c r="AC197" s="1089" t="s">
        <v>8898</v>
      </c>
      <c r="AD197" s="1090" t="s">
        <v>8898</v>
      </c>
      <c r="AE197" s="689">
        <v>3</v>
      </c>
      <c r="AF197" s="250">
        <v>1</v>
      </c>
      <c r="AG197" s="313">
        <v>0</v>
      </c>
      <c r="AH197" s="531">
        <v>0</v>
      </c>
      <c r="AI197" s="532">
        <v>0</v>
      </c>
      <c r="AJ197" s="1164"/>
      <c r="AK197" s="253" t="s">
        <v>2847</v>
      </c>
      <c r="AL197" s="254">
        <f t="shared" si="5"/>
        <v>0</v>
      </c>
      <c r="AM197" s="255" t="e">
        <f t="shared" si="5"/>
        <v>#N/A</v>
      </c>
      <c r="AN197" s="534" t="s">
        <v>9149</v>
      </c>
      <c r="AO197" s="535">
        <v>2</v>
      </c>
      <c r="AP197" s="536">
        <v>220</v>
      </c>
      <c r="AQ197" s="536">
        <v>113</v>
      </c>
      <c r="AR197" s="537">
        <f t="shared" si="6"/>
        <v>0.39030199999999998</v>
      </c>
      <c r="AS197" s="538">
        <v>1123.3189410398852</v>
      </c>
      <c r="AT197" s="536">
        <v>508</v>
      </c>
      <c r="AU197" s="539">
        <v>0.68318703257921964</v>
      </c>
      <c r="AV197" s="521">
        <v>60</v>
      </c>
      <c r="AW197" s="540">
        <v>1026</v>
      </c>
      <c r="AX197" s="536">
        <v>330</v>
      </c>
      <c r="AY197" s="290">
        <v>500</v>
      </c>
      <c r="AZ197" s="290">
        <v>180</v>
      </c>
      <c r="BA197" s="541">
        <v>2.9700000000000001E-2</v>
      </c>
      <c r="BB197" s="541"/>
      <c r="BC197" s="290">
        <v>60</v>
      </c>
      <c r="BD197" s="542">
        <v>0.39030199999999998</v>
      </c>
      <c r="BE197" s="543">
        <v>0.39030199999999998</v>
      </c>
      <c r="BF197" s="1026">
        <v>2</v>
      </c>
      <c r="BG197" s="163" t="s">
        <v>8905</v>
      </c>
      <c r="BK197" s="163">
        <v>0</v>
      </c>
      <c r="BM197" s="163" t="s">
        <v>8905</v>
      </c>
    </row>
    <row r="198" spans="1:65" ht="35.25" customHeight="1" thickBot="1">
      <c r="A198" s="163" t="s">
        <v>9223</v>
      </c>
      <c r="B198" s="163" t="s">
        <v>2733</v>
      </c>
      <c r="D198" s="1161"/>
      <c r="E198" s="1541"/>
      <c r="F198" s="271"/>
      <c r="G198" s="1043"/>
      <c r="H198" s="231"/>
      <c r="I198" s="231"/>
      <c r="J198" s="1162" t="s">
        <v>2733</v>
      </c>
      <c r="K198" s="490" t="s">
        <v>2732</v>
      </c>
      <c r="L198" s="758" t="s">
        <v>4823</v>
      </c>
      <c r="M198" s="490">
        <v>1</v>
      </c>
      <c r="N198" s="759"/>
      <c r="O198" s="642"/>
      <c r="P198" s="1146" t="e">
        <v>#N/A</v>
      </c>
      <c r="Q198" s="490">
        <v>30</v>
      </c>
      <c r="R198" s="237">
        <v>930</v>
      </c>
      <c r="S198" s="302">
        <v>51.666666666666664</v>
      </c>
      <c r="T198" s="399">
        <v>1.2916666666666665</v>
      </c>
      <c r="U198" s="492">
        <v>51.666666666666664</v>
      </c>
      <c r="V198" s="790">
        <v>0</v>
      </c>
      <c r="W198" s="900">
        <v>3.8362499999999994E-2</v>
      </c>
      <c r="X198" s="392">
        <v>0</v>
      </c>
      <c r="Y198" s="559">
        <v>4</v>
      </c>
      <c r="Z198" s="895">
        <v>1</v>
      </c>
      <c r="AA198" s="896">
        <v>4</v>
      </c>
      <c r="AB198" s="310">
        <v>5</v>
      </c>
      <c r="AC198" s="1091" t="s">
        <v>8898</v>
      </c>
      <c r="AD198" s="1090" t="s">
        <v>8898</v>
      </c>
      <c r="AE198" s="762">
        <v>4</v>
      </c>
      <c r="AF198" s="250">
        <v>1</v>
      </c>
      <c r="AG198" s="313">
        <v>0</v>
      </c>
      <c r="AH198" s="638">
        <v>0</v>
      </c>
      <c r="AI198" s="639">
        <v>0</v>
      </c>
      <c r="AJ198" s="1164"/>
      <c r="AK198" s="253" t="s">
        <v>2733</v>
      </c>
      <c r="AL198" s="254">
        <f t="shared" si="5"/>
        <v>0</v>
      </c>
      <c r="AM198" s="255" t="e">
        <f t="shared" si="5"/>
        <v>#N/A</v>
      </c>
      <c r="AN198" s="534" t="s">
        <v>9149</v>
      </c>
      <c r="AO198" s="535">
        <v>1.4</v>
      </c>
      <c r="AP198" s="536">
        <v>333</v>
      </c>
      <c r="AQ198" s="536">
        <v>111</v>
      </c>
      <c r="AR198" s="643">
        <f t="shared" si="6"/>
        <v>0.40622336999999992</v>
      </c>
      <c r="AS198" s="644">
        <v>1015.2912788714286</v>
      </c>
      <c r="AT198" s="642">
        <v>508</v>
      </c>
      <c r="AU198" s="645">
        <v>0.70441009619228678</v>
      </c>
      <c r="AV198" s="646">
        <v>40</v>
      </c>
      <c r="AW198" s="647">
        <v>1026</v>
      </c>
      <c r="AX198" s="642">
        <v>330</v>
      </c>
      <c r="AY198" s="648">
        <v>500</v>
      </c>
      <c r="AZ198" s="648">
        <v>180</v>
      </c>
      <c r="BA198" s="649">
        <v>2.9700000000000001E-2</v>
      </c>
      <c r="BB198" s="649"/>
      <c r="BC198" s="264">
        <v>60</v>
      </c>
      <c r="BD198" s="650">
        <v>0.40622336999999992</v>
      </c>
      <c r="BE198" s="651">
        <v>0.40622336999999992</v>
      </c>
      <c r="BF198" s="642">
        <v>2</v>
      </c>
      <c r="BG198" s="163" t="s">
        <v>8905</v>
      </c>
      <c r="BK198" s="163">
        <v>-10</v>
      </c>
      <c r="BM198" s="163" t="s">
        <v>8905</v>
      </c>
    </row>
    <row r="199" spans="1:65" ht="35.25" hidden="1" customHeight="1">
      <c r="A199" s="163" t="s">
        <v>9224</v>
      </c>
      <c r="B199" s="163" t="s">
        <v>2737</v>
      </c>
      <c r="D199" s="1161"/>
      <c r="E199" s="1541"/>
      <c r="F199" s="1166"/>
      <c r="G199" s="1167"/>
      <c r="H199" s="1168"/>
      <c r="I199" s="1168"/>
      <c r="J199" s="1169" t="s">
        <v>2737</v>
      </c>
      <c r="K199" s="1170" t="s">
        <v>2736</v>
      </c>
      <c r="L199" s="1171" t="s">
        <v>4823</v>
      </c>
      <c r="M199" s="1170">
        <v>1</v>
      </c>
      <c r="N199" s="1172"/>
      <c r="O199" s="1173"/>
      <c r="P199" s="1174" t="e">
        <v>#N/A</v>
      </c>
      <c r="Q199" s="1175">
        <v>30</v>
      </c>
      <c r="R199" s="1176">
        <v>0</v>
      </c>
      <c r="S199" s="390">
        <v>0</v>
      </c>
      <c r="T199" s="1177">
        <v>0</v>
      </c>
      <c r="U199" s="501">
        <v>0</v>
      </c>
      <c r="V199" s="391">
        <v>0</v>
      </c>
      <c r="W199" s="1178">
        <v>0</v>
      </c>
      <c r="X199" s="1179">
        <v>0</v>
      </c>
      <c r="Y199" s="1180">
        <v>4</v>
      </c>
      <c r="Z199" s="1181">
        <v>0</v>
      </c>
      <c r="AA199" s="1182">
        <v>0</v>
      </c>
      <c r="AB199" s="1183">
        <v>0</v>
      </c>
      <c r="AC199" s="1184" t="s">
        <v>8898</v>
      </c>
      <c r="AD199" s="504" t="s">
        <v>8898</v>
      </c>
      <c r="AE199" s="1185">
        <v>0</v>
      </c>
      <c r="AF199" s="1186">
        <v>0</v>
      </c>
      <c r="AG199" s="1187">
        <v>0</v>
      </c>
      <c r="AH199" s="1188">
        <v>0</v>
      </c>
      <c r="AI199" s="1189">
        <v>0</v>
      </c>
      <c r="AJ199" s="1164"/>
      <c r="AK199" s="253" t="s">
        <v>2737</v>
      </c>
      <c r="AL199" s="254">
        <f t="shared" si="5"/>
        <v>0</v>
      </c>
      <c r="AM199" s="255" t="e">
        <f t="shared" si="5"/>
        <v>#N/A</v>
      </c>
      <c r="AN199" s="566" t="s">
        <v>8918</v>
      </c>
      <c r="AO199" s="567">
        <v>1.4</v>
      </c>
      <c r="AP199" s="553">
        <v>333</v>
      </c>
      <c r="AQ199" s="553">
        <v>111</v>
      </c>
      <c r="AR199" s="568">
        <f t="shared" si="6"/>
        <v>0.40622336999999992</v>
      </c>
      <c r="AS199" s="1057">
        <v>952.45787308415902</v>
      </c>
      <c r="AT199" s="553">
        <v>508</v>
      </c>
      <c r="AU199" s="1058">
        <v>0.52454102660172341</v>
      </c>
      <c r="AV199" s="570">
        <v>40</v>
      </c>
      <c r="AW199" s="571">
        <v>1026</v>
      </c>
      <c r="AX199" s="553">
        <v>330</v>
      </c>
      <c r="AY199" s="572">
        <v>500</v>
      </c>
      <c r="AZ199" s="572">
        <v>180</v>
      </c>
      <c r="BA199" s="573">
        <v>2.9700000000000001E-2</v>
      </c>
      <c r="BB199" s="573"/>
      <c r="BC199" s="572">
        <v>60</v>
      </c>
      <c r="BD199" s="1059">
        <v>0.40622336999999992</v>
      </c>
      <c r="BE199" s="574">
        <v>0.40622336999999992</v>
      </c>
      <c r="BF199" s="1060">
        <v>2</v>
      </c>
      <c r="BG199" s="163" t="s">
        <v>8905</v>
      </c>
      <c r="BK199" s="163">
        <v>-10</v>
      </c>
      <c r="BM199" s="163" t="s">
        <v>8905</v>
      </c>
    </row>
    <row r="200" spans="1:65" ht="35.25" hidden="1" customHeight="1">
      <c r="A200" s="163" t="e">
        <v>#N/A</v>
      </c>
      <c r="B200" s="163" t="s">
        <v>2715</v>
      </c>
      <c r="D200" s="1190"/>
      <c r="E200" s="1140"/>
      <c r="F200" s="1191" t="s">
        <v>9225</v>
      </c>
      <c r="G200" s="1192"/>
      <c r="H200" s="1193"/>
      <c r="I200" s="1193"/>
      <c r="J200" s="1194" t="s">
        <v>2715</v>
      </c>
      <c r="K200" s="787" t="s">
        <v>2716</v>
      </c>
      <c r="L200" s="788" t="s">
        <v>4823</v>
      </c>
      <c r="M200" s="787">
        <v>1</v>
      </c>
      <c r="N200" s="789">
        <v>60</v>
      </c>
      <c r="O200" s="536" t="s">
        <v>4528</v>
      </c>
      <c r="P200" s="898">
        <v>2500</v>
      </c>
      <c r="Q200" s="787">
        <v>30</v>
      </c>
      <c r="R200" s="1176" t="e">
        <v>#N/A</v>
      </c>
      <c r="S200" s="1103" t="e">
        <v>#N/A</v>
      </c>
      <c r="T200" s="838" t="e">
        <v>#N/A</v>
      </c>
      <c r="U200" s="839" t="e">
        <v>#N/A</v>
      </c>
      <c r="V200" s="1113" t="e">
        <v>#N/A</v>
      </c>
      <c r="W200" s="791" t="e">
        <v>#N/A</v>
      </c>
      <c r="X200" s="841">
        <v>154</v>
      </c>
      <c r="Y200" s="488">
        <v>4</v>
      </c>
      <c r="Z200" s="895" t="e">
        <v>#N/A</v>
      </c>
      <c r="AA200" s="896" t="e">
        <v>#N/A</v>
      </c>
      <c r="AB200" s="842" t="e">
        <v>#N/A</v>
      </c>
      <c r="AC200" s="1089" t="s">
        <v>8898</v>
      </c>
      <c r="AD200" s="1114" t="s">
        <v>8898</v>
      </c>
      <c r="AE200" s="689" t="e">
        <v>#N/A</v>
      </c>
      <c r="AF200" s="844" t="e">
        <v>#N/A</v>
      </c>
      <c r="AG200" s="845">
        <v>150</v>
      </c>
      <c r="AH200" s="531">
        <v>150</v>
      </c>
      <c r="AI200" s="532">
        <v>0</v>
      </c>
      <c r="AJ200" s="1195"/>
      <c r="AK200" s="253" t="s">
        <v>2715</v>
      </c>
      <c r="AL200" s="254" t="str">
        <f t="shared" si="5"/>
        <v>HAN089</v>
      </c>
      <c r="AM200" s="255">
        <f t="shared" si="5"/>
        <v>2500</v>
      </c>
      <c r="AN200" s="566" t="s">
        <v>8918</v>
      </c>
      <c r="AO200" s="567">
        <v>1.4</v>
      </c>
      <c r="AP200" s="553">
        <v>333</v>
      </c>
      <c r="AQ200" s="553">
        <v>111</v>
      </c>
      <c r="AR200" s="568">
        <f t="shared" si="6"/>
        <v>0.40622336999999992</v>
      </c>
      <c r="AS200" s="1057">
        <v>952.45787308415902</v>
      </c>
      <c r="AT200" s="553">
        <v>508</v>
      </c>
      <c r="AU200" s="1058">
        <v>0.52454102660172341</v>
      </c>
      <c r="AV200" s="570">
        <v>40</v>
      </c>
      <c r="AW200" s="571">
        <v>1026</v>
      </c>
      <c r="AX200" s="553">
        <v>330</v>
      </c>
      <c r="AY200" s="572">
        <v>500</v>
      </c>
      <c r="AZ200" s="572">
        <v>180</v>
      </c>
      <c r="BA200" s="573">
        <v>2.9700000000000001E-2</v>
      </c>
      <c r="BB200" s="573"/>
      <c r="BC200" s="572">
        <v>60</v>
      </c>
      <c r="BD200" s="1059">
        <v>0.40622336999999992</v>
      </c>
      <c r="BE200" s="574">
        <v>0.40622336999999992</v>
      </c>
      <c r="BF200" s="1060">
        <v>2</v>
      </c>
      <c r="BG200" s="163" t="s">
        <v>8905</v>
      </c>
      <c r="BK200" s="163">
        <v>-10</v>
      </c>
      <c r="BM200" s="163" t="s">
        <v>8905</v>
      </c>
    </row>
    <row r="201" spans="1:65" ht="35.25" hidden="1" customHeight="1">
      <c r="A201" s="163" t="e">
        <v>#N/A</v>
      </c>
      <c r="B201" s="163" t="s">
        <v>2775</v>
      </c>
      <c r="D201" s="1497"/>
      <c r="E201" s="1196"/>
      <c r="F201" s="1197" t="s">
        <v>9225</v>
      </c>
      <c r="G201" s="1043"/>
      <c r="H201" s="231"/>
      <c r="I201" s="231"/>
      <c r="J201" s="1162" t="s">
        <v>2775</v>
      </c>
      <c r="K201" s="858" t="s">
        <v>2776</v>
      </c>
      <c r="L201" s="946" t="s">
        <v>4821</v>
      </c>
      <c r="M201" s="858">
        <v>1</v>
      </c>
      <c r="N201" s="947">
        <v>60</v>
      </c>
      <c r="O201" s="1008" t="s">
        <v>4528</v>
      </c>
      <c r="P201" s="1146">
        <v>2500</v>
      </c>
      <c r="Q201" s="858">
        <v>30</v>
      </c>
      <c r="R201" s="1176" t="e">
        <v>#N/A</v>
      </c>
      <c r="S201" s="994" t="e">
        <v>#N/A</v>
      </c>
      <c r="T201" s="399" t="e">
        <v>#N/A</v>
      </c>
      <c r="U201" s="492" t="e">
        <v>#N/A</v>
      </c>
      <c r="V201" s="790" t="e">
        <v>#N/A</v>
      </c>
      <c r="W201" s="835" t="e">
        <v>#N/A</v>
      </c>
      <c r="X201" s="392">
        <v>107</v>
      </c>
      <c r="Y201" s="1163">
        <v>4</v>
      </c>
      <c r="Z201" s="1198" t="e">
        <v>#N/A</v>
      </c>
      <c r="AA201" s="1199" t="e">
        <v>#N/A</v>
      </c>
      <c r="AB201" s="310" t="e">
        <v>#N/A</v>
      </c>
      <c r="AC201" s="1091" t="s">
        <v>8898</v>
      </c>
      <c r="AD201" s="1090" t="s">
        <v>8898</v>
      </c>
      <c r="AE201" s="952" t="e">
        <v>#N/A</v>
      </c>
      <c r="AF201" s="250" t="e">
        <v>#N/A</v>
      </c>
      <c r="AG201" s="313">
        <v>100</v>
      </c>
      <c r="AH201" s="584">
        <v>100</v>
      </c>
      <c r="AI201" s="585">
        <v>0</v>
      </c>
      <c r="AJ201" s="1200"/>
      <c r="AK201" s="253" t="s">
        <v>2775</v>
      </c>
      <c r="AL201" s="254" t="str">
        <f t="shared" si="5"/>
        <v>HAN089</v>
      </c>
      <c r="AM201" s="255">
        <f t="shared" si="5"/>
        <v>2500</v>
      </c>
      <c r="AN201" s="534" t="s">
        <v>9149</v>
      </c>
      <c r="AO201" s="535">
        <v>2</v>
      </c>
      <c r="AP201" s="536">
        <v>220</v>
      </c>
      <c r="AQ201" s="536">
        <v>113</v>
      </c>
      <c r="AR201" s="537">
        <f t="shared" si="6"/>
        <v>0.39030199999999998</v>
      </c>
      <c r="AS201" s="538">
        <v>1123.3189410398852</v>
      </c>
      <c r="AT201" s="536">
        <v>508</v>
      </c>
      <c r="AU201" s="539">
        <v>0.68318703257921964</v>
      </c>
      <c r="AV201" s="521">
        <v>60</v>
      </c>
      <c r="AW201" s="540">
        <v>1026</v>
      </c>
      <c r="AX201" s="536">
        <v>330</v>
      </c>
      <c r="AY201" s="290">
        <v>500</v>
      </c>
      <c r="AZ201" s="290">
        <v>180</v>
      </c>
      <c r="BA201" s="541">
        <v>2.9700000000000001E-2</v>
      </c>
      <c r="BB201" s="541"/>
      <c r="BC201" s="290">
        <v>60</v>
      </c>
      <c r="BD201" s="542">
        <v>0.39030199999999998</v>
      </c>
      <c r="BE201" s="543">
        <v>0.39030199999999998</v>
      </c>
      <c r="BF201" s="1026">
        <v>2</v>
      </c>
      <c r="BG201" s="163" t="s">
        <v>8905</v>
      </c>
      <c r="BK201" s="163">
        <v>-30</v>
      </c>
      <c r="BM201" s="163" t="s">
        <v>8905</v>
      </c>
    </row>
    <row r="202" spans="1:65" ht="35.25" hidden="1" customHeight="1">
      <c r="A202" s="163" t="e">
        <v>#N/A</v>
      </c>
      <c r="B202" s="163" t="s">
        <v>2719</v>
      </c>
      <c r="D202" s="1497"/>
      <c r="E202" s="1196"/>
      <c r="F202" s="1142" t="s">
        <v>9225</v>
      </c>
      <c r="G202" s="1043"/>
      <c r="H202" s="231"/>
      <c r="I202" s="231"/>
      <c r="J202" s="1162" t="s">
        <v>2719</v>
      </c>
      <c r="K202" s="490" t="s">
        <v>2720</v>
      </c>
      <c r="L202" s="758" t="s">
        <v>4823</v>
      </c>
      <c r="M202" s="490">
        <v>1</v>
      </c>
      <c r="N202" s="759">
        <v>60</v>
      </c>
      <c r="O202" s="642" t="s">
        <v>4536</v>
      </c>
      <c r="P202" s="1146">
        <v>2500</v>
      </c>
      <c r="Q202" s="490">
        <v>30</v>
      </c>
      <c r="R202" s="1176" t="e">
        <v>#N/A</v>
      </c>
      <c r="S202" s="302" t="e">
        <v>#N/A</v>
      </c>
      <c r="T202" s="399" t="e">
        <v>#N/A</v>
      </c>
      <c r="U202" s="492" t="e">
        <v>#N/A</v>
      </c>
      <c r="V202" s="790" t="e">
        <v>#N/A</v>
      </c>
      <c r="W202" s="900" t="e">
        <v>#N/A</v>
      </c>
      <c r="X202" s="392">
        <v>154</v>
      </c>
      <c r="Y202" s="559">
        <v>4</v>
      </c>
      <c r="Z202" s="895" t="e">
        <v>#N/A</v>
      </c>
      <c r="AA202" s="896" t="e">
        <v>#N/A</v>
      </c>
      <c r="AB202" s="310" t="e">
        <v>#N/A</v>
      </c>
      <c r="AC202" s="1091" t="s">
        <v>8898</v>
      </c>
      <c r="AD202" s="1090" t="s">
        <v>8898</v>
      </c>
      <c r="AE202" s="762" t="e">
        <v>#N/A</v>
      </c>
      <c r="AF202" s="250" t="e">
        <v>#N/A</v>
      </c>
      <c r="AG202" s="313">
        <v>150</v>
      </c>
      <c r="AH202" s="638">
        <v>150</v>
      </c>
      <c r="AI202" s="639">
        <v>0</v>
      </c>
      <c r="AJ202" s="1542" t="s">
        <v>9226</v>
      </c>
      <c r="AK202" s="253" t="s">
        <v>2719</v>
      </c>
      <c r="AL202" s="254" t="str">
        <f t="shared" si="5"/>
        <v>HAN090</v>
      </c>
      <c r="AM202" s="255">
        <f t="shared" si="5"/>
        <v>2500</v>
      </c>
      <c r="AN202" s="534" t="s">
        <v>9149</v>
      </c>
      <c r="AO202" s="535">
        <v>1.4</v>
      </c>
      <c r="AP202" s="536">
        <v>333</v>
      </c>
      <c r="AQ202" s="536">
        <v>111</v>
      </c>
      <c r="AR202" s="643">
        <f t="shared" si="6"/>
        <v>0.40622336999999992</v>
      </c>
      <c r="AS202" s="644">
        <v>1015.2912788714286</v>
      </c>
      <c r="AT202" s="642">
        <v>508</v>
      </c>
      <c r="AU202" s="645">
        <v>0.70441009619228678</v>
      </c>
      <c r="AV202" s="646">
        <v>40</v>
      </c>
      <c r="AW202" s="647">
        <v>1026</v>
      </c>
      <c r="AX202" s="642">
        <v>330</v>
      </c>
      <c r="AY202" s="648">
        <v>500</v>
      </c>
      <c r="AZ202" s="648">
        <v>180</v>
      </c>
      <c r="BA202" s="649">
        <v>2.9700000000000001E-2</v>
      </c>
      <c r="BB202" s="649"/>
      <c r="BC202" s="264">
        <v>60</v>
      </c>
      <c r="BD202" s="650">
        <v>0.40622336999999992</v>
      </c>
      <c r="BE202" s="651">
        <v>0.40622336999999992</v>
      </c>
      <c r="BF202" s="642">
        <v>2</v>
      </c>
      <c r="BG202" s="163" t="s">
        <v>8905</v>
      </c>
      <c r="BK202" s="163">
        <v>-10</v>
      </c>
      <c r="BM202" s="163" t="s">
        <v>8905</v>
      </c>
    </row>
    <row r="203" spans="1:65" ht="35.25" hidden="1" customHeight="1">
      <c r="A203" s="163" t="e">
        <v>#N/A</v>
      </c>
      <c r="B203" s="163" t="s">
        <v>2773</v>
      </c>
      <c r="D203" s="1498"/>
      <c r="E203" s="1201"/>
      <c r="F203" s="1142" t="s">
        <v>9225</v>
      </c>
      <c r="G203" s="1129"/>
      <c r="H203" s="1130"/>
      <c r="I203" s="1130"/>
      <c r="J203" s="1202" t="s">
        <v>2773</v>
      </c>
      <c r="K203" s="550" t="s">
        <v>2770</v>
      </c>
      <c r="L203" s="551" t="s">
        <v>8432</v>
      </c>
      <c r="M203" s="550">
        <v>1</v>
      </c>
      <c r="N203" s="552">
        <v>60</v>
      </c>
      <c r="O203" s="553" t="s">
        <v>2771</v>
      </c>
      <c r="P203" s="1151" t="e">
        <v>#N/A</v>
      </c>
      <c r="Q203" s="550">
        <v>30</v>
      </c>
      <c r="R203" s="1176" t="e">
        <v>#N/A</v>
      </c>
      <c r="S203" s="302" t="e">
        <v>#N/A</v>
      </c>
      <c r="T203" s="1050" t="e">
        <v>#N/A</v>
      </c>
      <c r="U203" s="1051" t="e">
        <v>#N/A</v>
      </c>
      <c r="V203" s="1052">
        <v>0</v>
      </c>
      <c r="W203" s="557" t="e">
        <v>#N/A</v>
      </c>
      <c r="X203" s="558">
        <v>0</v>
      </c>
      <c r="Y203" s="559">
        <v>4</v>
      </c>
      <c r="Z203" s="1203" t="e">
        <v>#N/A</v>
      </c>
      <c r="AA203" s="896" t="e">
        <v>#N/A</v>
      </c>
      <c r="AB203" s="310" t="e">
        <v>#N/A</v>
      </c>
      <c r="AC203" s="1089" t="s">
        <v>8898</v>
      </c>
      <c r="AD203" s="1135" t="s">
        <v>8898</v>
      </c>
      <c r="AE203" s="561" t="e">
        <v>#N/A</v>
      </c>
      <c r="AF203" s="250" t="e">
        <v>#N/A</v>
      </c>
      <c r="AG203" s="313">
        <v>0</v>
      </c>
      <c r="AH203" s="563">
        <v>0</v>
      </c>
      <c r="AI203" s="564">
        <v>0</v>
      </c>
      <c r="AJ203" s="1543"/>
      <c r="AK203" s="253" t="s">
        <v>2773</v>
      </c>
      <c r="AL203" s="254" t="str">
        <f t="shared" si="5"/>
        <v>TTC735</v>
      </c>
      <c r="AM203" s="255" t="e">
        <f t="shared" si="5"/>
        <v>#N/A</v>
      </c>
      <c r="AN203" s="566" t="s">
        <v>8918</v>
      </c>
      <c r="AO203" s="567">
        <v>1.4</v>
      </c>
      <c r="AP203" s="553">
        <v>333</v>
      </c>
      <c r="AQ203" s="553">
        <v>111</v>
      </c>
      <c r="AR203" s="568">
        <f t="shared" si="6"/>
        <v>0.40622336999999992</v>
      </c>
      <c r="AS203" s="1057">
        <v>952.45787308415902</v>
      </c>
      <c r="AT203" s="553">
        <v>508</v>
      </c>
      <c r="AU203" s="1058">
        <v>0.52454102660172341</v>
      </c>
      <c r="AV203" s="570">
        <v>40</v>
      </c>
      <c r="AW203" s="571">
        <v>1026</v>
      </c>
      <c r="AX203" s="553">
        <v>330</v>
      </c>
      <c r="AY203" s="572">
        <v>500</v>
      </c>
      <c r="AZ203" s="572">
        <v>180</v>
      </c>
      <c r="BA203" s="573">
        <v>2.9700000000000001E-2</v>
      </c>
      <c r="BB203" s="573"/>
      <c r="BC203" s="572">
        <v>60</v>
      </c>
      <c r="BD203" s="1059">
        <v>0.40622336999999992</v>
      </c>
      <c r="BE203" s="574">
        <v>0.40622336999999992</v>
      </c>
      <c r="BF203" s="1060">
        <v>2</v>
      </c>
      <c r="BG203" s="163" t="s">
        <v>8905</v>
      </c>
      <c r="BK203" s="163">
        <v>-10</v>
      </c>
      <c r="BM203" s="163" t="s">
        <v>8905</v>
      </c>
    </row>
    <row r="204" spans="1:65" ht="35.25" hidden="1" customHeight="1">
      <c r="A204" s="163" t="e">
        <v>#N/A</v>
      </c>
      <c r="B204" s="163" t="s">
        <v>2727</v>
      </c>
      <c r="D204" s="1161"/>
      <c r="E204" s="1550"/>
      <c r="F204" s="1142" t="s">
        <v>9225</v>
      </c>
      <c r="G204" s="1043"/>
      <c r="H204" s="1043"/>
      <c r="I204" s="231"/>
      <c r="J204" s="1162" t="s">
        <v>2727</v>
      </c>
      <c r="K204" s="858" t="s">
        <v>2728</v>
      </c>
      <c r="L204" s="946" t="s">
        <v>4823</v>
      </c>
      <c r="M204" s="858">
        <v>1</v>
      </c>
      <c r="N204" s="947">
        <v>60</v>
      </c>
      <c r="O204" s="1008" t="s">
        <v>4526</v>
      </c>
      <c r="P204" s="1146">
        <v>2500</v>
      </c>
      <c r="Q204" s="858">
        <v>30</v>
      </c>
      <c r="R204" s="1176" t="e">
        <v>#N/A</v>
      </c>
      <c r="S204" s="302" t="e">
        <v>#N/A</v>
      </c>
      <c r="T204" s="399" t="e">
        <v>#N/A</v>
      </c>
      <c r="U204" s="400" t="e">
        <v>#N/A</v>
      </c>
      <c r="V204" s="401" t="e">
        <v>#N/A</v>
      </c>
      <c r="W204" s="402" t="e">
        <v>#N/A</v>
      </c>
      <c r="X204" s="392">
        <v>107</v>
      </c>
      <c r="Y204" s="559">
        <v>4</v>
      </c>
      <c r="Z204" s="1010" t="e">
        <v>#N/A</v>
      </c>
      <c r="AA204" s="858" t="e">
        <v>#N/A</v>
      </c>
      <c r="AB204" s="310" t="e">
        <v>#N/A</v>
      </c>
      <c r="AC204" s="299" t="s">
        <v>8898</v>
      </c>
      <c r="AD204" s="299" t="s">
        <v>8898</v>
      </c>
      <c r="AE204" s="952" t="e">
        <v>#N/A</v>
      </c>
      <c r="AF204" s="250" t="e">
        <v>#N/A</v>
      </c>
      <c r="AG204" s="313">
        <v>100</v>
      </c>
      <c r="AH204" s="584">
        <v>100</v>
      </c>
      <c r="AI204" s="585">
        <v>0</v>
      </c>
      <c r="AJ204" s="1542"/>
      <c r="AK204" s="253" t="s">
        <v>2727</v>
      </c>
      <c r="AL204" s="254" t="str">
        <f t="shared" si="5"/>
        <v>HAN091</v>
      </c>
      <c r="AM204" s="255">
        <f t="shared" si="5"/>
        <v>2500</v>
      </c>
      <c r="AN204" s="640" t="s">
        <v>9020</v>
      </c>
      <c r="AO204" s="641">
        <v>2</v>
      </c>
      <c r="AP204" s="642">
        <v>220</v>
      </c>
      <c r="AQ204" s="642">
        <v>113</v>
      </c>
      <c r="AR204" s="643">
        <f t="shared" si="6"/>
        <v>0.39030199999999998</v>
      </c>
      <c r="AS204" s="644">
        <v>863.07473604549455</v>
      </c>
      <c r="AT204" s="642">
        <v>508</v>
      </c>
      <c r="AU204" s="645">
        <v>0.67736832220832255</v>
      </c>
      <c r="AV204" s="646">
        <v>60</v>
      </c>
      <c r="AW204" s="647">
        <v>1026</v>
      </c>
      <c r="AX204" s="642">
        <v>330</v>
      </c>
      <c r="AY204" s="648">
        <v>500</v>
      </c>
      <c r="AZ204" s="648">
        <v>180</v>
      </c>
      <c r="BA204" s="649">
        <v>2.9700000000000001E-2</v>
      </c>
      <c r="BB204" s="649"/>
      <c r="BC204" s="264">
        <v>60</v>
      </c>
      <c r="BD204" s="650">
        <v>0.39030199999999998</v>
      </c>
      <c r="BE204" s="651">
        <v>0.39030199999999998</v>
      </c>
      <c r="BF204" s="1030">
        <v>2</v>
      </c>
      <c r="BG204" s="163" t="s">
        <v>8905</v>
      </c>
      <c r="BK204" s="163">
        <v>-30</v>
      </c>
      <c r="BM204" s="163" t="s">
        <v>8905</v>
      </c>
    </row>
    <row r="205" spans="1:65" ht="35.25" hidden="1" customHeight="1">
      <c r="A205" s="163" t="e">
        <v>#N/A</v>
      </c>
      <c r="B205" s="163" t="s">
        <v>6454</v>
      </c>
      <c r="D205" s="1161"/>
      <c r="E205" s="1541"/>
      <c r="F205" s="1142" t="s">
        <v>9225</v>
      </c>
      <c r="G205" s="269"/>
      <c r="H205" s="271"/>
      <c r="I205" s="271"/>
      <c r="J205" s="1162" t="s">
        <v>6454</v>
      </c>
      <c r="K205" s="787" t="s">
        <v>2780</v>
      </c>
      <c r="L205" s="788" t="s">
        <v>4821</v>
      </c>
      <c r="M205" s="787">
        <v>1</v>
      </c>
      <c r="N205" s="789">
        <v>60</v>
      </c>
      <c r="O205" s="1008" t="s">
        <v>4526</v>
      </c>
      <c r="P205" s="1146">
        <v>2500</v>
      </c>
      <c r="Q205" s="787">
        <v>30</v>
      </c>
      <c r="R205" s="1176" t="e">
        <v>#N/A</v>
      </c>
      <c r="S205" s="302" t="e">
        <v>#N/A</v>
      </c>
      <c r="T205" s="399" t="e">
        <v>#N/A</v>
      </c>
      <c r="U205" s="492" t="e">
        <v>#N/A</v>
      </c>
      <c r="V205" s="790" t="e">
        <v>#N/A</v>
      </c>
      <c r="W205" s="791" t="e">
        <v>#N/A</v>
      </c>
      <c r="X205" s="392">
        <v>107</v>
      </c>
      <c r="Y205" s="559">
        <v>4</v>
      </c>
      <c r="Z205" s="895" t="e">
        <v>#N/A</v>
      </c>
      <c r="AA205" s="896" t="e">
        <v>#N/A</v>
      </c>
      <c r="AB205" s="310" t="e">
        <v>#N/A</v>
      </c>
      <c r="AC205" s="1089" t="s">
        <v>8898</v>
      </c>
      <c r="AD205" s="1090" t="s">
        <v>8898</v>
      </c>
      <c r="AE205" s="689" t="e">
        <v>#N/A</v>
      </c>
      <c r="AF205" s="250" t="e">
        <v>#N/A</v>
      </c>
      <c r="AG205" s="313">
        <v>100</v>
      </c>
      <c r="AH205" s="531">
        <v>100</v>
      </c>
      <c r="AI205" s="532">
        <v>0</v>
      </c>
      <c r="AJ205" s="1551"/>
      <c r="AK205" s="253" t="s">
        <v>6454</v>
      </c>
      <c r="AL205" s="254" t="str">
        <f t="shared" si="5"/>
        <v>HAN091</v>
      </c>
      <c r="AM205" s="255">
        <f t="shared" si="5"/>
        <v>2500</v>
      </c>
      <c r="AN205" s="534" t="s">
        <v>9149</v>
      </c>
      <c r="AO205" s="535">
        <v>2</v>
      </c>
      <c r="AP205" s="536">
        <v>220</v>
      </c>
      <c r="AQ205" s="536">
        <v>113</v>
      </c>
      <c r="AR205" s="537">
        <f t="shared" si="6"/>
        <v>0.39030199999999998</v>
      </c>
      <c r="AS205" s="538">
        <v>1123.3189410398852</v>
      </c>
      <c r="AT205" s="536">
        <v>508</v>
      </c>
      <c r="AU205" s="539">
        <v>0.68318703257921964</v>
      </c>
      <c r="AV205" s="521">
        <v>60</v>
      </c>
      <c r="AW205" s="540">
        <v>1026</v>
      </c>
      <c r="AX205" s="536">
        <v>330</v>
      </c>
      <c r="AY205" s="290">
        <v>500</v>
      </c>
      <c r="AZ205" s="290">
        <v>180</v>
      </c>
      <c r="BA205" s="541">
        <v>2.9700000000000001E-2</v>
      </c>
      <c r="BB205" s="541"/>
      <c r="BC205" s="290">
        <v>60</v>
      </c>
      <c r="BD205" s="542">
        <v>0.39030199999999998</v>
      </c>
      <c r="BE205" s="543">
        <v>0.39030199999999998</v>
      </c>
      <c r="BF205" s="1026">
        <v>2</v>
      </c>
      <c r="BG205" s="163" t="s">
        <v>8905</v>
      </c>
      <c r="BK205" s="163">
        <v>-30</v>
      </c>
      <c r="BM205" s="163" t="s">
        <v>8905</v>
      </c>
    </row>
    <row r="206" spans="1:65" ht="35.25" hidden="1" customHeight="1">
      <c r="A206" s="163" t="e">
        <v>#N/A</v>
      </c>
      <c r="B206" s="163" t="s">
        <v>2723</v>
      </c>
      <c r="D206" s="1161"/>
      <c r="E206" s="1541"/>
      <c r="F206" s="1142" t="s">
        <v>9225</v>
      </c>
      <c r="G206" s="1043"/>
      <c r="H206" s="231"/>
      <c r="I206" s="231"/>
      <c r="J206" s="1162" t="s">
        <v>2723</v>
      </c>
      <c r="K206" s="490" t="s">
        <v>2724</v>
      </c>
      <c r="L206" s="758" t="s">
        <v>4823</v>
      </c>
      <c r="M206" s="490">
        <v>1</v>
      </c>
      <c r="N206" s="759">
        <v>60</v>
      </c>
      <c r="O206" s="642" t="s">
        <v>4538</v>
      </c>
      <c r="P206" s="1146">
        <v>2500</v>
      </c>
      <c r="Q206" s="490">
        <v>30</v>
      </c>
      <c r="R206" s="237" t="e">
        <v>#N/A</v>
      </c>
      <c r="S206" s="302" t="e">
        <v>#N/A</v>
      </c>
      <c r="T206" s="399" t="e">
        <v>#N/A</v>
      </c>
      <c r="U206" s="492" t="e">
        <v>#N/A</v>
      </c>
      <c r="V206" s="790" t="e">
        <v>#N/A</v>
      </c>
      <c r="W206" s="900" t="e">
        <v>#N/A</v>
      </c>
      <c r="X206" s="392">
        <v>154</v>
      </c>
      <c r="Y206" s="559">
        <v>4</v>
      </c>
      <c r="Z206" s="895" t="e">
        <v>#N/A</v>
      </c>
      <c r="AA206" s="896" t="e">
        <v>#N/A</v>
      </c>
      <c r="AB206" s="310" t="e">
        <v>#N/A</v>
      </c>
      <c r="AC206" s="1091" t="s">
        <v>8898</v>
      </c>
      <c r="AD206" s="1090" t="s">
        <v>8898</v>
      </c>
      <c r="AE206" s="762" t="e">
        <v>#N/A</v>
      </c>
      <c r="AF206" s="250" t="e">
        <v>#N/A</v>
      </c>
      <c r="AG206" s="313">
        <v>150</v>
      </c>
      <c r="AH206" s="638">
        <v>150</v>
      </c>
      <c r="AI206" s="639">
        <v>0</v>
      </c>
      <c r="AJ206" s="1551"/>
      <c r="AK206" s="253" t="s">
        <v>2723</v>
      </c>
      <c r="AL206" s="254" t="str">
        <f t="shared" si="5"/>
        <v>HAN092</v>
      </c>
      <c r="AM206" s="255">
        <f t="shared" si="5"/>
        <v>2500</v>
      </c>
      <c r="AN206" s="534" t="s">
        <v>9149</v>
      </c>
      <c r="AO206" s="535">
        <v>1.4</v>
      </c>
      <c r="AP206" s="536">
        <v>333</v>
      </c>
      <c r="AQ206" s="536">
        <v>111</v>
      </c>
      <c r="AR206" s="643">
        <f t="shared" si="6"/>
        <v>0.40622336999999992</v>
      </c>
      <c r="AS206" s="644">
        <v>1015.2912788714286</v>
      </c>
      <c r="AT206" s="642">
        <v>508</v>
      </c>
      <c r="AU206" s="645">
        <v>0.70441009619228678</v>
      </c>
      <c r="AV206" s="646">
        <v>40</v>
      </c>
      <c r="AW206" s="647">
        <v>1026</v>
      </c>
      <c r="AX206" s="642">
        <v>330</v>
      </c>
      <c r="AY206" s="648">
        <v>500</v>
      </c>
      <c r="AZ206" s="648">
        <v>180</v>
      </c>
      <c r="BA206" s="649">
        <v>2.9700000000000001E-2</v>
      </c>
      <c r="BB206" s="649"/>
      <c r="BC206" s="264">
        <v>60</v>
      </c>
      <c r="BD206" s="650">
        <v>0.40622336999999992</v>
      </c>
      <c r="BE206" s="651">
        <v>0.40622336999999992</v>
      </c>
      <c r="BF206" s="642">
        <v>2</v>
      </c>
      <c r="BG206" s="163" t="s">
        <v>8905</v>
      </c>
      <c r="BK206" s="163">
        <v>-10</v>
      </c>
      <c r="BM206" s="163" t="s">
        <v>8905</v>
      </c>
    </row>
    <row r="207" spans="1:65" ht="35.25" hidden="1" customHeight="1">
      <c r="A207" s="163" t="e">
        <v>#N/A</v>
      </c>
      <c r="B207" s="163" t="s">
        <v>2783</v>
      </c>
      <c r="D207" s="1161"/>
      <c r="E207" s="1541"/>
      <c r="F207" s="1204" t="s">
        <v>9225</v>
      </c>
      <c r="G207" s="1167"/>
      <c r="H207" s="1168"/>
      <c r="I207" s="1168"/>
      <c r="J207" s="1169" t="s">
        <v>2783</v>
      </c>
      <c r="K207" s="1170" t="s">
        <v>2784</v>
      </c>
      <c r="L207" s="1171" t="s">
        <v>4821</v>
      </c>
      <c r="M207" s="1170">
        <v>1</v>
      </c>
      <c r="N207" s="1172">
        <v>60</v>
      </c>
      <c r="O207" s="1173" t="s">
        <v>4538</v>
      </c>
      <c r="P207" s="1174">
        <v>2500</v>
      </c>
      <c r="Q207" s="1170">
        <v>30</v>
      </c>
      <c r="R207" s="1176" t="e">
        <v>#N/A</v>
      </c>
      <c r="S207" s="390" t="e">
        <v>#N/A</v>
      </c>
      <c r="T207" s="1177" t="e">
        <v>#N/A</v>
      </c>
      <c r="U207" s="501" t="e">
        <v>#N/A</v>
      </c>
      <c r="V207" s="391" t="e">
        <v>#N/A</v>
      </c>
      <c r="W207" s="1178" t="e">
        <v>#N/A</v>
      </c>
      <c r="X207" s="1179">
        <v>154</v>
      </c>
      <c r="Y207" s="1180">
        <v>4</v>
      </c>
      <c r="Z207" s="1181" t="e">
        <v>#N/A</v>
      </c>
      <c r="AA207" s="1182" t="e">
        <v>#N/A</v>
      </c>
      <c r="AB207" s="1183" t="e">
        <v>#N/A</v>
      </c>
      <c r="AC207" s="1184" t="s">
        <v>8898</v>
      </c>
      <c r="AD207" s="504" t="s">
        <v>8898</v>
      </c>
      <c r="AE207" s="1185" t="e">
        <v>#N/A</v>
      </c>
      <c r="AF207" s="1186" t="e">
        <v>#N/A</v>
      </c>
      <c r="AG207" s="1187">
        <v>150</v>
      </c>
      <c r="AH207" s="1188">
        <v>150</v>
      </c>
      <c r="AI207" s="1189">
        <v>0</v>
      </c>
      <c r="AJ207" s="1551"/>
      <c r="AK207" s="253" t="s">
        <v>2783</v>
      </c>
      <c r="AL207" s="254" t="str">
        <f t="shared" si="5"/>
        <v>HAN092</v>
      </c>
      <c r="AM207" s="255">
        <f t="shared" si="5"/>
        <v>2500</v>
      </c>
      <c r="AN207" s="566" t="s">
        <v>8918</v>
      </c>
      <c r="AO207" s="567">
        <v>1.4</v>
      </c>
      <c r="AP207" s="553">
        <v>333</v>
      </c>
      <c r="AQ207" s="553">
        <v>111</v>
      </c>
      <c r="AR207" s="568">
        <f t="shared" si="6"/>
        <v>0.40622336999999992</v>
      </c>
      <c r="AS207" s="1057">
        <v>952.45787308415902</v>
      </c>
      <c r="AT207" s="553">
        <v>508</v>
      </c>
      <c r="AU207" s="1058">
        <v>0.52454102660172341</v>
      </c>
      <c r="AV207" s="1205">
        <v>40</v>
      </c>
      <c r="AW207" s="1206">
        <v>1026</v>
      </c>
      <c r="AX207" s="553">
        <v>330</v>
      </c>
      <c r="AY207" s="572">
        <v>500</v>
      </c>
      <c r="AZ207" s="572">
        <v>180</v>
      </c>
      <c r="BA207" s="573">
        <v>2.9700000000000001E-2</v>
      </c>
      <c r="BB207" s="573"/>
      <c r="BC207" s="572">
        <v>60</v>
      </c>
      <c r="BD207" s="1059">
        <v>0.40622336999999992</v>
      </c>
      <c r="BE207" s="574">
        <v>0.40622336999999992</v>
      </c>
      <c r="BF207" s="1060">
        <v>2</v>
      </c>
      <c r="BG207" s="163" t="s">
        <v>8905</v>
      </c>
      <c r="BK207" s="163">
        <v>-10</v>
      </c>
      <c r="BM207" s="163" t="s">
        <v>8905</v>
      </c>
    </row>
    <row r="208" spans="1:65" ht="35.25" customHeight="1">
      <c r="A208" s="1207" t="s">
        <v>9227</v>
      </c>
      <c r="B208" s="163" t="s">
        <v>2825</v>
      </c>
      <c r="C208" s="164" t="s">
        <v>6746</v>
      </c>
      <c r="D208" s="1552" t="s">
        <v>6746</v>
      </c>
      <c r="E208" s="1554" t="s">
        <v>8916</v>
      </c>
      <c r="F208" s="1137" t="s">
        <v>9228</v>
      </c>
      <c r="G208" s="1208"/>
      <c r="H208" s="1555"/>
      <c r="I208" s="1209"/>
      <c r="J208" s="1210" t="s">
        <v>2825</v>
      </c>
      <c r="K208" s="1210" t="s">
        <v>2824</v>
      </c>
      <c r="L208" s="1211" t="s">
        <v>9229</v>
      </c>
      <c r="M208" s="1066">
        <v>1</v>
      </c>
      <c r="N208" s="1068">
        <v>60</v>
      </c>
      <c r="O208" s="589" t="s">
        <v>4690</v>
      </c>
      <c r="P208" s="1212">
        <v>1000</v>
      </c>
      <c r="Q208" s="1066">
        <v>40</v>
      </c>
      <c r="R208" s="1213">
        <v>7648</v>
      </c>
      <c r="S208" s="1214">
        <v>424.88888888888891</v>
      </c>
      <c r="T208" s="1215">
        <v>10.622222222222224</v>
      </c>
      <c r="U208" s="1216">
        <v>424.88888888888891</v>
      </c>
      <c r="V208" s="1217">
        <v>0.29345120641777778</v>
      </c>
      <c r="W208" s="1218">
        <v>0.31548000000000004</v>
      </c>
      <c r="X208" s="1219">
        <v>37</v>
      </c>
      <c r="Y208" s="1220">
        <v>4</v>
      </c>
      <c r="Z208" s="1221">
        <v>3</v>
      </c>
      <c r="AA208" s="1066">
        <v>3</v>
      </c>
      <c r="AB208" s="1222">
        <v>43</v>
      </c>
      <c r="AC208" s="1223" t="s">
        <v>8898</v>
      </c>
      <c r="AD208" s="1224" t="s">
        <v>8898</v>
      </c>
      <c r="AE208" s="1225">
        <v>42</v>
      </c>
      <c r="AF208" s="1226">
        <v>1</v>
      </c>
      <c r="AG208" s="1227">
        <v>30</v>
      </c>
      <c r="AH208" s="1228">
        <v>30</v>
      </c>
      <c r="AI208" s="1229">
        <v>0</v>
      </c>
      <c r="AJ208" s="1230"/>
      <c r="AK208" s="253" t="s">
        <v>2825</v>
      </c>
      <c r="AL208" s="254" t="str">
        <f t="shared" ref="AL208:AM224" si="7">O208</f>
        <v>HAN111</v>
      </c>
      <c r="AM208" s="255">
        <f t="shared" si="7"/>
        <v>1000</v>
      </c>
      <c r="AN208" s="534" t="s">
        <v>8918</v>
      </c>
      <c r="AO208" s="535">
        <v>2.6</v>
      </c>
      <c r="AP208" s="536">
        <v>247</v>
      </c>
      <c r="AQ208" s="536">
        <v>137</v>
      </c>
      <c r="AR208" s="643">
        <f t="shared" si="6"/>
        <v>0.69065398999999994</v>
      </c>
      <c r="AS208" s="644"/>
      <c r="AT208" s="642"/>
      <c r="AU208" s="1231"/>
      <c r="AV208" s="536">
        <v>40</v>
      </c>
      <c r="AW208" s="536">
        <v>1026</v>
      </c>
      <c r="AX208" s="642">
        <v>330</v>
      </c>
      <c r="AY208" s="648">
        <v>500</v>
      </c>
      <c r="AZ208" s="648">
        <v>180</v>
      </c>
      <c r="BA208" s="649">
        <v>2.9700000000000001E-2</v>
      </c>
      <c r="BB208" s="649"/>
      <c r="BC208" s="264"/>
      <c r="BD208" s="650">
        <v>0.23</v>
      </c>
      <c r="BE208" s="651"/>
      <c r="BF208" s="642"/>
      <c r="BG208" s="163" t="s">
        <v>8953</v>
      </c>
      <c r="BH208" s="163">
        <v>2</v>
      </c>
      <c r="BK208" s="163">
        <v>0</v>
      </c>
      <c r="BM208" s="163" t="s">
        <v>8905</v>
      </c>
    </row>
    <row r="209" spans="1:65" ht="35.25" customHeight="1">
      <c r="A209" s="1207" t="s">
        <v>9230</v>
      </c>
      <c r="B209" s="163" t="s">
        <v>2849</v>
      </c>
      <c r="C209" s="164" t="s">
        <v>6746</v>
      </c>
      <c r="D209" s="1553"/>
      <c r="E209" s="1549"/>
      <c r="F209" s="228" t="s">
        <v>9228</v>
      </c>
      <c r="G209" s="916"/>
      <c r="H209" s="1539"/>
      <c r="I209" s="909"/>
      <c r="J209" s="1232" t="s">
        <v>2849</v>
      </c>
      <c r="K209" s="1232" t="s">
        <v>2848</v>
      </c>
      <c r="L209" s="1233" t="s">
        <v>9231</v>
      </c>
      <c r="M209" s="490">
        <v>1</v>
      </c>
      <c r="N209" s="759">
        <v>60</v>
      </c>
      <c r="O209" s="642" t="s">
        <v>4690</v>
      </c>
      <c r="P209" s="898">
        <v>1000</v>
      </c>
      <c r="Q209" s="490">
        <v>40</v>
      </c>
      <c r="R209" s="237">
        <v>7648</v>
      </c>
      <c r="S209" s="302">
        <v>424.88888888888891</v>
      </c>
      <c r="T209" s="399">
        <v>10.622222222222224</v>
      </c>
      <c r="U209" s="492">
        <v>424.88888888888891</v>
      </c>
      <c r="V209" s="790">
        <v>0.29345120641777778</v>
      </c>
      <c r="W209" s="900">
        <v>0.31548000000000004</v>
      </c>
      <c r="X209" s="392">
        <v>37</v>
      </c>
      <c r="Y209" s="488">
        <v>4</v>
      </c>
      <c r="Z209" s="1010">
        <v>3</v>
      </c>
      <c r="AA209" s="858">
        <v>3</v>
      </c>
      <c r="AB209" s="310">
        <v>43</v>
      </c>
      <c r="AC209" s="1091" t="s">
        <v>8898</v>
      </c>
      <c r="AD209" s="1090" t="s">
        <v>8898</v>
      </c>
      <c r="AE209" s="762">
        <v>42</v>
      </c>
      <c r="AF209" s="250">
        <v>1</v>
      </c>
      <c r="AG209" s="313">
        <v>30</v>
      </c>
      <c r="AH209" s="638">
        <v>30</v>
      </c>
      <c r="AI209" s="639">
        <v>0</v>
      </c>
      <c r="AJ209" s="1005"/>
      <c r="AK209" s="253" t="s">
        <v>2849</v>
      </c>
      <c r="AL209" s="254" t="str">
        <f t="shared" si="7"/>
        <v>HAN111</v>
      </c>
      <c r="AM209" s="255">
        <f t="shared" si="7"/>
        <v>1000</v>
      </c>
      <c r="AN209" s="640" t="s">
        <v>8918</v>
      </c>
      <c r="AO209" s="535">
        <v>2.6</v>
      </c>
      <c r="AP209" s="536">
        <v>247</v>
      </c>
      <c r="AQ209" s="536">
        <v>137</v>
      </c>
      <c r="AR209" s="643">
        <f t="shared" ref="AR209:AR230" si="8">((AO209*AP209*AQ209)*7.85/1000000)/M209</f>
        <v>0.69065398999999994</v>
      </c>
      <c r="AS209" s="644"/>
      <c r="AT209" s="642"/>
      <c r="AU209" s="1231"/>
      <c r="AV209" s="536">
        <v>40</v>
      </c>
      <c r="AW209" s="536">
        <v>1026</v>
      </c>
      <c r="AX209" s="642">
        <v>330</v>
      </c>
      <c r="AY209" s="648">
        <v>500</v>
      </c>
      <c r="AZ209" s="648">
        <v>180</v>
      </c>
      <c r="BA209" s="649">
        <v>2.9700000000000001E-2</v>
      </c>
      <c r="BB209" s="649"/>
      <c r="BC209" s="264"/>
      <c r="BD209" s="650">
        <v>0.23</v>
      </c>
      <c r="BE209" s="651"/>
      <c r="BF209" s="642"/>
      <c r="BG209" s="163" t="s">
        <v>8953</v>
      </c>
      <c r="BH209" s="163">
        <v>2</v>
      </c>
      <c r="BK209" s="163">
        <v>0</v>
      </c>
      <c r="BM209" s="163" t="s">
        <v>8905</v>
      </c>
    </row>
    <row r="210" spans="1:65" ht="35.25" customHeight="1">
      <c r="A210" s="1207" t="s">
        <v>9232</v>
      </c>
      <c r="B210" s="163" t="s">
        <v>1571</v>
      </c>
      <c r="C210" s="164" t="s">
        <v>6746</v>
      </c>
      <c r="D210" s="1553"/>
      <c r="E210" s="1120"/>
      <c r="F210" s="228" t="s">
        <v>9233</v>
      </c>
      <c r="G210" s="916"/>
      <c r="H210" s="909"/>
      <c r="I210" s="909"/>
      <c r="J210" s="1232" t="s">
        <v>1571</v>
      </c>
      <c r="K210" s="1232" t="s">
        <v>1570</v>
      </c>
      <c r="L210" s="1234" t="s">
        <v>9234</v>
      </c>
      <c r="M210" s="1100">
        <v>2</v>
      </c>
      <c r="N210" s="759">
        <v>60</v>
      </c>
      <c r="O210" s="642" t="s">
        <v>4628</v>
      </c>
      <c r="P210" s="898">
        <v>1000</v>
      </c>
      <c r="Q210" s="1100">
        <v>40</v>
      </c>
      <c r="R210" s="237">
        <v>29044</v>
      </c>
      <c r="S210" s="302">
        <v>1613.5555555555557</v>
      </c>
      <c r="T210" s="838">
        <v>40.338888888888889</v>
      </c>
      <c r="U210" s="1103">
        <v>806.77777777777783</v>
      </c>
      <c r="V210" s="790">
        <v>0.50387933380833339</v>
      </c>
      <c r="W210" s="1104">
        <v>1.1980649999999999</v>
      </c>
      <c r="X210" s="1121">
        <v>81</v>
      </c>
      <c r="Y210" s="488">
        <v>4</v>
      </c>
      <c r="Z210" s="1105">
        <v>11</v>
      </c>
      <c r="AA210" s="787">
        <v>10</v>
      </c>
      <c r="AB210" s="310">
        <v>102</v>
      </c>
      <c r="AC210" s="1091" t="s">
        <v>8898</v>
      </c>
      <c r="AD210" s="1106" t="s">
        <v>8898</v>
      </c>
      <c r="AE210" s="1107">
        <v>97</v>
      </c>
      <c r="AF210" s="250">
        <v>5</v>
      </c>
      <c r="AG210" s="313">
        <v>80</v>
      </c>
      <c r="AH210" s="1108">
        <v>80</v>
      </c>
      <c r="AI210" s="1109">
        <v>0</v>
      </c>
      <c r="AJ210" s="1153"/>
      <c r="AK210" s="253" t="s">
        <v>1571</v>
      </c>
      <c r="AL210" s="254" t="str">
        <f t="shared" si="7"/>
        <v>HAN108</v>
      </c>
      <c r="AM210" s="255">
        <f t="shared" si="7"/>
        <v>1000</v>
      </c>
      <c r="AN210" s="981" t="s">
        <v>8899</v>
      </c>
      <c r="AO210" s="982">
        <v>2.9</v>
      </c>
      <c r="AP210" s="983">
        <v>295</v>
      </c>
      <c r="AQ210" s="983">
        <v>93</v>
      </c>
      <c r="AR210" s="984">
        <f t="shared" si="8"/>
        <v>0.31227888749999999</v>
      </c>
      <c r="AS210" s="985"/>
      <c r="AT210" s="983"/>
      <c r="AU210" s="1235"/>
      <c r="AV210" s="536">
        <v>40</v>
      </c>
      <c r="AW210" s="536">
        <v>1026</v>
      </c>
      <c r="AX210" s="983">
        <v>330</v>
      </c>
      <c r="AY210" s="686">
        <v>500</v>
      </c>
      <c r="AZ210" s="686">
        <v>180</v>
      </c>
      <c r="BA210" s="988">
        <v>2.9700000000000001E-2</v>
      </c>
      <c r="BB210" s="988"/>
      <c r="BC210" s="686"/>
      <c r="BD210" s="1111">
        <v>0.21299999999999999</v>
      </c>
      <c r="BE210" s="989"/>
      <c r="BF210" s="983"/>
      <c r="BG210" s="163" t="s">
        <v>8953</v>
      </c>
      <c r="BH210" s="163">
        <v>2</v>
      </c>
      <c r="BK210" s="163">
        <v>0</v>
      </c>
      <c r="BM210" s="163" t="s">
        <v>8905</v>
      </c>
    </row>
    <row r="211" spans="1:65" ht="35.25" customHeight="1" thickBot="1">
      <c r="A211" s="1207" t="s">
        <v>9235</v>
      </c>
      <c r="B211" s="163" t="s">
        <v>1675</v>
      </c>
      <c r="C211" s="164" t="s">
        <v>6746</v>
      </c>
      <c r="D211" s="1553"/>
      <c r="E211" s="1548" t="s">
        <v>8916</v>
      </c>
      <c r="F211" s="228" t="s">
        <v>9236</v>
      </c>
      <c r="G211" s="1096"/>
      <c r="H211" s="1538"/>
      <c r="I211" s="1236"/>
      <c r="J211" s="1232" t="s">
        <v>1675</v>
      </c>
      <c r="K211" s="1232" t="s">
        <v>1674</v>
      </c>
      <c r="L211" s="1233" t="s">
        <v>9237</v>
      </c>
      <c r="M211" s="787">
        <v>1</v>
      </c>
      <c r="N211" s="759">
        <v>60</v>
      </c>
      <c r="O211" s="642" t="s">
        <v>4638</v>
      </c>
      <c r="P211" s="898">
        <v>1000</v>
      </c>
      <c r="Q211" s="787">
        <v>40</v>
      </c>
      <c r="R211" s="237">
        <v>14857</v>
      </c>
      <c r="S211" s="302">
        <v>825.38888888888891</v>
      </c>
      <c r="T211" s="399">
        <v>20.634722222222223</v>
      </c>
      <c r="U211" s="492">
        <v>825.38888888888891</v>
      </c>
      <c r="V211" s="1113">
        <v>0.62570626924999995</v>
      </c>
      <c r="W211" s="791">
        <v>0.61285125000000007</v>
      </c>
      <c r="X211" s="841">
        <v>33</v>
      </c>
      <c r="Y211" s="488">
        <v>4</v>
      </c>
      <c r="Z211" s="489">
        <v>6</v>
      </c>
      <c r="AA211" s="787">
        <v>5</v>
      </c>
      <c r="AB211" s="842">
        <v>44</v>
      </c>
      <c r="AC211" s="1089" t="s">
        <v>8898</v>
      </c>
      <c r="AD211" s="1114" t="s">
        <v>8898</v>
      </c>
      <c r="AE211" s="689">
        <v>42</v>
      </c>
      <c r="AF211" s="844">
        <v>2</v>
      </c>
      <c r="AG211" s="845">
        <v>30</v>
      </c>
      <c r="AH211" s="531">
        <v>30</v>
      </c>
      <c r="AI211" s="532">
        <v>0</v>
      </c>
      <c r="AJ211" s="1005"/>
      <c r="AK211" s="253" t="s">
        <v>1675</v>
      </c>
      <c r="AL211" s="254" t="str">
        <f t="shared" si="7"/>
        <v>HAN107</v>
      </c>
      <c r="AM211" s="255">
        <f t="shared" si="7"/>
        <v>1000</v>
      </c>
      <c r="AN211" s="566" t="s">
        <v>8899</v>
      </c>
      <c r="AO211" s="1237">
        <v>2.9</v>
      </c>
      <c r="AP211" s="1173">
        <v>333</v>
      </c>
      <c r="AQ211" s="1173">
        <v>100</v>
      </c>
      <c r="AR211" s="537">
        <f t="shared" si="8"/>
        <v>0.75807449999999998</v>
      </c>
      <c r="AS211" s="538"/>
      <c r="AT211" s="536"/>
      <c r="AU211" s="1238"/>
      <c r="AV211" s="536">
        <v>40</v>
      </c>
      <c r="AW211" s="536">
        <v>1026</v>
      </c>
      <c r="AX211" s="553">
        <v>330</v>
      </c>
      <c r="AY211" s="572">
        <v>500</v>
      </c>
      <c r="AZ211" s="572">
        <v>180</v>
      </c>
      <c r="BA211" s="573">
        <v>2.9700000000000001E-2</v>
      </c>
      <c r="BB211" s="573"/>
      <c r="BC211" s="572"/>
      <c r="BD211" s="1059">
        <v>0.246</v>
      </c>
      <c r="BE211" s="574"/>
      <c r="BF211" s="1060"/>
      <c r="BG211" s="163" t="s">
        <v>8953</v>
      </c>
      <c r="BH211" s="163">
        <v>2</v>
      </c>
      <c r="BK211" s="163">
        <v>0</v>
      </c>
      <c r="BM211" s="163" t="s">
        <v>8905</v>
      </c>
    </row>
    <row r="212" spans="1:65" ht="35.25" customHeight="1">
      <c r="A212" s="1207" t="s">
        <v>9238</v>
      </c>
      <c r="B212" s="163" t="s">
        <v>1709</v>
      </c>
      <c r="C212" s="164" t="s">
        <v>6746</v>
      </c>
      <c r="D212" s="1553"/>
      <c r="E212" s="1549"/>
      <c r="F212" s="228" t="s">
        <v>9236</v>
      </c>
      <c r="G212" s="916"/>
      <c r="H212" s="1539"/>
      <c r="I212" s="1236"/>
      <c r="J212" s="1232" t="s">
        <v>1709</v>
      </c>
      <c r="K212" s="1232" t="s">
        <v>1708</v>
      </c>
      <c r="L212" s="1233" t="s">
        <v>9239</v>
      </c>
      <c r="M212" s="858">
        <v>1</v>
      </c>
      <c r="N212" s="759">
        <v>60</v>
      </c>
      <c r="O212" s="642" t="s">
        <v>4638</v>
      </c>
      <c r="P212" s="898">
        <v>1000</v>
      </c>
      <c r="Q212" s="858">
        <v>40</v>
      </c>
      <c r="R212" s="237">
        <v>14147</v>
      </c>
      <c r="S212" s="302">
        <v>785.94444444444446</v>
      </c>
      <c r="T212" s="838">
        <v>19.648611111111112</v>
      </c>
      <c r="U212" s="1103">
        <v>785.94444444444446</v>
      </c>
      <c r="V212" s="1113">
        <v>0.59580444175000002</v>
      </c>
      <c r="W212" s="1154">
        <v>0.58356375000000005</v>
      </c>
      <c r="X212" s="841">
        <v>33</v>
      </c>
      <c r="Y212" s="488">
        <v>4</v>
      </c>
      <c r="Z212" s="489">
        <v>5</v>
      </c>
      <c r="AA212" s="787">
        <v>5</v>
      </c>
      <c r="AB212" s="842">
        <v>43</v>
      </c>
      <c r="AC212" s="1239" t="s">
        <v>8898</v>
      </c>
      <c r="AD212" s="1239" t="s">
        <v>8898</v>
      </c>
      <c r="AE212" s="689">
        <v>41</v>
      </c>
      <c r="AF212" s="250">
        <v>2</v>
      </c>
      <c r="AG212" s="313">
        <v>30</v>
      </c>
      <c r="AH212" s="531">
        <v>30</v>
      </c>
      <c r="AI212" s="532">
        <v>0</v>
      </c>
      <c r="AJ212" s="1153"/>
      <c r="AK212" s="253" t="s">
        <v>1709</v>
      </c>
      <c r="AL212" s="254" t="str">
        <f t="shared" si="7"/>
        <v>HAN107</v>
      </c>
      <c r="AM212" s="255">
        <f t="shared" si="7"/>
        <v>1000</v>
      </c>
      <c r="AN212" s="618" t="s">
        <v>8899</v>
      </c>
      <c r="AO212" s="535">
        <v>2.9</v>
      </c>
      <c r="AP212" s="536">
        <v>333</v>
      </c>
      <c r="AQ212" s="536">
        <v>100</v>
      </c>
      <c r="AR212" s="537">
        <f t="shared" si="8"/>
        <v>0.75807449999999998</v>
      </c>
      <c r="AS212" s="538"/>
      <c r="AT212" s="536"/>
      <c r="AU212" s="1238"/>
      <c r="AV212" s="536">
        <v>40</v>
      </c>
      <c r="AW212" s="536">
        <v>1026</v>
      </c>
      <c r="AX212" s="620">
        <v>330</v>
      </c>
      <c r="AY212" s="626">
        <v>500</v>
      </c>
      <c r="AZ212" s="626">
        <v>180</v>
      </c>
      <c r="BA212" s="627">
        <v>2.9700000000000001E-2</v>
      </c>
      <c r="BB212" s="627"/>
      <c r="BC212" s="325"/>
      <c r="BD212" s="628">
        <v>0.246</v>
      </c>
      <c r="BE212" s="629"/>
      <c r="BF212" s="1028"/>
      <c r="BG212" s="163" t="s">
        <v>8953</v>
      </c>
      <c r="BH212" s="163">
        <v>2</v>
      </c>
      <c r="BK212" s="163">
        <v>0</v>
      </c>
      <c r="BM212" s="163" t="s">
        <v>8905</v>
      </c>
    </row>
    <row r="213" spans="1:65" ht="35.25" customHeight="1">
      <c r="A213" s="1207" t="s">
        <v>9240</v>
      </c>
      <c r="B213" s="163" t="s">
        <v>1398</v>
      </c>
      <c r="C213" s="164" t="s">
        <v>6746</v>
      </c>
      <c r="D213" s="1553"/>
      <c r="E213" s="755"/>
      <c r="F213" s="228" t="s">
        <v>9241</v>
      </c>
      <c r="G213" s="1042"/>
      <c r="H213" s="1042"/>
      <c r="I213" s="1236"/>
      <c r="J213" s="1232" t="s">
        <v>1398</v>
      </c>
      <c r="K213" s="1232" t="s">
        <v>1397</v>
      </c>
      <c r="L213" s="1240" t="s">
        <v>101</v>
      </c>
      <c r="M213" s="858">
        <v>1</v>
      </c>
      <c r="N213" s="759">
        <v>60</v>
      </c>
      <c r="O213" s="642" t="s">
        <v>4564</v>
      </c>
      <c r="P213" s="898">
        <v>2000</v>
      </c>
      <c r="Q213" s="858">
        <v>25</v>
      </c>
      <c r="R213" s="237">
        <v>58048</v>
      </c>
      <c r="S213" s="302">
        <v>3224.8888888888887</v>
      </c>
      <c r="T213" s="399">
        <v>128.99555555555554</v>
      </c>
      <c r="U213" s="400">
        <v>3224.8888888888887</v>
      </c>
      <c r="V213" s="401">
        <v>1.0096228334577775</v>
      </c>
      <c r="W213" s="402">
        <v>5.4436124444444438</v>
      </c>
      <c r="X213" s="841">
        <v>108</v>
      </c>
      <c r="Y213" s="488">
        <v>8</v>
      </c>
      <c r="Z213" s="1010">
        <v>65</v>
      </c>
      <c r="AA213" s="858">
        <v>32</v>
      </c>
      <c r="AB213" s="310">
        <v>205</v>
      </c>
      <c r="AC213" s="1241">
        <v>3</v>
      </c>
      <c r="AD213" s="1242">
        <v>24</v>
      </c>
      <c r="AE213" s="952">
        <v>184</v>
      </c>
      <c r="AF213" s="250">
        <v>21</v>
      </c>
      <c r="AG213" s="313">
        <v>100</v>
      </c>
      <c r="AH213" s="584">
        <v>100</v>
      </c>
      <c r="AI213" s="585">
        <v>0</v>
      </c>
      <c r="AJ213" s="894"/>
      <c r="AK213" s="253" t="s">
        <v>1398</v>
      </c>
      <c r="AL213" s="254" t="str">
        <f t="shared" si="7"/>
        <v>HAN110</v>
      </c>
      <c r="AM213" s="255">
        <f t="shared" si="7"/>
        <v>2000</v>
      </c>
      <c r="AN213" s="640" t="s">
        <v>9220</v>
      </c>
      <c r="AO213" s="535">
        <v>1.4</v>
      </c>
      <c r="AP213" s="536">
        <v>467</v>
      </c>
      <c r="AQ213" s="536">
        <v>122</v>
      </c>
      <c r="AR213" s="537">
        <f t="shared" si="8"/>
        <v>0.6261442599999999</v>
      </c>
      <c r="AS213" s="538"/>
      <c r="AT213" s="536"/>
      <c r="AU213" s="1238"/>
      <c r="AV213" s="536">
        <v>25</v>
      </c>
      <c r="AW213" s="536">
        <v>2546</v>
      </c>
      <c r="AX213" s="642">
        <v>370</v>
      </c>
      <c r="AY213" s="648">
        <v>570</v>
      </c>
      <c r="AZ213" s="648">
        <v>200</v>
      </c>
      <c r="BA213" s="649">
        <v>4.2200000000000001E-2</v>
      </c>
      <c r="BB213" s="649"/>
      <c r="BC213" s="264"/>
      <c r="BD213" s="650">
        <v>0.53700000000000003</v>
      </c>
      <c r="BE213" s="651"/>
      <c r="BF213" s="1030"/>
      <c r="BG213" s="163" t="s">
        <v>8932</v>
      </c>
      <c r="BH213" s="163">
        <v>3</v>
      </c>
      <c r="BK213" s="163">
        <v>0</v>
      </c>
      <c r="BM213" s="163" t="s">
        <v>8905</v>
      </c>
    </row>
    <row r="214" spans="1:65" ht="35.25" customHeight="1">
      <c r="A214" s="1207" t="s">
        <v>9242</v>
      </c>
      <c r="B214" s="163" t="s">
        <v>1738</v>
      </c>
      <c r="C214" s="164" t="s">
        <v>6746</v>
      </c>
      <c r="D214" s="1553"/>
      <c r="E214" s="1556" t="s">
        <v>8916</v>
      </c>
      <c r="F214" s="228" t="s">
        <v>9243</v>
      </c>
      <c r="G214" s="910"/>
      <c r="H214" s="1538"/>
      <c r="I214" s="1236"/>
      <c r="J214" s="1232" t="s">
        <v>1738</v>
      </c>
      <c r="K214" s="1232" t="s">
        <v>1737</v>
      </c>
      <c r="L214" s="1233" t="s">
        <v>9244</v>
      </c>
      <c r="M214" s="787">
        <v>1</v>
      </c>
      <c r="N214" s="759">
        <v>60</v>
      </c>
      <c r="O214" s="642" t="s">
        <v>4624</v>
      </c>
      <c r="P214" s="898">
        <v>1000</v>
      </c>
      <c r="Q214" s="787">
        <v>40</v>
      </c>
      <c r="R214" s="237">
        <v>29004</v>
      </c>
      <c r="S214" s="302">
        <v>1611.3333333333333</v>
      </c>
      <c r="T214" s="399">
        <v>40.283333333333331</v>
      </c>
      <c r="U214" s="492">
        <v>1611.3333333333333</v>
      </c>
      <c r="V214" s="790">
        <v>1.0345691028399999</v>
      </c>
      <c r="W214" s="791">
        <v>1.196415</v>
      </c>
      <c r="X214" s="392">
        <v>39</v>
      </c>
      <c r="Y214" s="488">
        <v>4</v>
      </c>
      <c r="Z214" s="489">
        <v>11</v>
      </c>
      <c r="AA214" s="787">
        <v>10</v>
      </c>
      <c r="AB214" s="310">
        <v>60</v>
      </c>
      <c r="AC214" s="299" t="s">
        <v>8898</v>
      </c>
      <c r="AD214" s="299"/>
      <c r="AE214" s="689">
        <v>55</v>
      </c>
      <c r="AF214" s="250">
        <v>5</v>
      </c>
      <c r="AG214" s="313">
        <v>30</v>
      </c>
      <c r="AH214" s="531">
        <v>30</v>
      </c>
      <c r="AI214" s="532">
        <v>0</v>
      </c>
      <c r="AJ214" s="894"/>
      <c r="AK214" s="253" t="s">
        <v>1738</v>
      </c>
      <c r="AL214" s="254" t="str">
        <f t="shared" si="7"/>
        <v>HAN109</v>
      </c>
      <c r="AM214" s="255">
        <f t="shared" si="7"/>
        <v>1000</v>
      </c>
      <c r="AN214" s="534" t="s">
        <v>8899</v>
      </c>
      <c r="AO214" s="535">
        <v>2.6</v>
      </c>
      <c r="AP214" s="536">
        <v>321</v>
      </c>
      <c r="AQ214" s="536">
        <v>98</v>
      </c>
      <c r="AR214" s="537">
        <f t="shared" si="8"/>
        <v>0.64205778000000002</v>
      </c>
      <c r="AS214" s="538"/>
      <c r="AT214" s="536"/>
      <c r="AU214" s="1238"/>
      <c r="AV214" s="536">
        <v>40</v>
      </c>
      <c r="AW214" s="536">
        <v>1026</v>
      </c>
      <c r="AX214" s="536">
        <v>330</v>
      </c>
      <c r="AY214" s="290">
        <v>500</v>
      </c>
      <c r="AZ214" s="290">
        <v>180</v>
      </c>
      <c r="BA214" s="541">
        <v>2.9700000000000001E-2</v>
      </c>
      <c r="BB214" s="541"/>
      <c r="BC214" s="290"/>
      <c r="BD214" s="542">
        <v>0.626</v>
      </c>
      <c r="BE214" s="543"/>
      <c r="BF214" s="1026"/>
      <c r="BG214" s="163" t="s">
        <v>8953</v>
      </c>
      <c r="BH214" s="163">
        <v>2</v>
      </c>
      <c r="BK214" s="163">
        <v>0</v>
      </c>
      <c r="BM214" s="163" t="s">
        <v>8905</v>
      </c>
    </row>
    <row r="215" spans="1:65" ht="35.25" customHeight="1">
      <c r="A215" s="1207" t="s">
        <v>9245</v>
      </c>
      <c r="B215" s="163" t="s">
        <v>1631</v>
      </c>
      <c r="C215" s="164" t="s">
        <v>6746</v>
      </c>
      <c r="D215" s="1553"/>
      <c r="E215" s="1557"/>
      <c r="F215" s="228" t="s">
        <v>9243</v>
      </c>
      <c r="G215" s="916"/>
      <c r="H215" s="1539"/>
      <c r="I215" s="1236"/>
      <c r="J215" s="1232" t="s">
        <v>1631</v>
      </c>
      <c r="K215" s="1232" t="s">
        <v>1630</v>
      </c>
      <c r="L215" s="1243" t="s">
        <v>9246</v>
      </c>
      <c r="M215" s="490">
        <v>1</v>
      </c>
      <c r="N215" s="759">
        <v>60</v>
      </c>
      <c r="O215" s="642" t="s">
        <v>4624</v>
      </c>
      <c r="P215" s="898">
        <v>1000</v>
      </c>
      <c r="Q215" s="490">
        <v>40</v>
      </c>
      <c r="R215" s="237">
        <v>29044</v>
      </c>
      <c r="S215" s="302">
        <v>1613.5555555555557</v>
      </c>
      <c r="T215" s="399">
        <v>40.338888888888889</v>
      </c>
      <c r="U215" s="492">
        <v>1613.5555555555557</v>
      </c>
      <c r="V215" s="790">
        <v>1.0359958979066668</v>
      </c>
      <c r="W215" s="900">
        <v>1.1980649999999999</v>
      </c>
      <c r="X215" s="392">
        <v>39</v>
      </c>
      <c r="Y215" s="488">
        <v>4</v>
      </c>
      <c r="Z215" s="489">
        <v>11</v>
      </c>
      <c r="AA215" s="787">
        <v>10</v>
      </c>
      <c r="AB215" s="310">
        <v>60</v>
      </c>
      <c r="AC215" s="1239" t="s">
        <v>8898</v>
      </c>
      <c r="AD215" s="1239" t="s">
        <v>8898</v>
      </c>
      <c r="AE215" s="762">
        <v>55</v>
      </c>
      <c r="AF215" s="250">
        <v>5</v>
      </c>
      <c r="AG215" s="313">
        <v>30</v>
      </c>
      <c r="AH215" s="638">
        <v>30</v>
      </c>
      <c r="AI215" s="639">
        <v>0</v>
      </c>
      <c r="AJ215" s="894"/>
      <c r="AK215" s="253" t="s">
        <v>1631</v>
      </c>
      <c r="AL215" s="254" t="str">
        <f t="shared" si="7"/>
        <v>HAN109</v>
      </c>
      <c r="AM215" s="255">
        <f t="shared" si="7"/>
        <v>1000</v>
      </c>
      <c r="AN215" s="534" t="s">
        <v>8899</v>
      </c>
      <c r="AO215" s="535">
        <v>2.6</v>
      </c>
      <c r="AP215" s="536">
        <v>321</v>
      </c>
      <c r="AQ215" s="536">
        <v>98</v>
      </c>
      <c r="AR215" s="537">
        <f t="shared" si="8"/>
        <v>0.64205778000000002</v>
      </c>
      <c r="AS215" s="538"/>
      <c r="AT215" s="536"/>
      <c r="AU215" s="1238"/>
      <c r="AV215" s="536">
        <v>40</v>
      </c>
      <c r="AW215" s="536">
        <v>1026</v>
      </c>
      <c r="AX215" s="642">
        <v>330</v>
      </c>
      <c r="AY215" s="648">
        <v>500</v>
      </c>
      <c r="AZ215" s="648">
        <v>180</v>
      </c>
      <c r="BA215" s="649">
        <v>2.9700000000000001E-2</v>
      </c>
      <c r="BB215" s="649"/>
      <c r="BC215" s="264"/>
      <c r="BD215" s="650">
        <v>0.626</v>
      </c>
      <c r="BE215" s="651"/>
      <c r="BF215" s="642"/>
      <c r="BG215" s="163" t="s">
        <v>8953</v>
      </c>
      <c r="BH215" s="163">
        <v>2</v>
      </c>
      <c r="BK215" s="163">
        <v>0</v>
      </c>
      <c r="BM215" s="163" t="s">
        <v>8905</v>
      </c>
    </row>
    <row r="216" spans="1:65" ht="35.25" customHeight="1" thickBot="1">
      <c r="A216" s="1207" t="s">
        <v>9247</v>
      </c>
      <c r="B216" s="163" t="s">
        <v>351</v>
      </c>
      <c r="C216" s="164" t="s">
        <v>6746</v>
      </c>
      <c r="D216" s="1553"/>
      <c r="E216" s="1128"/>
      <c r="F216" s="546" t="s">
        <v>9248</v>
      </c>
      <c r="G216" s="1244"/>
      <c r="H216" s="1245"/>
      <c r="I216" s="1245"/>
      <c r="J216" s="1246" t="s">
        <v>351</v>
      </c>
      <c r="K216" s="1246" t="s">
        <v>350</v>
      </c>
      <c r="L216" s="1247" t="s">
        <v>7923</v>
      </c>
      <c r="M216" s="550">
        <v>2</v>
      </c>
      <c r="N216" s="552">
        <v>50</v>
      </c>
      <c r="O216" s="553" t="s">
        <v>4490</v>
      </c>
      <c r="P216" s="1151">
        <v>2000</v>
      </c>
      <c r="Q216" s="550">
        <v>40</v>
      </c>
      <c r="R216" s="1048">
        <v>51978</v>
      </c>
      <c r="S216" s="1049">
        <v>2887.6666666666665</v>
      </c>
      <c r="T216" s="554">
        <v>172.19166666666666</v>
      </c>
      <c r="U216" s="555">
        <v>1443.8333333333333</v>
      </c>
      <c r="V216" s="1052">
        <v>0.52440008618749989</v>
      </c>
      <c r="W216" s="557">
        <v>7.2664883333333332</v>
      </c>
      <c r="X216" s="558">
        <v>138</v>
      </c>
      <c r="Y216" s="559">
        <v>8</v>
      </c>
      <c r="Z216" s="1133">
        <v>87</v>
      </c>
      <c r="AA216" s="550">
        <v>43</v>
      </c>
      <c r="AB216" s="1053">
        <v>268</v>
      </c>
      <c r="AC216" s="1248">
        <v>4</v>
      </c>
      <c r="AD216" s="1054">
        <v>44</v>
      </c>
      <c r="AE216" s="561">
        <v>256</v>
      </c>
      <c r="AF216" s="1055">
        <v>12</v>
      </c>
      <c r="AG216" s="562">
        <v>130</v>
      </c>
      <c r="AH216" s="563">
        <v>130</v>
      </c>
      <c r="AI216" s="564">
        <v>0</v>
      </c>
      <c r="AJ216" s="1249"/>
      <c r="AK216" s="253" t="s">
        <v>351</v>
      </c>
      <c r="AL216" s="254" t="str">
        <f t="shared" si="7"/>
        <v>HAN112</v>
      </c>
      <c r="AM216" s="255">
        <f t="shared" si="7"/>
        <v>2000</v>
      </c>
      <c r="AN216" s="1250" t="s">
        <v>8982</v>
      </c>
      <c r="AO216" s="1237">
        <v>1</v>
      </c>
      <c r="AP216" s="1173">
        <v>465</v>
      </c>
      <c r="AQ216" s="1173">
        <v>199</v>
      </c>
      <c r="AR216" s="537">
        <f t="shared" si="8"/>
        <v>0.36319987500000001</v>
      </c>
      <c r="AS216" s="1057"/>
      <c r="AT216" s="553"/>
      <c r="AU216" s="1058"/>
      <c r="AV216" s="536">
        <v>40</v>
      </c>
      <c r="AW216" s="536">
        <v>2546</v>
      </c>
      <c r="AX216" s="553">
        <v>370</v>
      </c>
      <c r="AY216" s="572">
        <v>570</v>
      </c>
      <c r="AZ216" s="572">
        <v>200</v>
      </c>
      <c r="BA216" s="573">
        <v>4.2200000000000001E-2</v>
      </c>
      <c r="BB216" s="573">
        <v>1.21</v>
      </c>
      <c r="BC216" s="572"/>
      <c r="BD216" s="1251">
        <v>0.22500000000000001</v>
      </c>
      <c r="BE216" s="574"/>
      <c r="BF216" s="1060"/>
      <c r="BG216" s="163" t="s">
        <v>8953</v>
      </c>
      <c r="BH216" s="163">
        <v>2</v>
      </c>
      <c r="BK216" s="163">
        <v>0</v>
      </c>
      <c r="BM216" s="163" t="s">
        <v>8905</v>
      </c>
    </row>
    <row r="217" spans="1:65" ht="35.25" customHeight="1">
      <c r="A217" s="1207" t="s">
        <v>9249</v>
      </c>
      <c r="B217" s="163" t="s">
        <v>3576</v>
      </c>
      <c r="C217" s="164" t="s">
        <v>9250</v>
      </c>
      <c r="D217" s="1567" t="s">
        <v>9250</v>
      </c>
      <c r="E217" s="1252"/>
      <c r="F217" s="228" t="s">
        <v>9251</v>
      </c>
      <c r="G217" s="916"/>
      <c r="H217" s="805"/>
      <c r="I217" s="805"/>
      <c r="J217" s="1253" t="s">
        <v>3576</v>
      </c>
      <c r="K217" s="1254" t="s">
        <v>3575</v>
      </c>
      <c r="L217" s="1234" t="s">
        <v>9252</v>
      </c>
      <c r="M217" s="858">
        <v>1</v>
      </c>
      <c r="N217" s="947">
        <v>50</v>
      </c>
      <c r="O217" s="1008" t="s">
        <v>4484</v>
      </c>
      <c r="P217" s="1146">
        <v>2500</v>
      </c>
      <c r="Q217" s="858">
        <v>25</v>
      </c>
      <c r="R217" s="237">
        <v>21638</v>
      </c>
      <c r="S217" s="1117">
        <v>1202.1111111111111</v>
      </c>
      <c r="T217" s="399">
        <v>48.084444444444443</v>
      </c>
      <c r="U217" s="492">
        <v>1202.1111111111111</v>
      </c>
      <c r="V217" s="790">
        <v>0.26767403302666665</v>
      </c>
      <c r="W217" s="835">
        <v>1.4281079999999999</v>
      </c>
      <c r="X217" s="392">
        <v>180</v>
      </c>
      <c r="Y217" s="1009">
        <v>4</v>
      </c>
      <c r="Z217" s="1010">
        <v>13</v>
      </c>
      <c r="AA217" s="858">
        <v>12</v>
      </c>
      <c r="AB217" s="310">
        <v>205</v>
      </c>
      <c r="AC217" s="1241">
        <v>8.5</v>
      </c>
      <c r="AD217" s="1242">
        <v>25</v>
      </c>
      <c r="AE217" s="952">
        <v>199</v>
      </c>
      <c r="AF217" s="250">
        <v>6</v>
      </c>
      <c r="AG217" s="313">
        <v>180</v>
      </c>
      <c r="AH217" s="584">
        <v>180</v>
      </c>
      <c r="AI217" s="585">
        <v>0</v>
      </c>
      <c r="AJ217" s="894"/>
      <c r="AK217" s="253" t="s">
        <v>3576</v>
      </c>
      <c r="AL217" s="254" t="str">
        <f t="shared" si="7"/>
        <v>HAN115</v>
      </c>
      <c r="AM217" s="255">
        <f t="shared" si="7"/>
        <v>2500</v>
      </c>
      <c r="AN217" s="534" t="s">
        <v>8982</v>
      </c>
      <c r="AO217" s="535">
        <v>1</v>
      </c>
      <c r="AP217" s="536">
        <v>446</v>
      </c>
      <c r="AQ217" s="536">
        <v>159</v>
      </c>
      <c r="AR217" s="643">
        <f t="shared" si="8"/>
        <v>0.55667489999999997</v>
      </c>
      <c r="AS217" s="644"/>
      <c r="AT217" s="642"/>
      <c r="AU217" s="1231"/>
      <c r="AV217" s="536">
        <v>25</v>
      </c>
      <c r="AW217" s="536">
        <v>2546</v>
      </c>
      <c r="AX217" s="642">
        <v>330</v>
      </c>
      <c r="AY217" s="648">
        <v>500</v>
      </c>
      <c r="AZ217" s="648">
        <v>180</v>
      </c>
      <c r="BA217" s="649">
        <v>2.9700000000000001E-2</v>
      </c>
      <c r="BB217" s="649">
        <v>1.94</v>
      </c>
      <c r="BC217" s="264">
        <v>50</v>
      </c>
      <c r="BD217" s="650">
        <v>0.33</v>
      </c>
      <c r="BE217" s="651"/>
      <c r="BF217" s="642"/>
      <c r="BG217" s="163" t="s">
        <v>8953</v>
      </c>
      <c r="BH217" s="163">
        <v>2</v>
      </c>
      <c r="BK217" s="163">
        <v>0</v>
      </c>
      <c r="BM217" s="163" t="s">
        <v>8905</v>
      </c>
    </row>
    <row r="218" spans="1:65" ht="35.25" customHeight="1">
      <c r="A218" s="1207" t="s">
        <v>9253</v>
      </c>
      <c r="B218" s="163" t="s">
        <v>2743</v>
      </c>
      <c r="C218" s="164" t="s">
        <v>9250</v>
      </c>
      <c r="D218" s="1568"/>
      <c r="E218" s="1255"/>
      <c r="F218" s="228" t="s">
        <v>9254</v>
      </c>
      <c r="G218" s="916"/>
      <c r="H218" s="909"/>
      <c r="I218" s="909"/>
      <c r="J218" s="1256" t="s">
        <v>2743</v>
      </c>
      <c r="K218" s="1232" t="s">
        <v>2742</v>
      </c>
      <c r="L218" s="1233" t="s">
        <v>4823</v>
      </c>
      <c r="M218" s="490">
        <v>1</v>
      </c>
      <c r="N218" s="759">
        <v>50</v>
      </c>
      <c r="O218" s="642" t="s">
        <v>4518</v>
      </c>
      <c r="P218" s="898">
        <v>1500</v>
      </c>
      <c r="Q218" s="490">
        <v>12</v>
      </c>
      <c r="R218" s="237">
        <v>13816</v>
      </c>
      <c r="S218" s="390">
        <v>767.55555555555554</v>
      </c>
      <c r="T218" s="399">
        <v>63.962962962962962</v>
      </c>
      <c r="U218" s="492">
        <v>767.55555555555554</v>
      </c>
      <c r="V218" s="790">
        <v>0.55516252527999999</v>
      </c>
      <c r="W218" s="900">
        <v>1.8996999999999999</v>
      </c>
      <c r="X218" s="392">
        <v>116</v>
      </c>
      <c r="Y218" s="488">
        <v>4</v>
      </c>
      <c r="Z218" s="1010">
        <v>16</v>
      </c>
      <c r="AA218" s="858">
        <v>16</v>
      </c>
      <c r="AB218" s="310">
        <v>148</v>
      </c>
      <c r="AC218" s="1241">
        <v>8.6</v>
      </c>
      <c r="AD218" s="1242">
        <v>34</v>
      </c>
      <c r="AE218" s="762">
        <v>141</v>
      </c>
      <c r="AF218" s="250">
        <v>7</v>
      </c>
      <c r="AG218" s="313">
        <v>110</v>
      </c>
      <c r="AH218" s="638">
        <v>110</v>
      </c>
      <c r="AI218" s="639">
        <v>0</v>
      </c>
      <c r="AJ218" s="1005" t="s">
        <v>9255</v>
      </c>
      <c r="AK218" s="253" t="s">
        <v>2743</v>
      </c>
      <c r="AL218" s="254" t="str">
        <f t="shared" si="7"/>
        <v>HAN116</v>
      </c>
      <c r="AM218" s="255">
        <f t="shared" si="7"/>
        <v>1500</v>
      </c>
      <c r="AN218" s="534" t="s">
        <v>8968</v>
      </c>
      <c r="AO218" s="535">
        <v>1.2</v>
      </c>
      <c r="AP218" s="536">
        <v>573</v>
      </c>
      <c r="AQ218" s="536">
        <v>201</v>
      </c>
      <c r="AR218" s="643">
        <f t="shared" si="8"/>
        <v>1.08492966</v>
      </c>
      <c r="AS218" s="644"/>
      <c r="AT218" s="642"/>
      <c r="AU218" s="1231"/>
      <c r="AV218" s="536">
        <v>12</v>
      </c>
      <c r="AW218" s="536">
        <v>2546</v>
      </c>
      <c r="AX218" s="642">
        <v>330</v>
      </c>
      <c r="AY218" s="648">
        <v>500</v>
      </c>
      <c r="AZ218" s="648">
        <v>180</v>
      </c>
      <c r="BA218" s="649">
        <v>2.9700000000000001E-2</v>
      </c>
      <c r="BB218" s="649">
        <v>2.16</v>
      </c>
      <c r="BC218" s="264">
        <v>50</v>
      </c>
      <c r="BD218" s="650">
        <v>0.68</v>
      </c>
      <c r="BE218" s="651"/>
      <c r="BF218" s="642"/>
      <c r="BG218" s="163" t="s">
        <v>8953</v>
      </c>
      <c r="BH218" s="163">
        <v>2</v>
      </c>
      <c r="BK218" s="163">
        <v>0</v>
      </c>
      <c r="BM218" s="163" t="s">
        <v>8905</v>
      </c>
    </row>
    <row r="219" spans="1:65" ht="35.25" customHeight="1">
      <c r="A219" s="1207" t="s">
        <v>9256</v>
      </c>
      <c r="B219" s="163" t="s">
        <v>2793</v>
      </c>
      <c r="C219" s="164" t="s">
        <v>9250</v>
      </c>
      <c r="D219" s="1568"/>
      <c r="E219" s="1255"/>
      <c r="F219" s="228" t="s">
        <v>9257</v>
      </c>
      <c r="G219" s="916"/>
      <c r="H219" s="909"/>
      <c r="I219" s="909"/>
      <c r="J219" s="1256" t="s">
        <v>2793</v>
      </c>
      <c r="K219" s="1232" t="s">
        <v>2792</v>
      </c>
      <c r="L219" s="1234" t="s">
        <v>4821</v>
      </c>
      <c r="M219" s="1100">
        <v>1</v>
      </c>
      <c r="N219" s="759">
        <v>50</v>
      </c>
      <c r="O219" s="642" t="s">
        <v>4518</v>
      </c>
      <c r="P219" s="898">
        <v>1500</v>
      </c>
      <c r="Q219" s="1100">
        <v>12</v>
      </c>
      <c r="R219" s="237">
        <v>13848</v>
      </c>
      <c r="S219" s="390">
        <v>769.33333333333337</v>
      </c>
      <c r="T219" s="838">
        <v>64.111111111111114</v>
      </c>
      <c r="U219" s="1103">
        <v>769.33333333333337</v>
      </c>
      <c r="V219" s="790">
        <v>0.55644836784000007</v>
      </c>
      <c r="W219" s="1104">
        <v>1.9041000000000001</v>
      </c>
      <c r="X219" s="1121">
        <v>116</v>
      </c>
      <c r="Y219" s="488">
        <v>4</v>
      </c>
      <c r="Z219" s="1105">
        <v>17</v>
      </c>
      <c r="AA219" s="787">
        <v>16</v>
      </c>
      <c r="AB219" s="310">
        <v>149</v>
      </c>
      <c r="AC219" s="1241">
        <v>8.6</v>
      </c>
      <c r="AD219" s="1242">
        <v>34</v>
      </c>
      <c r="AE219" s="1107">
        <v>141</v>
      </c>
      <c r="AF219" s="250">
        <v>8</v>
      </c>
      <c r="AG219" s="313">
        <v>110</v>
      </c>
      <c r="AH219" s="1108">
        <v>110</v>
      </c>
      <c r="AI219" s="1109">
        <v>0</v>
      </c>
      <c r="AJ219" s="1005" t="s">
        <v>9255</v>
      </c>
      <c r="AK219" s="253" t="s">
        <v>2793</v>
      </c>
      <c r="AL219" s="254" t="str">
        <f t="shared" si="7"/>
        <v>HAN116</v>
      </c>
      <c r="AM219" s="255">
        <f t="shared" si="7"/>
        <v>1500</v>
      </c>
      <c r="AN219" s="534" t="s">
        <v>8968</v>
      </c>
      <c r="AO219" s="535">
        <v>1.2</v>
      </c>
      <c r="AP219" s="536">
        <v>573</v>
      </c>
      <c r="AQ219" s="536">
        <v>201</v>
      </c>
      <c r="AR219" s="984">
        <f t="shared" si="8"/>
        <v>1.08492966</v>
      </c>
      <c r="AS219" s="985"/>
      <c r="AT219" s="983"/>
      <c r="AU219" s="1235"/>
      <c r="AV219" s="536">
        <v>12</v>
      </c>
      <c r="AW219" s="536">
        <v>2546</v>
      </c>
      <c r="AX219" s="983">
        <v>330</v>
      </c>
      <c r="AY219" s="686">
        <v>500</v>
      </c>
      <c r="AZ219" s="686">
        <v>180</v>
      </c>
      <c r="BA219" s="988">
        <v>2.9700000000000001E-2</v>
      </c>
      <c r="BB219" s="988">
        <v>2.16</v>
      </c>
      <c r="BC219" s="686">
        <v>50</v>
      </c>
      <c r="BD219" s="1111">
        <v>0.69</v>
      </c>
      <c r="BE219" s="989"/>
      <c r="BF219" s="983"/>
      <c r="BG219" s="163" t="s">
        <v>8953</v>
      </c>
      <c r="BH219" s="163">
        <v>2</v>
      </c>
      <c r="BK219" s="163">
        <v>0</v>
      </c>
      <c r="BM219" s="163" t="s">
        <v>8905</v>
      </c>
    </row>
    <row r="220" spans="1:65" ht="35.25" customHeight="1">
      <c r="A220" s="1207" t="s">
        <v>9258</v>
      </c>
      <c r="B220" s="163" t="s">
        <v>1459</v>
      </c>
      <c r="C220" s="164" t="s">
        <v>9250</v>
      </c>
      <c r="D220" s="1568"/>
      <c r="E220" s="1257"/>
      <c r="F220" s="228" t="s">
        <v>9259</v>
      </c>
      <c r="G220" s="1096"/>
      <c r="H220" s="1236"/>
      <c r="I220" s="1236"/>
      <c r="J220" s="1256" t="s">
        <v>1459</v>
      </c>
      <c r="K220" s="1232" t="s">
        <v>1458</v>
      </c>
      <c r="L220" s="1233" t="s">
        <v>4993</v>
      </c>
      <c r="M220" s="787">
        <v>1</v>
      </c>
      <c r="N220" s="759">
        <v>65</v>
      </c>
      <c r="O220" s="642" t="s">
        <v>4680</v>
      </c>
      <c r="P220" s="898">
        <v>2000</v>
      </c>
      <c r="Q220" s="787">
        <v>30</v>
      </c>
      <c r="R220" s="237">
        <v>8390</v>
      </c>
      <c r="S220" s="390">
        <v>466.11111111111109</v>
      </c>
      <c r="T220" s="399">
        <v>15.537037037037036</v>
      </c>
      <c r="U220" s="492">
        <v>466.11111111111109</v>
      </c>
      <c r="V220" s="1113">
        <v>0.15074965555555553</v>
      </c>
      <c r="W220" s="791">
        <v>0.46144999999999997</v>
      </c>
      <c r="X220" s="841">
        <v>104</v>
      </c>
      <c r="Y220" s="488">
        <v>4</v>
      </c>
      <c r="Z220" s="489">
        <v>4</v>
      </c>
      <c r="AA220" s="787">
        <v>4</v>
      </c>
      <c r="AB220" s="842">
        <v>112</v>
      </c>
      <c r="AC220" s="1258"/>
      <c r="AD220" s="1259"/>
      <c r="AE220" s="689">
        <v>110</v>
      </c>
      <c r="AF220" s="844">
        <v>2</v>
      </c>
      <c r="AG220" s="845">
        <v>100</v>
      </c>
      <c r="AH220" s="531">
        <v>100</v>
      </c>
      <c r="AI220" s="532">
        <v>0</v>
      </c>
      <c r="AJ220" s="1005"/>
      <c r="AK220" s="253" t="s">
        <v>1459</v>
      </c>
      <c r="AL220" s="254" t="str">
        <f t="shared" si="7"/>
        <v>HAN117</v>
      </c>
      <c r="AM220" s="255">
        <f t="shared" si="7"/>
        <v>2000</v>
      </c>
      <c r="AN220" s="534" t="s">
        <v>8918</v>
      </c>
      <c r="AO220" s="535">
        <v>2</v>
      </c>
      <c r="AP220" s="536">
        <v>412</v>
      </c>
      <c r="AQ220" s="536">
        <v>100</v>
      </c>
      <c r="AR220" s="537">
        <f t="shared" si="8"/>
        <v>0.64683999999999997</v>
      </c>
      <c r="AS220" s="538"/>
      <c r="AT220" s="536"/>
      <c r="AU220" s="1238"/>
      <c r="AV220" s="536">
        <v>30</v>
      </c>
      <c r="AW220" s="1173">
        <v>1026</v>
      </c>
      <c r="AX220" s="1173">
        <v>330</v>
      </c>
      <c r="AY220" s="325">
        <v>500</v>
      </c>
      <c r="AZ220" s="325">
        <v>180</v>
      </c>
      <c r="BA220" s="1260">
        <v>2.9700000000000001E-2</v>
      </c>
      <c r="BB220" s="1260">
        <v>1.46</v>
      </c>
      <c r="BC220" s="325">
        <v>65</v>
      </c>
      <c r="BD220" s="1261">
        <v>0.26</v>
      </c>
      <c r="BE220" s="1262"/>
      <c r="BF220" s="1263"/>
      <c r="BG220" s="163" t="s">
        <v>8932</v>
      </c>
      <c r="BH220" s="163">
        <v>3</v>
      </c>
      <c r="BK220" s="163">
        <v>0</v>
      </c>
      <c r="BM220" s="163" t="s">
        <v>8905</v>
      </c>
    </row>
    <row r="221" spans="1:65" ht="35.25" customHeight="1">
      <c r="A221" s="1207" t="s">
        <v>9260</v>
      </c>
      <c r="B221" s="163" t="s">
        <v>1493</v>
      </c>
      <c r="C221" s="164" t="s">
        <v>9250</v>
      </c>
      <c r="D221" s="1568"/>
      <c r="E221" s="1264"/>
      <c r="F221" s="228" t="s">
        <v>9261</v>
      </c>
      <c r="G221" s="916"/>
      <c r="H221" s="1042"/>
      <c r="I221" s="1236"/>
      <c r="J221" s="1256" t="s">
        <v>1493</v>
      </c>
      <c r="K221" s="1232" t="s">
        <v>1492</v>
      </c>
      <c r="L221" s="1233" t="s">
        <v>4992</v>
      </c>
      <c r="M221" s="858">
        <v>1</v>
      </c>
      <c r="N221" s="759">
        <v>65</v>
      </c>
      <c r="O221" s="642" t="s">
        <v>4680</v>
      </c>
      <c r="P221" s="898">
        <v>2000</v>
      </c>
      <c r="Q221" s="858">
        <v>30</v>
      </c>
      <c r="R221" s="237">
        <v>3478</v>
      </c>
      <c r="S221" s="390">
        <v>193.22222222222223</v>
      </c>
      <c r="T221" s="399">
        <v>6.4407407407407407</v>
      </c>
      <c r="U221" s="492">
        <v>193.22222222222223</v>
      </c>
      <c r="V221" s="1113">
        <v>6.2491931111111107E-2</v>
      </c>
      <c r="W221" s="1154">
        <v>0.19129000000000002</v>
      </c>
      <c r="X221" s="841">
        <v>104</v>
      </c>
      <c r="Y221" s="488">
        <v>4</v>
      </c>
      <c r="Z221" s="489">
        <v>2</v>
      </c>
      <c r="AA221" s="787">
        <v>2</v>
      </c>
      <c r="AB221" s="842">
        <v>108</v>
      </c>
      <c r="AC221" s="1258"/>
      <c r="AD221" s="1259"/>
      <c r="AE221" s="689">
        <v>107</v>
      </c>
      <c r="AF221" s="250">
        <v>1</v>
      </c>
      <c r="AG221" s="313">
        <v>100</v>
      </c>
      <c r="AH221" s="531">
        <v>100</v>
      </c>
      <c r="AI221" s="532">
        <v>0</v>
      </c>
      <c r="AJ221" s="1153"/>
      <c r="AK221" s="253" t="s">
        <v>1493</v>
      </c>
      <c r="AL221" s="254" t="str">
        <f t="shared" si="7"/>
        <v>HAN117</v>
      </c>
      <c r="AM221" s="255">
        <f t="shared" si="7"/>
        <v>2000</v>
      </c>
      <c r="AN221" s="534" t="s">
        <v>8918</v>
      </c>
      <c r="AO221" s="535">
        <v>2</v>
      </c>
      <c r="AP221" s="536">
        <v>412</v>
      </c>
      <c r="AQ221" s="536">
        <v>100</v>
      </c>
      <c r="AR221" s="537">
        <f t="shared" si="8"/>
        <v>0.64683999999999997</v>
      </c>
      <c r="AS221" s="538"/>
      <c r="AT221" s="536"/>
      <c r="AU221" s="1238"/>
      <c r="AV221" s="536">
        <v>30</v>
      </c>
      <c r="AW221" s="536">
        <v>1026</v>
      </c>
      <c r="AX221" s="536">
        <v>330</v>
      </c>
      <c r="AY221" s="536">
        <v>500</v>
      </c>
      <c r="AZ221" s="536">
        <v>180</v>
      </c>
      <c r="BA221" s="536">
        <v>2.9700000000000001E-2</v>
      </c>
      <c r="BB221" s="536">
        <v>1.46</v>
      </c>
      <c r="BC221" s="536">
        <v>65</v>
      </c>
      <c r="BD221" s="1265">
        <v>0.45</v>
      </c>
      <c r="BE221" s="1266"/>
      <c r="BF221" s="1026"/>
      <c r="BG221" s="163" t="s">
        <v>8932</v>
      </c>
      <c r="BH221" s="163">
        <v>3</v>
      </c>
      <c r="BK221" s="163">
        <v>0</v>
      </c>
      <c r="BM221" s="163" t="s">
        <v>8905</v>
      </c>
    </row>
    <row r="222" spans="1:65" ht="35.25" customHeight="1">
      <c r="A222" s="1207" t="s">
        <v>9262</v>
      </c>
      <c r="B222" s="163" t="s">
        <v>1400</v>
      </c>
      <c r="C222" s="164" t="s">
        <v>9250</v>
      </c>
      <c r="D222" s="1568"/>
      <c r="E222" s="1267"/>
      <c r="F222" s="228" t="s">
        <v>9263</v>
      </c>
      <c r="G222" s="1042"/>
      <c r="H222" s="1042"/>
      <c r="I222" s="1236"/>
      <c r="J222" s="1256" t="s">
        <v>1400</v>
      </c>
      <c r="K222" s="1232" t="s">
        <v>1399</v>
      </c>
      <c r="L222" s="1240" t="s">
        <v>101</v>
      </c>
      <c r="M222" s="858">
        <v>1</v>
      </c>
      <c r="N222" s="759">
        <v>70</v>
      </c>
      <c r="O222" s="642" t="s">
        <v>4550</v>
      </c>
      <c r="P222" s="898">
        <v>3000</v>
      </c>
      <c r="Q222" s="858">
        <v>25</v>
      </c>
      <c r="R222" s="237">
        <v>38176</v>
      </c>
      <c r="S222" s="390">
        <v>2120.8888888888887</v>
      </c>
      <c r="T222" s="399">
        <v>84.835555555555544</v>
      </c>
      <c r="U222" s="492">
        <v>2120.8888888888887</v>
      </c>
      <c r="V222" s="401">
        <v>0.41064370709333325</v>
      </c>
      <c r="W222" s="402">
        <v>2.5196159999999996</v>
      </c>
      <c r="X222" s="392">
        <v>207</v>
      </c>
      <c r="Y222" s="488">
        <v>4</v>
      </c>
      <c r="Z222" s="1010">
        <v>22</v>
      </c>
      <c r="AA222" s="858">
        <v>21</v>
      </c>
      <c r="AB222" s="310">
        <v>250</v>
      </c>
      <c r="AC222" s="1241">
        <v>4.7</v>
      </c>
      <c r="AD222" s="1242">
        <v>24</v>
      </c>
      <c r="AE222" s="952">
        <v>240</v>
      </c>
      <c r="AF222" s="250">
        <v>10</v>
      </c>
      <c r="AG222" s="313">
        <v>200</v>
      </c>
      <c r="AH222" s="584">
        <v>200</v>
      </c>
      <c r="AI222" s="585">
        <v>0</v>
      </c>
      <c r="AJ222" s="894"/>
      <c r="AK222" s="253" t="s">
        <v>1400</v>
      </c>
      <c r="AL222" s="254" t="str">
        <f t="shared" si="7"/>
        <v>HAN118</v>
      </c>
      <c r="AM222" s="255">
        <f t="shared" si="7"/>
        <v>3000</v>
      </c>
      <c r="AN222" s="534" t="s">
        <v>9220</v>
      </c>
      <c r="AO222" s="535">
        <v>1.2</v>
      </c>
      <c r="AP222" s="536">
        <v>478</v>
      </c>
      <c r="AQ222" s="536">
        <v>129</v>
      </c>
      <c r="AR222" s="537">
        <f t="shared" si="8"/>
        <v>0.58085604000000002</v>
      </c>
      <c r="AS222" s="538"/>
      <c r="AT222" s="536"/>
      <c r="AU222" s="1238"/>
      <c r="AV222" s="536">
        <v>25</v>
      </c>
      <c r="AW222" s="1008">
        <v>1026</v>
      </c>
      <c r="AX222" s="1008">
        <v>330</v>
      </c>
      <c r="AY222" s="264">
        <v>500</v>
      </c>
      <c r="AZ222" s="264">
        <v>180</v>
      </c>
      <c r="BA222" s="1084">
        <v>2.9700000000000001E-2</v>
      </c>
      <c r="BB222" s="1084">
        <v>1.94</v>
      </c>
      <c r="BC222" s="264">
        <v>70</v>
      </c>
      <c r="BD222" s="1085">
        <v>0.48</v>
      </c>
      <c r="BE222" s="1086"/>
      <c r="BF222" s="1087"/>
      <c r="BG222" s="163" t="s">
        <v>8932</v>
      </c>
      <c r="BH222" s="163">
        <v>3</v>
      </c>
      <c r="BK222" s="163">
        <v>0</v>
      </c>
      <c r="BM222" s="163" t="s">
        <v>8905</v>
      </c>
    </row>
    <row r="223" spans="1:65" ht="35.25" customHeight="1">
      <c r="A223" s="1207" t="s">
        <v>9264</v>
      </c>
      <c r="B223" s="163" t="s">
        <v>1332</v>
      </c>
      <c r="C223" s="164" t="s">
        <v>9250</v>
      </c>
      <c r="D223" s="1568"/>
      <c r="E223" s="1268"/>
      <c r="F223" s="228" t="s">
        <v>9265</v>
      </c>
      <c r="G223" s="910"/>
      <c r="H223" s="909"/>
      <c r="I223" s="1236"/>
      <c r="J223" s="1256" t="s">
        <v>1332</v>
      </c>
      <c r="K223" s="1232" t="s">
        <v>1331</v>
      </c>
      <c r="L223" s="1233" t="s">
        <v>99</v>
      </c>
      <c r="M223" s="787">
        <v>1</v>
      </c>
      <c r="N223" s="759">
        <v>70</v>
      </c>
      <c r="O223" s="642" t="s">
        <v>4558</v>
      </c>
      <c r="P223" s="898">
        <v>3000</v>
      </c>
      <c r="Q223" s="787">
        <v>25</v>
      </c>
      <c r="R223" s="237">
        <v>38176</v>
      </c>
      <c r="S223" s="390">
        <v>2120.8888888888887</v>
      </c>
      <c r="T223" s="399">
        <v>84.835555555555544</v>
      </c>
      <c r="U223" s="492">
        <v>2120.8888888888887</v>
      </c>
      <c r="V223" s="790">
        <v>0.3994622536177776</v>
      </c>
      <c r="W223" s="791">
        <v>2.5196159999999996</v>
      </c>
      <c r="X223" s="392">
        <v>213</v>
      </c>
      <c r="Y223" s="488">
        <v>4</v>
      </c>
      <c r="Z223" s="489">
        <v>22</v>
      </c>
      <c r="AA223" s="787">
        <v>21</v>
      </c>
      <c r="AB223" s="310">
        <v>256</v>
      </c>
      <c r="AC223" s="1241">
        <v>4.8</v>
      </c>
      <c r="AD223" s="1269">
        <v>25</v>
      </c>
      <c r="AE223" s="689">
        <v>246</v>
      </c>
      <c r="AF223" s="250">
        <v>10</v>
      </c>
      <c r="AG223" s="313">
        <v>210</v>
      </c>
      <c r="AH223" s="531">
        <v>210</v>
      </c>
      <c r="AI223" s="532">
        <v>0</v>
      </c>
      <c r="AJ223" s="894"/>
      <c r="AK223" s="253" t="s">
        <v>1332</v>
      </c>
      <c r="AL223" s="254" t="str">
        <f t="shared" si="7"/>
        <v>HAN119</v>
      </c>
      <c r="AM223" s="255">
        <f t="shared" si="7"/>
        <v>3000</v>
      </c>
      <c r="AN223" s="534" t="s">
        <v>9220</v>
      </c>
      <c r="AO223" s="535">
        <v>1.4</v>
      </c>
      <c r="AP223" s="536">
        <v>418</v>
      </c>
      <c r="AQ223" s="536">
        <v>123</v>
      </c>
      <c r="AR223" s="537">
        <f t="shared" si="8"/>
        <v>0.56503985999999984</v>
      </c>
      <c r="AS223" s="538"/>
      <c r="AT223" s="536"/>
      <c r="AU223" s="1238"/>
      <c r="AV223" s="536">
        <v>25</v>
      </c>
      <c r="AW223" s="536">
        <v>1026</v>
      </c>
      <c r="AX223" s="536">
        <v>330</v>
      </c>
      <c r="AY223" s="290">
        <v>500</v>
      </c>
      <c r="AZ223" s="290">
        <v>180</v>
      </c>
      <c r="BA223" s="541">
        <v>2.9700000000000001E-2</v>
      </c>
      <c r="BB223" s="541">
        <v>1.94</v>
      </c>
      <c r="BC223" s="290">
        <v>70</v>
      </c>
      <c r="BD223" s="542">
        <v>0.48</v>
      </c>
      <c r="BE223" s="543"/>
      <c r="BF223" s="1026"/>
      <c r="BG223" s="163" t="s">
        <v>8932</v>
      </c>
      <c r="BH223" s="163">
        <v>3</v>
      </c>
      <c r="BK223" s="163">
        <v>0</v>
      </c>
      <c r="BM223" s="163" t="s">
        <v>8905</v>
      </c>
    </row>
    <row r="224" spans="1:65" ht="35.25" customHeight="1">
      <c r="A224" s="1207" t="s">
        <v>9266</v>
      </c>
      <c r="B224" s="163" t="s">
        <v>3525</v>
      </c>
      <c r="C224" s="164" t="s">
        <v>9250</v>
      </c>
      <c r="D224" s="1568"/>
      <c r="E224" s="1252"/>
      <c r="F224" s="228" t="s">
        <v>9267</v>
      </c>
      <c r="G224" s="916"/>
      <c r="H224" s="805"/>
      <c r="I224" s="1236"/>
      <c r="J224" s="1256" t="s">
        <v>3525</v>
      </c>
      <c r="K224" s="1232" t="s">
        <v>3524</v>
      </c>
      <c r="L224" s="1233" t="s">
        <v>9252</v>
      </c>
      <c r="M224" s="490">
        <v>1</v>
      </c>
      <c r="N224" s="759">
        <v>50</v>
      </c>
      <c r="O224" s="642" t="s">
        <v>4486</v>
      </c>
      <c r="P224" s="898">
        <v>2500</v>
      </c>
      <c r="Q224" s="490">
        <v>20</v>
      </c>
      <c r="R224" s="237">
        <v>21572</v>
      </c>
      <c r="S224" s="390">
        <v>1198.4444444444443</v>
      </c>
      <c r="T224" s="399">
        <v>59.922222222222217</v>
      </c>
      <c r="U224" s="492">
        <v>1198.4444444444443</v>
      </c>
      <c r="V224" s="790">
        <v>0.26191284266666665</v>
      </c>
      <c r="W224" s="900">
        <v>1.77969</v>
      </c>
      <c r="X224" s="392">
        <v>229</v>
      </c>
      <c r="Y224" s="488">
        <v>4</v>
      </c>
      <c r="Z224" s="489">
        <v>15</v>
      </c>
      <c r="AA224" s="787">
        <v>15</v>
      </c>
      <c r="AB224" s="310">
        <v>259</v>
      </c>
      <c r="AC224" s="792">
        <v>6.5</v>
      </c>
      <c r="AD224" s="843">
        <v>25</v>
      </c>
      <c r="AE224" s="762">
        <v>253</v>
      </c>
      <c r="AF224" s="250">
        <v>6</v>
      </c>
      <c r="AG224" s="313">
        <v>220</v>
      </c>
      <c r="AH224" s="638">
        <v>220</v>
      </c>
      <c r="AI224" s="639">
        <v>0</v>
      </c>
      <c r="AJ224" s="894"/>
      <c r="AK224" s="253" t="s">
        <v>3525</v>
      </c>
      <c r="AL224" s="254" t="str">
        <f t="shared" si="7"/>
        <v>HAN120</v>
      </c>
      <c r="AM224" s="255">
        <f t="shared" si="7"/>
        <v>2500</v>
      </c>
      <c r="AN224" s="534" t="s">
        <v>8982</v>
      </c>
      <c r="AO224" s="535">
        <v>1</v>
      </c>
      <c r="AP224" s="536">
        <v>464</v>
      </c>
      <c r="AQ224" s="536">
        <v>150</v>
      </c>
      <c r="AR224" s="537">
        <f t="shared" si="8"/>
        <v>0.54635999999999996</v>
      </c>
      <c r="AS224" s="538"/>
      <c r="AT224" s="536"/>
      <c r="AU224" s="1238"/>
      <c r="AV224" s="536">
        <v>20</v>
      </c>
      <c r="AW224" s="536">
        <v>2546</v>
      </c>
      <c r="AX224" s="642">
        <v>330</v>
      </c>
      <c r="AY224" s="648">
        <v>500</v>
      </c>
      <c r="AZ224" s="648">
        <v>180</v>
      </c>
      <c r="BA224" s="649">
        <v>2.9700000000000001E-2</v>
      </c>
      <c r="BB224" s="649">
        <v>1.94</v>
      </c>
      <c r="BC224" s="264">
        <v>50</v>
      </c>
      <c r="BD224" s="650">
        <v>0.35</v>
      </c>
      <c r="BE224" s="651"/>
      <c r="BF224" s="642"/>
      <c r="BG224" s="163" t="s">
        <v>8904</v>
      </c>
      <c r="BH224" s="163">
        <v>1</v>
      </c>
      <c r="BK224" s="163">
        <v>0</v>
      </c>
      <c r="BM224" s="163" t="s">
        <v>8905</v>
      </c>
    </row>
    <row r="225" spans="1:65" ht="35.25" customHeight="1">
      <c r="A225" s="1207" t="s">
        <v>9268</v>
      </c>
      <c r="B225" s="163" t="s">
        <v>2745</v>
      </c>
      <c r="C225" s="164" t="s">
        <v>9250</v>
      </c>
      <c r="D225" s="1568"/>
      <c r="E225" s="1264"/>
      <c r="F225" s="228" t="s">
        <v>9203</v>
      </c>
      <c r="G225" s="916"/>
      <c r="H225" s="1042"/>
      <c r="I225" s="1236"/>
      <c r="J225" s="1256" t="s">
        <v>2745</v>
      </c>
      <c r="K225" s="1232" t="s">
        <v>2744</v>
      </c>
      <c r="L225" s="1233" t="s">
        <v>5259</v>
      </c>
      <c r="M225" s="858">
        <v>1</v>
      </c>
      <c r="N225" s="759">
        <v>50</v>
      </c>
      <c r="O225" s="642" t="s">
        <v>4514</v>
      </c>
      <c r="P225" s="898">
        <v>1500</v>
      </c>
      <c r="Q225" s="858">
        <v>20</v>
      </c>
      <c r="R225" s="237">
        <v>10074</v>
      </c>
      <c r="S225" s="390">
        <v>559.66666666666663</v>
      </c>
      <c r="T225" s="399">
        <v>27.983333333333331</v>
      </c>
      <c r="U225" s="492">
        <v>559.66666666666663</v>
      </c>
      <c r="V225" s="1113">
        <v>0.29368537435999992</v>
      </c>
      <c r="W225" s="1154">
        <v>0.83110499999999998</v>
      </c>
      <c r="X225" s="841">
        <v>96</v>
      </c>
      <c r="Y225" s="488">
        <v>4</v>
      </c>
      <c r="Z225" s="489">
        <v>7</v>
      </c>
      <c r="AA225" s="787">
        <v>7</v>
      </c>
      <c r="AB225" s="842">
        <v>110</v>
      </c>
      <c r="AC225" s="792">
        <v>14</v>
      </c>
      <c r="AD225" s="843">
        <v>25</v>
      </c>
      <c r="AE225" s="689">
        <v>107</v>
      </c>
      <c r="AF225" s="250">
        <v>3</v>
      </c>
      <c r="AG225" s="313">
        <v>90</v>
      </c>
      <c r="AH225" s="531">
        <v>90</v>
      </c>
      <c r="AI225" s="532">
        <v>0</v>
      </c>
      <c r="AJ225" s="1005" t="s">
        <v>9255</v>
      </c>
      <c r="AK225" s="253" t="s">
        <v>2745</v>
      </c>
      <c r="AL225" s="254" t="str">
        <f t="shared" ref="AL225:AM230" si="9">O225</f>
        <v>HAN100</v>
      </c>
      <c r="AM225" s="255">
        <f t="shared" si="9"/>
        <v>1500</v>
      </c>
      <c r="AN225" s="534" t="s">
        <v>8968</v>
      </c>
      <c r="AO225" s="535">
        <v>1.2</v>
      </c>
      <c r="AP225" s="536">
        <v>519</v>
      </c>
      <c r="AQ225" s="536">
        <v>161</v>
      </c>
      <c r="AR225" s="537">
        <f t="shared" si="8"/>
        <v>0.78712577999999989</v>
      </c>
      <c r="AS225" s="538"/>
      <c r="AT225" s="536"/>
      <c r="AU225" s="1238"/>
      <c r="AV225" s="536">
        <v>20</v>
      </c>
      <c r="AW225" s="536">
        <v>2546</v>
      </c>
      <c r="AX225" s="536">
        <v>330</v>
      </c>
      <c r="AY225" s="536">
        <v>500</v>
      </c>
      <c r="AZ225" s="536">
        <v>180</v>
      </c>
      <c r="BA225" s="536">
        <v>2.9700000000000001E-2</v>
      </c>
      <c r="BB225" s="536">
        <v>1.94</v>
      </c>
      <c r="BC225" s="536">
        <v>50</v>
      </c>
      <c r="BD225" s="1265">
        <v>0.47</v>
      </c>
      <c r="BE225" s="1266"/>
      <c r="BF225" s="1026"/>
      <c r="BG225" s="163" t="s">
        <v>8953</v>
      </c>
      <c r="BH225" s="163">
        <v>2</v>
      </c>
      <c r="BK225" s="163">
        <v>0</v>
      </c>
      <c r="BM225" s="163" t="s">
        <v>8905</v>
      </c>
    </row>
    <row r="226" spans="1:65" ht="35.25" customHeight="1">
      <c r="A226" s="1207" t="s">
        <v>9269</v>
      </c>
      <c r="B226" s="163" t="s">
        <v>2795</v>
      </c>
      <c r="C226" s="164" t="s">
        <v>9250</v>
      </c>
      <c r="D226" s="1568"/>
      <c r="E226" s="1267"/>
      <c r="F226" s="228" t="s">
        <v>9205</v>
      </c>
      <c r="G226" s="1042"/>
      <c r="H226" s="1042"/>
      <c r="I226" s="1236"/>
      <c r="J226" s="1256" t="s">
        <v>2795</v>
      </c>
      <c r="K226" s="1232" t="s">
        <v>2794</v>
      </c>
      <c r="L226" s="1240" t="s">
        <v>5258</v>
      </c>
      <c r="M226" s="858">
        <v>1</v>
      </c>
      <c r="N226" s="759">
        <v>50</v>
      </c>
      <c r="O226" s="642" t="s">
        <v>4514</v>
      </c>
      <c r="P226" s="898">
        <v>1500</v>
      </c>
      <c r="Q226" s="858">
        <v>20</v>
      </c>
      <c r="R226" s="237">
        <v>10050</v>
      </c>
      <c r="S226" s="390">
        <v>558.33333333333337</v>
      </c>
      <c r="T226" s="399">
        <v>27.916666666666668</v>
      </c>
      <c r="U226" s="492">
        <v>558.33333333333337</v>
      </c>
      <c r="V226" s="401">
        <v>0.29298570699999998</v>
      </c>
      <c r="W226" s="402">
        <v>0.829125</v>
      </c>
      <c r="X226" s="392">
        <v>96</v>
      </c>
      <c r="Y226" s="488">
        <v>4</v>
      </c>
      <c r="Z226" s="1010">
        <v>7</v>
      </c>
      <c r="AA226" s="858">
        <v>7</v>
      </c>
      <c r="AB226" s="310">
        <v>110</v>
      </c>
      <c r="AC226" s="792">
        <v>14.3</v>
      </c>
      <c r="AD226" s="843">
        <v>25</v>
      </c>
      <c r="AE226" s="952">
        <v>107</v>
      </c>
      <c r="AF226" s="250">
        <v>3</v>
      </c>
      <c r="AG226" s="313">
        <v>90</v>
      </c>
      <c r="AH226" s="584">
        <v>90</v>
      </c>
      <c r="AI226" s="585">
        <v>0</v>
      </c>
      <c r="AJ226" s="1005" t="s">
        <v>9255</v>
      </c>
      <c r="AK226" s="253" t="s">
        <v>2795</v>
      </c>
      <c r="AL226" s="254" t="str">
        <f t="shared" si="9"/>
        <v>HAN100</v>
      </c>
      <c r="AM226" s="255">
        <f t="shared" si="9"/>
        <v>1500</v>
      </c>
      <c r="AN226" s="534" t="s">
        <v>8968</v>
      </c>
      <c r="AO226" s="535">
        <v>1.2</v>
      </c>
      <c r="AP226" s="536">
        <v>519</v>
      </c>
      <c r="AQ226" s="536">
        <v>161</v>
      </c>
      <c r="AR226" s="537">
        <f t="shared" si="8"/>
        <v>0.78712577999999989</v>
      </c>
      <c r="AS226" s="538"/>
      <c r="AT226" s="536"/>
      <c r="AU226" s="1238"/>
      <c r="AV226" s="536">
        <v>20</v>
      </c>
      <c r="AW226" s="1008">
        <v>2546</v>
      </c>
      <c r="AX226" s="1008">
        <v>330</v>
      </c>
      <c r="AY226" s="264">
        <v>500</v>
      </c>
      <c r="AZ226" s="264">
        <v>180</v>
      </c>
      <c r="BA226" s="1084">
        <v>2.9700000000000001E-2</v>
      </c>
      <c r="BB226" s="1084">
        <v>1.94</v>
      </c>
      <c r="BC226" s="264">
        <v>50</v>
      </c>
      <c r="BD226" s="1085">
        <v>0.47</v>
      </c>
      <c r="BE226" s="1086"/>
      <c r="BF226" s="1087"/>
      <c r="BG226" s="163" t="s">
        <v>8953</v>
      </c>
      <c r="BH226" s="163">
        <v>2</v>
      </c>
      <c r="BK226" s="163">
        <v>0</v>
      </c>
      <c r="BM226" s="163" t="s">
        <v>8905</v>
      </c>
    </row>
    <row r="227" spans="1:65" ht="35.25" customHeight="1">
      <c r="A227" s="1207" t="s">
        <v>9270</v>
      </c>
      <c r="B227" s="163" t="s">
        <v>309</v>
      </c>
      <c r="C227" s="164" t="s">
        <v>9250</v>
      </c>
      <c r="D227" s="1568"/>
      <c r="E227" s="1268"/>
      <c r="F227" s="228" t="s">
        <v>9213</v>
      </c>
      <c r="G227" s="910"/>
      <c r="H227" s="909"/>
      <c r="I227" s="1236"/>
      <c r="J227" s="1256" t="s">
        <v>309</v>
      </c>
      <c r="K227" s="1232" t="s">
        <v>308</v>
      </c>
      <c r="L227" s="1233" t="s">
        <v>5762</v>
      </c>
      <c r="M227" s="787">
        <v>1</v>
      </c>
      <c r="N227" s="759">
        <v>70</v>
      </c>
      <c r="O227" s="642" t="s">
        <v>4314</v>
      </c>
      <c r="P227" s="898">
        <v>2000</v>
      </c>
      <c r="Q227" s="787">
        <v>20</v>
      </c>
      <c r="R227" s="237">
        <v>26552</v>
      </c>
      <c r="S227" s="390">
        <v>1475.1111111111111</v>
      </c>
      <c r="T227" s="399">
        <v>73.75555555555556</v>
      </c>
      <c r="U227" s="492">
        <v>1475.1111111111111</v>
      </c>
      <c r="V227" s="790">
        <v>0.49653420088888889</v>
      </c>
      <c r="W227" s="791">
        <v>1.52674</v>
      </c>
      <c r="X227" s="392">
        <v>149</v>
      </c>
      <c r="Y227" s="488">
        <v>4</v>
      </c>
      <c r="Z227" s="489">
        <v>19</v>
      </c>
      <c r="AA227" s="787">
        <v>18</v>
      </c>
      <c r="AB227" s="310">
        <v>186</v>
      </c>
      <c r="AC227" s="1241">
        <v>6.7</v>
      </c>
      <c r="AD227" s="1269">
        <v>30</v>
      </c>
      <c r="AE227" s="689">
        <v>178</v>
      </c>
      <c r="AF227" s="250">
        <v>8</v>
      </c>
      <c r="AG227" s="313">
        <v>140</v>
      </c>
      <c r="AH227" s="531">
        <v>140</v>
      </c>
      <c r="AI227" s="532">
        <v>0</v>
      </c>
      <c r="AJ227" s="894"/>
      <c r="AK227" s="253" t="s">
        <v>309</v>
      </c>
      <c r="AL227" s="254" t="str">
        <f t="shared" si="9"/>
        <v>MSA001</v>
      </c>
      <c r="AM227" s="255">
        <f t="shared" si="9"/>
        <v>2000</v>
      </c>
      <c r="AN227" s="534" t="s">
        <v>9214</v>
      </c>
      <c r="AO227" s="535">
        <v>1</v>
      </c>
      <c r="AP227" s="536">
        <v>670</v>
      </c>
      <c r="AQ227" s="536">
        <v>128</v>
      </c>
      <c r="AR227" s="537">
        <f t="shared" si="8"/>
        <v>0.67321600000000004</v>
      </c>
      <c r="AS227" s="538"/>
      <c r="AT227" s="536"/>
      <c r="AU227" s="1238"/>
      <c r="AV227" s="536">
        <v>20</v>
      </c>
      <c r="AW227" s="536" t="s">
        <v>9271</v>
      </c>
      <c r="AX227" s="536">
        <v>300</v>
      </c>
      <c r="AY227" s="290">
        <v>670</v>
      </c>
      <c r="AZ227" s="290">
        <v>103</v>
      </c>
      <c r="BA227" s="541">
        <v>2.07E-2</v>
      </c>
      <c r="BB227" s="541">
        <v>2.16</v>
      </c>
      <c r="BC227" s="290">
        <v>70</v>
      </c>
      <c r="BD227" s="542">
        <v>0.45</v>
      </c>
      <c r="BE227" s="543"/>
      <c r="BF227" s="1026"/>
      <c r="BG227" s="163" t="s">
        <v>8904</v>
      </c>
      <c r="BH227" s="163">
        <v>1</v>
      </c>
      <c r="BK227" s="163">
        <v>0</v>
      </c>
      <c r="BM227" s="163" t="s">
        <v>8905</v>
      </c>
    </row>
    <row r="228" spans="1:65" ht="35.25" customHeight="1" thickBot="1">
      <c r="A228" s="1207" t="s">
        <v>9272</v>
      </c>
      <c r="B228" s="163" t="s">
        <v>333</v>
      </c>
      <c r="C228" s="164" t="s">
        <v>9250</v>
      </c>
      <c r="D228" s="1569"/>
      <c r="E228" s="1270"/>
      <c r="F228" s="546" t="s">
        <v>9216</v>
      </c>
      <c r="G228" s="1271"/>
      <c r="H228" s="1272"/>
      <c r="I228" s="1245"/>
      <c r="J228" s="1273" t="s">
        <v>333</v>
      </c>
      <c r="K228" s="1246" t="s">
        <v>332</v>
      </c>
      <c r="L228" s="1274" t="s">
        <v>5735</v>
      </c>
      <c r="M228" s="550">
        <v>1</v>
      </c>
      <c r="N228" s="552">
        <v>70</v>
      </c>
      <c r="O228" s="553" t="s">
        <v>4314</v>
      </c>
      <c r="P228" s="1151">
        <v>2000</v>
      </c>
      <c r="Q228" s="550">
        <v>20</v>
      </c>
      <c r="R228" s="237">
        <v>26582</v>
      </c>
      <c r="S228" s="1049">
        <v>1476.7777777777778</v>
      </c>
      <c r="T228" s="554">
        <v>73.838888888888889</v>
      </c>
      <c r="U228" s="555">
        <v>1476.7777777777778</v>
      </c>
      <c r="V228" s="556">
        <v>0.49709521422222225</v>
      </c>
      <c r="W228" s="557">
        <v>1.528465</v>
      </c>
      <c r="X228" s="558">
        <v>149</v>
      </c>
      <c r="Y228" s="559">
        <v>4</v>
      </c>
      <c r="Z228" s="560">
        <v>19</v>
      </c>
      <c r="AA228" s="550">
        <v>18</v>
      </c>
      <c r="AB228" s="1053">
        <v>186</v>
      </c>
      <c r="AC228" s="1241">
        <v>6.7</v>
      </c>
      <c r="AD228" s="1275">
        <v>30</v>
      </c>
      <c r="AE228" s="561">
        <v>178</v>
      </c>
      <c r="AF228" s="1055">
        <v>8</v>
      </c>
      <c r="AG228" s="562">
        <v>140</v>
      </c>
      <c r="AH228" s="563">
        <v>140</v>
      </c>
      <c r="AI228" s="564">
        <v>0</v>
      </c>
      <c r="AJ228" s="1276"/>
      <c r="AK228" s="253" t="s">
        <v>333</v>
      </c>
      <c r="AL228" s="254" t="str">
        <f t="shared" si="9"/>
        <v>MSA001</v>
      </c>
      <c r="AM228" s="255">
        <f t="shared" si="9"/>
        <v>2000</v>
      </c>
      <c r="AN228" s="534" t="s">
        <v>9214</v>
      </c>
      <c r="AO228" s="535">
        <v>1</v>
      </c>
      <c r="AP228" s="536">
        <v>670</v>
      </c>
      <c r="AQ228" s="536">
        <v>128</v>
      </c>
      <c r="AR228" s="537">
        <f t="shared" si="8"/>
        <v>0.67321600000000004</v>
      </c>
      <c r="AS228" s="538"/>
      <c r="AT228" s="536"/>
      <c r="AU228" s="1238"/>
      <c r="AV228" s="536">
        <v>20</v>
      </c>
      <c r="AW228" s="536" t="s">
        <v>9271</v>
      </c>
      <c r="AX228" s="642">
        <v>300</v>
      </c>
      <c r="AY228" s="648">
        <v>670</v>
      </c>
      <c r="AZ228" s="648">
        <v>103</v>
      </c>
      <c r="BA228" s="649">
        <v>2.07E-2</v>
      </c>
      <c r="BB228" s="649">
        <v>2.16</v>
      </c>
      <c r="BC228" s="264">
        <v>70</v>
      </c>
      <c r="BD228" s="650">
        <v>0.45</v>
      </c>
      <c r="BE228" s="651"/>
      <c r="BF228" s="642"/>
      <c r="BG228" s="163" t="s">
        <v>8904</v>
      </c>
      <c r="BH228" s="163">
        <v>1</v>
      </c>
      <c r="BK228" s="163">
        <v>0</v>
      </c>
      <c r="BM228" s="163" t="s">
        <v>8905</v>
      </c>
    </row>
    <row r="229" spans="1:65" ht="35.25" customHeight="1">
      <c r="A229" s="1207" t="s">
        <v>9273</v>
      </c>
      <c r="B229" s="163" t="s">
        <v>1334</v>
      </c>
      <c r="C229" s="164" t="s">
        <v>4794</v>
      </c>
      <c r="D229" s="1570" t="s">
        <v>4794</v>
      </c>
      <c r="E229" s="1268"/>
      <c r="F229" s="228" t="s">
        <v>9265</v>
      </c>
      <c r="G229" s="910"/>
      <c r="H229" s="909"/>
      <c r="I229" s="1236"/>
      <c r="J229" s="1256" t="s">
        <v>1334</v>
      </c>
      <c r="K229" s="1232" t="s">
        <v>1333</v>
      </c>
      <c r="L229" s="1233" t="s">
        <v>99</v>
      </c>
      <c r="M229" s="787">
        <v>1</v>
      </c>
      <c r="N229" s="759">
        <v>70</v>
      </c>
      <c r="O229" s="642" t="s">
        <v>4558</v>
      </c>
      <c r="P229" s="898">
        <v>3000</v>
      </c>
      <c r="Q229" s="787">
        <v>25</v>
      </c>
      <c r="R229" s="237">
        <v>17115</v>
      </c>
      <c r="S229" s="390">
        <v>950.83333333333337</v>
      </c>
      <c r="T229" s="399">
        <v>38.033333333333331</v>
      </c>
      <c r="U229" s="492">
        <v>950.83333333333337</v>
      </c>
      <c r="V229" s="790">
        <v>0.17908624451666663</v>
      </c>
      <c r="W229" s="791">
        <v>1.1295899999999999</v>
      </c>
      <c r="X229" s="392">
        <v>213</v>
      </c>
      <c r="Y229" s="488">
        <v>4</v>
      </c>
      <c r="Z229" s="489">
        <v>10</v>
      </c>
      <c r="AA229" s="787">
        <v>10</v>
      </c>
      <c r="AB229" s="310">
        <v>233</v>
      </c>
      <c r="AC229" s="1277"/>
      <c r="AD229" s="1278"/>
      <c r="AE229" s="689">
        <v>228</v>
      </c>
      <c r="AF229" s="250">
        <v>5</v>
      </c>
      <c r="AG229" s="313">
        <v>210</v>
      </c>
      <c r="AH229" s="531">
        <v>210</v>
      </c>
      <c r="AI229" s="532">
        <v>0</v>
      </c>
      <c r="AJ229" s="894"/>
      <c r="AK229" s="253" t="s">
        <v>1334</v>
      </c>
      <c r="AL229" s="254" t="str">
        <f t="shared" si="9"/>
        <v>HAN119</v>
      </c>
      <c r="AM229" s="255">
        <f t="shared" si="9"/>
        <v>3000</v>
      </c>
      <c r="AN229" s="534" t="s">
        <v>9220</v>
      </c>
      <c r="AO229" s="535">
        <v>1.4</v>
      </c>
      <c r="AP229" s="536">
        <v>418</v>
      </c>
      <c r="AQ229" s="536">
        <v>123</v>
      </c>
      <c r="AR229" s="537">
        <f t="shared" si="8"/>
        <v>0.56503985999999984</v>
      </c>
      <c r="AS229" s="538"/>
      <c r="AT229" s="536"/>
      <c r="AU229" s="1238"/>
      <c r="AV229" s="536">
        <v>25</v>
      </c>
      <c r="AW229" s="536">
        <v>1026</v>
      </c>
      <c r="AX229" s="536">
        <v>330</v>
      </c>
      <c r="AY229" s="290">
        <v>500</v>
      </c>
      <c r="AZ229" s="290">
        <v>180</v>
      </c>
      <c r="BA229" s="541">
        <v>2.9700000000000001E-2</v>
      </c>
      <c r="BB229" s="541"/>
      <c r="BC229" s="290"/>
      <c r="BD229" s="542"/>
      <c r="BE229" s="543"/>
      <c r="BF229" s="1026"/>
      <c r="BG229" s="163" t="s">
        <v>8932</v>
      </c>
      <c r="BH229" s="163">
        <v>3</v>
      </c>
      <c r="BK229" s="163">
        <v>0</v>
      </c>
      <c r="BM229" s="163" t="s">
        <v>8905</v>
      </c>
    </row>
    <row r="230" spans="1:65" ht="35.25" customHeight="1" thickBot="1">
      <c r="A230" s="1207" t="s">
        <v>9274</v>
      </c>
      <c r="B230" s="163" t="s">
        <v>1402</v>
      </c>
      <c r="C230" s="164" t="s">
        <v>4794</v>
      </c>
      <c r="D230" s="1571"/>
      <c r="E230" s="1279"/>
      <c r="F230" s="546" t="s">
        <v>9263</v>
      </c>
      <c r="G230" s="1271"/>
      <c r="H230" s="1272"/>
      <c r="I230" s="1245"/>
      <c r="J230" s="1273" t="s">
        <v>1402</v>
      </c>
      <c r="K230" s="1246" t="s">
        <v>1401</v>
      </c>
      <c r="L230" s="1274" t="s">
        <v>101</v>
      </c>
      <c r="M230" s="550">
        <v>1</v>
      </c>
      <c r="N230" s="552">
        <v>70</v>
      </c>
      <c r="O230" s="553" t="s">
        <v>4550</v>
      </c>
      <c r="P230" s="1151">
        <v>3000</v>
      </c>
      <c r="Q230" s="550">
        <v>25</v>
      </c>
      <c r="R230" s="237">
        <v>17115</v>
      </c>
      <c r="S230" s="1049">
        <v>950.83333333333337</v>
      </c>
      <c r="T230" s="554">
        <v>38.033333333333331</v>
      </c>
      <c r="U230" s="555">
        <v>950.83333333333337</v>
      </c>
      <c r="V230" s="556">
        <v>0.18409909490000004</v>
      </c>
      <c r="W230" s="557">
        <v>1.1295899999999999</v>
      </c>
      <c r="X230" s="558">
        <v>207</v>
      </c>
      <c r="Y230" s="559">
        <v>4</v>
      </c>
      <c r="Z230" s="560">
        <v>10</v>
      </c>
      <c r="AA230" s="550">
        <v>10</v>
      </c>
      <c r="AB230" s="1053">
        <v>227</v>
      </c>
      <c r="AC230" s="1248"/>
      <c r="AD230" s="1280"/>
      <c r="AE230" s="561">
        <v>222</v>
      </c>
      <c r="AF230" s="1055">
        <v>5</v>
      </c>
      <c r="AG230" s="562">
        <v>200</v>
      </c>
      <c r="AH230" s="563">
        <v>200</v>
      </c>
      <c r="AI230" s="564">
        <v>0</v>
      </c>
      <c r="AJ230" s="1276"/>
      <c r="AK230" s="253" t="s">
        <v>1402</v>
      </c>
      <c r="AL230" s="254" t="str">
        <f>O230</f>
        <v>HAN118</v>
      </c>
      <c r="AM230" s="255">
        <f t="shared" si="9"/>
        <v>3000</v>
      </c>
      <c r="AN230" s="534" t="s">
        <v>9220</v>
      </c>
      <c r="AO230" s="535">
        <v>1.2</v>
      </c>
      <c r="AP230" s="536">
        <v>478</v>
      </c>
      <c r="AQ230" s="536">
        <v>129</v>
      </c>
      <c r="AR230" s="537">
        <f t="shared" si="8"/>
        <v>0.58085604000000002</v>
      </c>
      <c r="AS230" s="538"/>
      <c r="AT230" s="536"/>
      <c r="AU230" s="1238"/>
      <c r="AV230" s="536">
        <v>25</v>
      </c>
      <c r="AW230" s="536">
        <v>1026</v>
      </c>
      <c r="AX230" s="642">
        <v>330</v>
      </c>
      <c r="AY230" s="648">
        <v>500</v>
      </c>
      <c r="AZ230" s="648">
        <v>180</v>
      </c>
      <c r="BA230" s="649">
        <v>2.9700000000000001E-2</v>
      </c>
      <c r="BB230" s="649"/>
      <c r="BC230" s="264"/>
      <c r="BD230" s="650"/>
      <c r="BE230" s="651"/>
      <c r="BF230" s="642"/>
      <c r="BG230" s="163" t="s">
        <v>8932</v>
      </c>
      <c r="BH230" s="163">
        <v>3</v>
      </c>
      <c r="BK230" s="163">
        <v>0</v>
      </c>
      <c r="BM230" s="163" t="s">
        <v>8905</v>
      </c>
    </row>
    <row r="231" spans="1:65" ht="15.75" customHeight="1" thickBot="1">
      <c r="A231" s="163" t="e">
        <v>#N/A</v>
      </c>
      <c r="AE231" s="163">
        <v>814</v>
      </c>
    </row>
    <row r="232" spans="1:65" ht="14.15" customHeight="1">
      <c r="M232" s="167"/>
      <c r="N232" s="167"/>
      <c r="Q232" s="1572" t="s">
        <v>9275</v>
      </c>
      <c r="R232" s="1281" t="s">
        <v>8897</v>
      </c>
      <c r="S232" s="1282">
        <v>6483.2222222222226</v>
      </c>
      <c r="T232" s="1283">
        <v>328.89870370370375</v>
      </c>
      <c r="U232" s="1283">
        <v>6075.9722222222217</v>
      </c>
      <c r="V232" s="1283">
        <v>3.4974918887302215</v>
      </c>
      <c r="W232" s="1283">
        <v>9.7682915000000001</v>
      </c>
      <c r="X232" s="1575">
        <v>821</v>
      </c>
      <c r="Y232" s="1576"/>
      <c r="Z232" s="1576"/>
      <c r="AA232" s="1576"/>
      <c r="AB232" s="1576"/>
      <c r="AC232" s="1576"/>
      <c r="AD232" s="1577"/>
      <c r="AE232" s="1283">
        <v>780</v>
      </c>
      <c r="AF232" s="1284">
        <v>41</v>
      </c>
      <c r="AG232" s="1283">
        <v>570</v>
      </c>
      <c r="AH232" s="1283">
        <v>570</v>
      </c>
      <c r="AI232" s="1283">
        <v>0</v>
      </c>
      <c r="AR232" s="1285"/>
      <c r="BC232" s="1285">
        <v>57.794117647058826</v>
      </c>
    </row>
    <row r="233" spans="1:65" ht="14.15" customHeight="1">
      <c r="M233" s="167"/>
      <c r="N233" s="167"/>
      <c r="Q233" s="1573"/>
      <c r="R233" s="1286" t="s">
        <v>8958</v>
      </c>
      <c r="S233" s="1287">
        <v>0</v>
      </c>
      <c r="T233" s="1288">
        <v>0</v>
      </c>
      <c r="U233" s="1288">
        <v>0</v>
      </c>
      <c r="V233" s="1288">
        <v>0</v>
      </c>
      <c r="W233" s="1288">
        <v>0</v>
      </c>
      <c r="X233" s="1578">
        <v>13</v>
      </c>
      <c r="Y233" s="1579"/>
      <c r="Z233" s="1579"/>
      <c r="AA233" s="1579"/>
      <c r="AB233" s="1579"/>
      <c r="AC233" s="1579"/>
      <c r="AD233" s="1580"/>
      <c r="AE233" s="1288">
        <v>13</v>
      </c>
      <c r="AF233" s="1289">
        <v>0</v>
      </c>
      <c r="AG233" s="1288">
        <v>0</v>
      </c>
      <c r="AH233" s="1288">
        <v>0</v>
      </c>
      <c r="AI233" s="1288">
        <v>0</v>
      </c>
    </row>
    <row r="234" spans="1:65" ht="14.15" customHeight="1">
      <c r="M234" s="167"/>
      <c r="N234" s="167"/>
      <c r="Q234" s="1573"/>
      <c r="R234" s="1286" t="s">
        <v>8981</v>
      </c>
      <c r="S234" s="1287">
        <v>56127.555555555569</v>
      </c>
      <c r="T234" s="1288">
        <v>1952.1125577601408</v>
      </c>
      <c r="U234" s="1288">
        <v>54726.000000000007</v>
      </c>
      <c r="V234" s="1288">
        <v>0</v>
      </c>
      <c r="W234" s="1288">
        <v>64.614888991710757</v>
      </c>
      <c r="X234" s="1578">
        <v>4998</v>
      </c>
      <c r="Y234" s="1579"/>
      <c r="Z234" s="1579"/>
      <c r="AA234" s="1579"/>
      <c r="AB234" s="1579"/>
      <c r="AC234" s="1579"/>
      <c r="AD234" s="1580"/>
      <c r="AE234" s="1288">
        <v>4725</v>
      </c>
      <c r="AF234" s="1289">
        <v>273</v>
      </c>
      <c r="AG234" s="1288" t="e">
        <v>#N/A</v>
      </c>
      <c r="AH234" s="1288" t="e">
        <v>#N/A</v>
      </c>
      <c r="AI234" s="1288" t="e">
        <v>#N/A</v>
      </c>
    </row>
    <row r="235" spans="1:65" ht="15.5">
      <c r="M235" s="167"/>
      <c r="N235" s="167"/>
      <c r="Q235" s="1573"/>
      <c r="R235" s="1286" t="s">
        <v>8907</v>
      </c>
      <c r="S235" s="1290">
        <v>52953.000000000015</v>
      </c>
      <c r="T235" s="1291">
        <v>2023.0796296296292</v>
      </c>
      <c r="U235" s="1291">
        <v>48961.472222222241</v>
      </c>
      <c r="V235" s="1291">
        <v>22.145181690044765</v>
      </c>
      <c r="W235" s="1291">
        <v>61.220661296296321</v>
      </c>
      <c r="X235" s="1581">
        <v>4058</v>
      </c>
      <c r="Y235" s="1582"/>
      <c r="Z235" s="1582"/>
      <c r="AA235" s="1582"/>
      <c r="AB235" s="1582"/>
      <c r="AC235" s="1582"/>
      <c r="AD235" s="1583"/>
      <c r="AE235" s="1292">
        <v>3774</v>
      </c>
      <c r="AF235" s="1293">
        <v>284</v>
      </c>
      <c r="AG235" s="1292">
        <v>2690</v>
      </c>
      <c r="AH235" s="1292">
        <v>2690</v>
      </c>
      <c r="AI235" s="1294">
        <v>0</v>
      </c>
    </row>
    <row r="236" spans="1:65" ht="15.5">
      <c r="M236" s="167"/>
      <c r="N236" s="163"/>
      <c r="Q236" s="1573"/>
      <c r="R236" s="1286" t="s">
        <v>6747</v>
      </c>
      <c r="S236" s="1295">
        <v>17908.388888888891</v>
      </c>
      <c r="T236" s="1296">
        <v>550.68537037037038</v>
      </c>
      <c r="U236" s="1296">
        <v>15635.166666666666</v>
      </c>
      <c r="V236" s="1296">
        <v>5.8413353155345638</v>
      </c>
      <c r="W236" s="1296">
        <v>17.331687907407407</v>
      </c>
      <c r="X236" s="1584">
        <v>2366</v>
      </c>
      <c r="Y236" s="1585"/>
      <c r="Z236" s="1585"/>
      <c r="AA236" s="1585"/>
      <c r="AB236" s="1585"/>
      <c r="AC236" s="1585"/>
      <c r="AD236" s="1586"/>
      <c r="AE236" s="1296">
        <v>2269</v>
      </c>
      <c r="AF236" s="1297">
        <v>97</v>
      </c>
      <c r="AG236" s="1296">
        <v>1890</v>
      </c>
      <c r="AH236" s="1296">
        <v>1890</v>
      </c>
      <c r="AI236" s="1298">
        <v>0</v>
      </c>
    </row>
    <row r="237" spans="1:65" ht="14.15" customHeight="1">
      <c r="M237" s="167"/>
      <c r="N237" s="167"/>
      <c r="Q237" s="1573"/>
      <c r="R237" s="1286" t="s">
        <v>6768</v>
      </c>
      <c r="S237" s="1299">
        <v>1240</v>
      </c>
      <c r="T237" s="1300">
        <v>25.833333333333332</v>
      </c>
      <c r="U237" s="1300">
        <v>1240</v>
      </c>
      <c r="V237" s="1300">
        <v>0.73583296939999987</v>
      </c>
      <c r="W237" s="1300">
        <v>0.76724999999999999</v>
      </c>
      <c r="X237" s="1587">
        <v>261</v>
      </c>
      <c r="Y237" s="1588"/>
      <c r="Z237" s="1588"/>
      <c r="AA237" s="1588"/>
      <c r="AB237" s="1588"/>
      <c r="AC237" s="1588"/>
      <c r="AD237" s="1589"/>
      <c r="AE237" s="1300">
        <v>240</v>
      </c>
      <c r="AF237" s="1301">
        <v>21</v>
      </c>
      <c r="AG237" s="1300">
        <v>160</v>
      </c>
      <c r="AH237" s="1300">
        <v>160</v>
      </c>
      <c r="AI237" s="1300">
        <v>0</v>
      </c>
    </row>
    <row r="238" spans="1:65" ht="15.5">
      <c r="M238" s="167"/>
      <c r="N238" s="167"/>
      <c r="Q238" s="1573"/>
      <c r="R238" s="1286" t="s">
        <v>6782</v>
      </c>
      <c r="S238" s="1302">
        <v>10361.333333333334</v>
      </c>
      <c r="T238" s="1292">
        <v>623.53055555555557</v>
      </c>
      <c r="U238" s="1292">
        <v>10318.740740740741</v>
      </c>
      <c r="V238" s="1292">
        <v>3.2041479617033337</v>
      </c>
      <c r="W238" s="1292">
        <v>19.457131574074076</v>
      </c>
      <c r="X238" s="1590">
        <v>1962</v>
      </c>
      <c r="Y238" s="1591"/>
      <c r="Z238" s="1591"/>
      <c r="AA238" s="1591"/>
      <c r="AB238" s="1591"/>
      <c r="AC238" s="1591"/>
      <c r="AD238" s="1592"/>
      <c r="AE238" s="1292">
        <v>1894</v>
      </c>
      <c r="AF238" s="1293">
        <v>68</v>
      </c>
      <c r="AG238" s="1292">
        <v>1600</v>
      </c>
      <c r="AH238" s="1292">
        <v>1600</v>
      </c>
      <c r="AI238" s="1294">
        <v>0</v>
      </c>
    </row>
    <row r="239" spans="1:65" ht="16" thickBot="1">
      <c r="M239" s="167"/>
      <c r="N239" s="167"/>
      <c r="Q239" s="1573"/>
      <c r="R239" s="1303" t="s">
        <v>6746</v>
      </c>
      <c r="S239" s="1302">
        <v>13412.111111111111</v>
      </c>
      <c r="T239" s="1292">
        <v>483.67611111111114</v>
      </c>
      <c r="U239" s="1292">
        <v>11161.5</v>
      </c>
      <c r="V239" s="1292">
        <v>5.9168803780358328</v>
      </c>
      <c r="W239" s="1292">
        <v>18.130020777777776</v>
      </c>
      <c r="X239" s="1558">
        <v>868</v>
      </c>
      <c r="Y239" s="1559"/>
      <c r="Z239" s="1559"/>
      <c r="AA239" s="1559"/>
      <c r="AB239" s="1559"/>
      <c r="AC239" s="1559"/>
      <c r="AD239" s="1560"/>
      <c r="AE239" s="1292">
        <v>814</v>
      </c>
      <c r="AF239" s="1293">
        <v>54</v>
      </c>
      <c r="AG239" s="1292">
        <v>490</v>
      </c>
      <c r="AH239" s="1292">
        <v>490</v>
      </c>
      <c r="AI239" s="1294">
        <v>0</v>
      </c>
    </row>
    <row r="240" spans="1:65" ht="16" thickBot="1">
      <c r="M240" s="167"/>
      <c r="N240" s="167"/>
      <c r="Q240" s="1573"/>
      <c r="R240" s="1303" t="s">
        <v>9250</v>
      </c>
      <c r="S240" s="1302">
        <v>12908.444444444443</v>
      </c>
      <c r="T240" s="1292">
        <v>631.224074074074</v>
      </c>
      <c r="U240" s="1292">
        <v>12908.444444444443</v>
      </c>
      <c r="V240" s="1292">
        <v>4.2448458126622217</v>
      </c>
      <c r="W240" s="1292">
        <v>0</v>
      </c>
      <c r="X240" s="1558">
        <v>2079</v>
      </c>
      <c r="Y240" s="1559"/>
      <c r="Z240" s="1559"/>
      <c r="AA240" s="1559"/>
      <c r="AB240" s="1559"/>
      <c r="AC240" s="1559"/>
      <c r="AD240" s="1560"/>
      <c r="AE240" s="1292">
        <v>0</v>
      </c>
      <c r="AF240" s="1293">
        <v>0</v>
      </c>
      <c r="AG240" s="1292">
        <v>0</v>
      </c>
      <c r="AH240" s="1292">
        <v>0</v>
      </c>
      <c r="AI240" s="1294">
        <v>0</v>
      </c>
    </row>
    <row r="241" spans="3:58" ht="16" thickBot="1">
      <c r="M241" s="167"/>
      <c r="N241" s="167"/>
      <c r="Q241" s="1573"/>
      <c r="R241" s="1303" t="s">
        <v>4794</v>
      </c>
      <c r="S241" s="1302">
        <v>1901.6666666666667</v>
      </c>
      <c r="T241" s="1292">
        <v>76.066666666666663</v>
      </c>
      <c r="U241" s="1292">
        <v>1901.6666666666667</v>
      </c>
      <c r="V241" s="1292">
        <v>0.36318533941666664</v>
      </c>
      <c r="W241" s="1292">
        <v>0</v>
      </c>
      <c r="X241" s="1558">
        <v>0</v>
      </c>
      <c r="Y241" s="1559"/>
      <c r="Z241" s="1559"/>
      <c r="AA241" s="1559"/>
      <c r="AB241" s="1559"/>
      <c r="AC241" s="1559"/>
      <c r="AD241" s="1560"/>
      <c r="AE241" s="1292">
        <v>0</v>
      </c>
      <c r="AF241" s="1293">
        <v>0</v>
      </c>
      <c r="AG241" s="1292">
        <v>0</v>
      </c>
      <c r="AH241" s="1292">
        <v>0</v>
      </c>
      <c r="AI241" s="1294">
        <v>0</v>
      </c>
    </row>
    <row r="242" spans="3:58" ht="16" thickBot="1">
      <c r="M242" s="167"/>
      <c r="N242" s="167"/>
      <c r="Q242" s="1574"/>
      <c r="R242" s="1304"/>
      <c r="S242" s="1305">
        <v>173295.72222222225</v>
      </c>
      <c r="T242" s="1306">
        <v>6695.1070022045833</v>
      </c>
      <c r="U242" s="1306">
        <v>162928.96296296298</v>
      </c>
      <c r="V242" s="1306">
        <v>45.948901355527603</v>
      </c>
      <c r="W242" s="1306">
        <v>191.28993204726635</v>
      </c>
      <c r="X242" s="1561">
        <v>17426</v>
      </c>
      <c r="Y242" s="1562"/>
      <c r="Z242" s="1562"/>
      <c r="AA242" s="1562"/>
      <c r="AB242" s="1562"/>
      <c r="AC242" s="1562"/>
      <c r="AD242" s="1563"/>
      <c r="AE242" s="1306">
        <v>14509</v>
      </c>
      <c r="AF242" s="1306">
        <v>838</v>
      </c>
      <c r="AG242" s="1306" t="e">
        <v>#N/A</v>
      </c>
      <c r="AH242" s="1306" t="e">
        <v>#N/A</v>
      </c>
      <c r="AI242" s="1306" t="e">
        <v>#N/A</v>
      </c>
    </row>
    <row r="243" spans="3:58" ht="14.15" customHeight="1" thickBot="1"/>
    <row r="244" spans="3:58" ht="27" customHeight="1">
      <c r="C244" s="164" t="s">
        <v>9276</v>
      </c>
      <c r="D244" s="1564" t="s">
        <v>9277</v>
      </c>
      <c r="E244" s="1307"/>
      <c r="F244" s="1137">
        <v>80</v>
      </c>
      <c r="G244" s="1308"/>
      <c r="H244" s="1308"/>
      <c r="I244" s="1308"/>
      <c r="J244" s="589" t="s">
        <v>2597</v>
      </c>
      <c r="K244" s="589" t="s">
        <v>2596</v>
      </c>
      <c r="L244" s="1309" t="s">
        <v>9278</v>
      </c>
      <c r="M244" s="589">
        <v>2</v>
      </c>
      <c r="N244" s="589">
        <v>2</v>
      </c>
      <c r="O244" s="593" t="s">
        <v>4572</v>
      </c>
      <c r="P244" s="589">
        <v>1500</v>
      </c>
      <c r="Q244" s="589">
        <v>2</v>
      </c>
      <c r="R244" s="589">
        <v>0</v>
      </c>
      <c r="S244" s="1310">
        <v>0</v>
      </c>
      <c r="T244" s="1311">
        <v>0</v>
      </c>
      <c r="U244" s="1312">
        <v>0</v>
      </c>
      <c r="V244" s="1313">
        <v>0</v>
      </c>
      <c r="W244" s="1314">
        <v>0</v>
      </c>
      <c r="X244" s="1315">
        <v>48</v>
      </c>
      <c r="Y244" s="1316">
        <v>4</v>
      </c>
      <c r="Z244" s="1317">
        <v>0</v>
      </c>
      <c r="AA244" s="589">
        <v>0</v>
      </c>
      <c r="AB244" s="1318">
        <v>48</v>
      </c>
      <c r="AC244" s="1319"/>
      <c r="AD244" s="1319"/>
      <c r="AE244" s="1320"/>
      <c r="AF244" s="1320">
        <v>-48</v>
      </c>
      <c r="AG244" s="1321">
        <v>50</v>
      </c>
      <c r="AH244" s="1320"/>
      <c r="AI244" s="1320">
        <v>-50</v>
      </c>
      <c r="AJ244" s="1322"/>
      <c r="AL244" s="593" t="s">
        <v>4572</v>
      </c>
      <c r="AM244" s="589">
        <v>1500</v>
      </c>
      <c r="AN244" s="587" t="s">
        <v>9279</v>
      </c>
      <c r="AO244" s="588">
        <v>1.4</v>
      </c>
      <c r="AP244" s="589">
        <v>190</v>
      </c>
      <c r="AQ244" s="589">
        <v>100</v>
      </c>
      <c r="AR244" s="590">
        <f t="shared" ref="AR244:AR249" si="10">(AO244*AP244*AQ244)*7.85/1000000</f>
        <v>0.20881</v>
      </c>
      <c r="AS244" s="591">
        <v>1240.647454059032</v>
      </c>
      <c r="AT244" s="589">
        <v>508</v>
      </c>
      <c r="AU244" s="592">
        <v>0.45141516210909438</v>
      </c>
      <c r="AV244" s="593">
        <v>150</v>
      </c>
      <c r="AW244" s="594">
        <v>1026</v>
      </c>
      <c r="AX244" s="589">
        <v>330</v>
      </c>
      <c r="AY244" s="595">
        <v>500</v>
      </c>
      <c r="AZ244" s="595">
        <v>180</v>
      </c>
      <c r="BA244" s="596">
        <v>2.9700000000000001E-2</v>
      </c>
      <c r="BB244" s="596">
        <v>1.885</v>
      </c>
      <c r="BC244" s="595">
        <v>0</v>
      </c>
      <c r="BD244" s="597">
        <v>4.2000000000000003E-2</v>
      </c>
      <c r="BE244" s="598">
        <v>4.7129999999999998E-2</v>
      </c>
      <c r="BF244" s="589">
        <v>3</v>
      </c>
    </row>
    <row r="245" spans="3:58" ht="27" customHeight="1">
      <c r="C245" s="164" t="s">
        <v>9276</v>
      </c>
      <c r="D245" s="1565"/>
      <c r="E245" s="893"/>
      <c r="F245" s="268" t="s">
        <v>9280</v>
      </c>
      <c r="G245" s="1323"/>
      <c r="H245" s="1323"/>
      <c r="I245" s="1323"/>
      <c r="J245" s="536" t="s">
        <v>2809</v>
      </c>
      <c r="K245" s="536" t="s">
        <v>2808</v>
      </c>
      <c r="L245" s="1324" t="s">
        <v>7913</v>
      </c>
      <c r="M245" s="536">
        <v>1</v>
      </c>
      <c r="N245" s="536">
        <v>1</v>
      </c>
      <c r="O245" s="521" t="s">
        <v>4658</v>
      </c>
      <c r="P245" s="536">
        <v>800</v>
      </c>
      <c r="Q245" s="536">
        <v>1</v>
      </c>
      <c r="R245" s="536">
        <v>590280</v>
      </c>
      <c r="S245" s="1325">
        <v>32793.4</v>
      </c>
      <c r="T245" s="1326">
        <v>655.86800000000005</v>
      </c>
      <c r="U245" s="1327">
        <v>32793.4</v>
      </c>
      <c r="V245" s="1328">
        <v>40.991750000000003</v>
      </c>
      <c r="W245" s="1329">
        <v>11.346516400000001</v>
      </c>
      <c r="X245" s="1330">
        <v>66</v>
      </c>
      <c r="Y245" s="1331">
        <v>4</v>
      </c>
      <c r="Z245" s="1332">
        <v>164</v>
      </c>
      <c r="AA245" s="536">
        <v>328</v>
      </c>
      <c r="AB245" s="1333">
        <v>558</v>
      </c>
      <c r="AC245" s="1334"/>
      <c r="AD245" s="1334"/>
      <c r="AE245" s="1335"/>
      <c r="AF245" s="1335">
        <v>-558</v>
      </c>
      <c r="AG245" s="1336">
        <v>70</v>
      </c>
      <c r="AH245" s="1335"/>
      <c r="AI245" s="1335">
        <v>-70</v>
      </c>
      <c r="AJ245" s="1337"/>
      <c r="AL245" s="521" t="s">
        <v>4658</v>
      </c>
      <c r="AM245" s="536">
        <v>800</v>
      </c>
      <c r="AN245" s="534" t="s">
        <v>8899</v>
      </c>
      <c r="AO245" s="535">
        <v>4.3</v>
      </c>
      <c r="AP245" s="536">
        <v>84</v>
      </c>
      <c r="AQ245" s="536">
        <v>86</v>
      </c>
      <c r="AR245" s="537">
        <f t="shared" si="10"/>
        <v>0.24384612</v>
      </c>
      <c r="AS245" s="538">
        <v>1342.9701269591822</v>
      </c>
      <c r="AT245" s="536">
        <v>508</v>
      </c>
      <c r="AU245" s="539">
        <v>0.6707098722751873</v>
      </c>
      <c r="AV245" s="521">
        <v>50</v>
      </c>
      <c r="AW245" s="540">
        <v>1031</v>
      </c>
      <c r="AX245" s="536">
        <v>335</v>
      </c>
      <c r="AY245" s="290">
        <v>500</v>
      </c>
      <c r="AZ245" s="290">
        <v>103</v>
      </c>
      <c r="BA245" s="541">
        <v>1.7299999999999999E-2</v>
      </c>
      <c r="BB245" s="541" t="s">
        <v>8969</v>
      </c>
      <c r="BC245" s="290">
        <v>0</v>
      </c>
      <c r="BD245" s="542">
        <v>0.158</v>
      </c>
      <c r="BE245" s="543">
        <v>0.16355</v>
      </c>
      <c r="BF245" s="536" t="s">
        <v>9276</v>
      </c>
    </row>
    <row r="246" spans="3:58" ht="27" customHeight="1">
      <c r="C246" s="164" t="s">
        <v>9276</v>
      </c>
      <c r="D246" s="1565"/>
      <c r="E246" s="893"/>
      <c r="F246" s="268" t="s">
        <v>9281</v>
      </c>
      <c r="G246" s="1323"/>
      <c r="H246" s="1323"/>
      <c r="I246" s="1323"/>
      <c r="J246" s="536" t="s">
        <v>2861</v>
      </c>
      <c r="K246" s="536" t="s">
        <v>2860</v>
      </c>
      <c r="L246" s="1324" t="s">
        <v>8442</v>
      </c>
      <c r="M246" s="536">
        <v>1</v>
      </c>
      <c r="N246" s="536">
        <v>1</v>
      </c>
      <c r="O246" s="521" t="s">
        <v>4467</v>
      </c>
      <c r="P246" s="536">
        <v>750</v>
      </c>
      <c r="Q246" s="536">
        <v>1</v>
      </c>
      <c r="R246" s="536">
        <v>590280</v>
      </c>
      <c r="S246" s="1325">
        <v>32793.4</v>
      </c>
      <c r="T246" s="1326">
        <v>655.86800000000005</v>
      </c>
      <c r="U246" s="1327">
        <v>32793.4</v>
      </c>
      <c r="V246" s="1328">
        <v>43.724533333333333</v>
      </c>
      <c r="W246" s="1329">
        <v>11.346516400000001</v>
      </c>
      <c r="X246" s="1330">
        <v>75</v>
      </c>
      <c r="Y246" s="1331">
        <v>4</v>
      </c>
      <c r="Z246" s="1332">
        <v>164</v>
      </c>
      <c r="AA246" s="536">
        <v>328</v>
      </c>
      <c r="AB246" s="1333">
        <v>567</v>
      </c>
      <c r="AC246" s="1334"/>
      <c r="AD246" s="1334"/>
      <c r="AE246" s="1335"/>
      <c r="AF246" s="1335">
        <v>-567</v>
      </c>
      <c r="AG246" s="1336">
        <v>80</v>
      </c>
      <c r="AH246" s="1335"/>
      <c r="AI246" s="1335">
        <v>-80</v>
      </c>
      <c r="AJ246" s="1337"/>
      <c r="AL246" s="521" t="s">
        <v>4467</v>
      </c>
      <c r="AM246" s="536">
        <v>750</v>
      </c>
      <c r="AN246" s="534" t="s">
        <v>9282</v>
      </c>
      <c r="AO246" s="535">
        <v>4.3</v>
      </c>
      <c r="AP246" s="536">
        <v>76</v>
      </c>
      <c r="AQ246" s="536">
        <v>78</v>
      </c>
      <c r="AR246" s="537">
        <f t="shared" si="10"/>
        <v>0.20009964000000002</v>
      </c>
      <c r="AS246" s="538">
        <v>1363.6317800560926</v>
      </c>
      <c r="AT246" s="536">
        <v>508</v>
      </c>
      <c r="AU246" s="539">
        <v>0.66686776647874024</v>
      </c>
      <c r="AV246" s="521">
        <v>50</v>
      </c>
      <c r="AW246" s="540">
        <v>1031</v>
      </c>
      <c r="AX246" s="536">
        <v>335</v>
      </c>
      <c r="AY246" s="290">
        <v>500</v>
      </c>
      <c r="AZ246" s="290">
        <v>103</v>
      </c>
      <c r="BA246" s="541">
        <v>1.7299999999999999E-2</v>
      </c>
      <c r="BB246" s="541" t="s">
        <v>8969</v>
      </c>
      <c r="BC246" s="290">
        <v>0</v>
      </c>
      <c r="BD246" s="542">
        <v>0.13</v>
      </c>
      <c r="BE246" s="543">
        <v>0.13344</v>
      </c>
      <c r="BF246" s="536" t="s">
        <v>9276</v>
      </c>
    </row>
    <row r="247" spans="3:58" ht="27" customHeight="1">
      <c r="C247" s="164" t="s">
        <v>9276</v>
      </c>
      <c r="D247" s="1565"/>
      <c r="E247" s="893"/>
      <c r="F247" s="268" t="s">
        <v>9283</v>
      </c>
      <c r="G247" s="1323"/>
      <c r="H247" s="1323"/>
      <c r="I247" s="1323"/>
      <c r="J247" s="536" t="s">
        <v>2870</v>
      </c>
      <c r="K247" s="536" t="s">
        <v>2868</v>
      </c>
      <c r="L247" s="1324" t="s">
        <v>9284</v>
      </c>
      <c r="M247" s="536">
        <v>4</v>
      </c>
      <c r="N247" s="536">
        <v>4</v>
      </c>
      <c r="O247" s="521" t="s">
        <v>4666</v>
      </c>
      <c r="P247" s="536">
        <v>700</v>
      </c>
      <c r="Q247" s="536">
        <v>4</v>
      </c>
      <c r="R247" s="536">
        <v>590280</v>
      </c>
      <c r="S247" s="1325">
        <v>32793.4</v>
      </c>
      <c r="T247" s="1326">
        <v>32.793399999999998</v>
      </c>
      <c r="U247" s="1338">
        <v>8198.35</v>
      </c>
      <c r="V247" s="1328">
        <v>11.711928571428572</v>
      </c>
      <c r="W247" s="1329">
        <v>0.56732581999999998</v>
      </c>
      <c r="X247" s="1330">
        <v>7</v>
      </c>
      <c r="Y247" s="1331">
        <v>4</v>
      </c>
      <c r="Z247" s="1332">
        <v>9</v>
      </c>
      <c r="AA247" s="536">
        <v>16</v>
      </c>
      <c r="AB247" s="1333">
        <v>32</v>
      </c>
      <c r="AC247" s="1334"/>
      <c r="AD247" s="1334"/>
      <c r="AE247" s="1335"/>
      <c r="AF247" s="1335">
        <v>-32</v>
      </c>
      <c r="AG247" s="1336">
        <v>10</v>
      </c>
      <c r="AH247" s="1335"/>
      <c r="AI247" s="1335">
        <v>-10</v>
      </c>
      <c r="AJ247" s="1337"/>
      <c r="AL247" s="521" t="s">
        <v>4664</v>
      </c>
      <c r="AM247" s="536">
        <v>700</v>
      </c>
      <c r="AN247" s="534" t="s">
        <v>8899</v>
      </c>
      <c r="AO247" s="535">
        <v>4.5999999999999996</v>
      </c>
      <c r="AP247" s="536">
        <v>68</v>
      </c>
      <c r="AQ247" s="536">
        <v>42</v>
      </c>
      <c r="AR247" s="537">
        <f t="shared" si="10"/>
        <v>0.10313015999999998</v>
      </c>
      <c r="AS247" s="538">
        <v>1388.7306519010128</v>
      </c>
      <c r="AT247" s="536">
        <v>508</v>
      </c>
      <c r="AU247" s="539">
        <v>0.35683063034130852</v>
      </c>
      <c r="AV247" s="521">
        <v>1000</v>
      </c>
      <c r="AW247" s="540">
        <v>1031</v>
      </c>
      <c r="AX247" s="536">
        <v>335</v>
      </c>
      <c r="AY247" s="290">
        <v>500</v>
      </c>
      <c r="AZ247" s="290">
        <v>103</v>
      </c>
      <c r="BA247" s="541">
        <v>1.7299999999999999E-2</v>
      </c>
      <c r="BB247" s="541" t="s">
        <v>8969</v>
      </c>
      <c r="BC247" s="290">
        <v>0</v>
      </c>
      <c r="BD247" s="542">
        <v>8.9999999999999993E-3</v>
      </c>
      <c r="BE247" s="543">
        <v>9.1999999999999998E-3</v>
      </c>
      <c r="BF247" s="536" t="s">
        <v>9276</v>
      </c>
    </row>
    <row r="248" spans="3:58" ht="27" customHeight="1">
      <c r="C248" s="164" t="s">
        <v>9276</v>
      </c>
      <c r="D248" s="1565"/>
      <c r="E248" s="893"/>
      <c r="F248" s="268" t="s">
        <v>9285</v>
      </c>
      <c r="G248" s="1323"/>
      <c r="H248" s="1323"/>
      <c r="I248" s="1323"/>
      <c r="J248" s="536" t="s">
        <v>2884</v>
      </c>
      <c r="K248" s="536" t="s">
        <v>2882</v>
      </c>
      <c r="L248" s="1324" t="s">
        <v>9286</v>
      </c>
      <c r="M248" s="536">
        <v>4</v>
      </c>
      <c r="N248" s="536">
        <v>4</v>
      </c>
      <c r="O248" s="521" t="s">
        <v>4666</v>
      </c>
      <c r="P248" s="536">
        <v>700</v>
      </c>
      <c r="Q248" s="536">
        <v>4</v>
      </c>
      <c r="R248" s="536">
        <v>590280</v>
      </c>
      <c r="S248" s="1325">
        <v>32793.4</v>
      </c>
      <c r="T248" s="1326">
        <v>32.793399999999998</v>
      </c>
      <c r="U248" s="1338">
        <v>8198.35</v>
      </c>
      <c r="V248" s="1328">
        <v>11.711928571428572</v>
      </c>
      <c r="W248" s="1329">
        <v>0.56732581999999998</v>
      </c>
      <c r="X248" s="1330">
        <v>7</v>
      </c>
      <c r="Y248" s="1331">
        <v>4</v>
      </c>
      <c r="Z248" s="1332">
        <v>9</v>
      </c>
      <c r="AA248" s="536">
        <v>16</v>
      </c>
      <c r="AB248" s="1333">
        <v>32</v>
      </c>
      <c r="AC248" s="1334"/>
      <c r="AD248" s="1334"/>
      <c r="AE248" s="1335"/>
      <c r="AF248" s="1335">
        <v>-32</v>
      </c>
      <c r="AG248" s="1336">
        <v>10</v>
      </c>
      <c r="AH248" s="1335"/>
      <c r="AI248" s="1335">
        <v>-10</v>
      </c>
      <c r="AJ248" s="1337"/>
      <c r="AL248" s="521" t="s">
        <v>4664</v>
      </c>
      <c r="AM248" s="536">
        <v>700</v>
      </c>
      <c r="AN248" s="534" t="s">
        <v>8899</v>
      </c>
      <c r="AO248" s="535">
        <v>4.5999999999999996</v>
      </c>
      <c r="AP248" s="536">
        <v>68</v>
      </c>
      <c r="AQ248" s="536">
        <v>42</v>
      </c>
      <c r="AR248" s="537">
        <f t="shared" si="10"/>
        <v>0.10313015999999998</v>
      </c>
      <c r="AS248" s="538">
        <v>1388.7306519010128</v>
      </c>
      <c r="AT248" s="536">
        <v>508</v>
      </c>
      <c r="AU248" s="539">
        <v>0.35683063034130852</v>
      </c>
      <c r="AV248" s="521">
        <v>1000</v>
      </c>
      <c r="AW248" s="540">
        <v>1031</v>
      </c>
      <c r="AX248" s="536">
        <v>335</v>
      </c>
      <c r="AY248" s="290">
        <v>500</v>
      </c>
      <c r="AZ248" s="290">
        <v>103</v>
      </c>
      <c r="BA248" s="541">
        <v>1.7299999999999999E-2</v>
      </c>
      <c r="BB248" s="541" t="s">
        <v>8969</v>
      </c>
      <c r="BC248" s="290">
        <v>0</v>
      </c>
      <c r="BD248" s="542">
        <v>8.9999999999999993E-3</v>
      </c>
      <c r="BE248" s="543">
        <v>9.1999999999999998E-3</v>
      </c>
      <c r="BF248" s="536" t="s">
        <v>9276</v>
      </c>
    </row>
    <row r="249" spans="3:58" ht="27" customHeight="1" thickBot="1">
      <c r="C249" s="164" t="s">
        <v>9276</v>
      </c>
      <c r="D249" s="1566"/>
      <c r="E249" s="1339"/>
      <c r="F249" s="546" t="s">
        <v>9287</v>
      </c>
      <c r="G249" s="1340"/>
      <c r="H249" s="1340"/>
      <c r="I249" s="1340"/>
      <c r="J249" s="553" t="s">
        <v>2906</v>
      </c>
      <c r="K249" s="1341" t="s">
        <v>2904</v>
      </c>
      <c r="L249" s="1342" t="s">
        <v>9288</v>
      </c>
      <c r="M249" s="1341">
        <v>4</v>
      </c>
      <c r="N249" s="1341">
        <v>4</v>
      </c>
      <c r="O249" s="1339" t="s">
        <v>4668</v>
      </c>
      <c r="P249" s="1341">
        <v>700</v>
      </c>
      <c r="Q249" s="1341">
        <v>4</v>
      </c>
      <c r="R249" s="1341">
        <v>590280</v>
      </c>
      <c r="S249" s="1343">
        <v>32793.4</v>
      </c>
      <c r="T249" s="1344">
        <v>131.17359999999999</v>
      </c>
      <c r="U249" s="1345">
        <v>8198.35</v>
      </c>
      <c r="V249" s="1346">
        <v>11.711928571428572</v>
      </c>
      <c r="W249" s="1347">
        <v>2.2693032799999999</v>
      </c>
      <c r="X249" s="1348">
        <v>9</v>
      </c>
      <c r="Y249" s="1349">
        <v>4</v>
      </c>
      <c r="Z249" s="1350">
        <v>33</v>
      </c>
      <c r="AA249" s="1341">
        <v>66</v>
      </c>
      <c r="AB249" s="1351">
        <v>108</v>
      </c>
      <c r="AC249" s="1352"/>
      <c r="AD249" s="1352"/>
      <c r="AE249" s="1353"/>
      <c r="AF249" s="1354">
        <v>-108</v>
      </c>
      <c r="AG249" s="1355">
        <v>10</v>
      </c>
      <c r="AH249" s="1353"/>
      <c r="AI249" s="1353">
        <v>-10</v>
      </c>
      <c r="AJ249" s="1356"/>
      <c r="AL249" s="1339" t="s">
        <v>4668</v>
      </c>
      <c r="AM249" s="1341">
        <v>700</v>
      </c>
      <c r="AN249" s="1357" t="s">
        <v>8899</v>
      </c>
      <c r="AO249" s="1358">
        <v>4.5999999999999996</v>
      </c>
      <c r="AP249" s="1341">
        <v>94</v>
      </c>
      <c r="AQ249" s="1341">
        <v>96</v>
      </c>
      <c r="AR249" s="1359">
        <f t="shared" si="10"/>
        <v>0.32585663999999998</v>
      </c>
      <c r="AS249" s="1360">
        <v>1210.9984275338104</v>
      </c>
      <c r="AT249" s="1341">
        <v>508</v>
      </c>
      <c r="AU249" s="1361">
        <v>0.46658555124118389</v>
      </c>
      <c r="AV249" s="1339">
        <v>250</v>
      </c>
      <c r="AW249" s="1362">
        <v>1031</v>
      </c>
      <c r="AX249" s="1341">
        <v>335</v>
      </c>
      <c r="AY249" s="725">
        <v>500</v>
      </c>
      <c r="AZ249" s="725">
        <v>103</v>
      </c>
      <c r="BA249" s="1363">
        <v>1.7299999999999999E-2</v>
      </c>
      <c r="BB249" s="1363" t="s">
        <v>8969</v>
      </c>
      <c r="BC249" s="572">
        <v>0</v>
      </c>
      <c r="BD249" s="1364">
        <v>3.6999999999999998E-2</v>
      </c>
      <c r="BE249" s="1365">
        <v>3.8010000000000002E-2</v>
      </c>
      <c r="BF249" s="1341" t="s">
        <v>9276</v>
      </c>
    </row>
  </sheetData>
  <mergeCells count="237">
    <mergeCell ref="X239:AD239"/>
    <mergeCell ref="X240:AD240"/>
    <mergeCell ref="X241:AD241"/>
    <mergeCell ref="X242:AD242"/>
    <mergeCell ref="D244:D249"/>
    <mergeCell ref="D217:D228"/>
    <mergeCell ref="D229:D230"/>
    <mergeCell ref="Q232:Q242"/>
    <mergeCell ref="X232:AD232"/>
    <mergeCell ref="X233:AD233"/>
    <mergeCell ref="X234:AD234"/>
    <mergeCell ref="X235:AD235"/>
    <mergeCell ref="X236:AD236"/>
    <mergeCell ref="X237:AD237"/>
    <mergeCell ref="X238:AD238"/>
    <mergeCell ref="E204:E207"/>
    <mergeCell ref="AJ204:AJ207"/>
    <mergeCell ref="D208:D216"/>
    <mergeCell ref="E208:E209"/>
    <mergeCell ref="H208:H209"/>
    <mergeCell ref="E211:E212"/>
    <mergeCell ref="H211:H212"/>
    <mergeCell ref="E214:E215"/>
    <mergeCell ref="H214:H215"/>
    <mergeCell ref="V141:V142"/>
    <mergeCell ref="D180:D183"/>
    <mergeCell ref="D184:D186"/>
    <mergeCell ref="D187:D195"/>
    <mergeCell ref="E196:E199"/>
    <mergeCell ref="D201:D203"/>
    <mergeCell ref="AJ202:AJ203"/>
    <mergeCell ref="E153:E154"/>
    <mergeCell ref="AJ153:AJ154"/>
    <mergeCell ref="D159:D179"/>
    <mergeCell ref="E159:E160"/>
    <mergeCell ref="AJ159:AJ160"/>
    <mergeCell ref="E161:E162"/>
    <mergeCell ref="AJ161:AJ162"/>
    <mergeCell ref="E165:E166"/>
    <mergeCell ref="AJ165:AJ166"/>
    <mergeCell ref="V139:V140"/>
    <mergeCell ref="AJ139:AJ140"/>
    <mergeCell ref="E147:E148"/>
    <mergeCell ref="U147:U148"/>
    <mergeCell ref="V147:V148"/>
    <mergeCell ref="AJ147:AJ148"/>
    <mergeCell ref="E151:E152"/>
    <mergeCell ref="U151:U152"/>
    <mergeCell ref="V151:V152"/>
    <mergeCell ref="AJ151:AJ152"/>
    <mergeCell ref="AJ141:AJ142"/>
    <mergeCell ref="E143:E144"/>
    <mergeCell ref="U143:U144"/>
    <mergeCell ref="V143:V144"/>
    <mergeCell ref="AJ143:AJ144"/>
    <mergeCell ref="E145:E146"/>
    <mergeCell ref="U145:U146"/>
    <mergeCell ref="V145:V146"/>
    <mergeCell ref="AJ145:AJ146"/>
    <mergeCell ref="E141:E142"/>
    <mergeCell ref="G141:G142"/>
    <mergeCell ref="H141:H142"/>
    <mergeCell ref="I141:I142"/>
    <mergeCell ref="U141:U142"/>
    <mergeCell ref="V117:V118"/>
    <mergeCell ref="AJ117:AJ118"/>
    <mergeCell ref="E120:E121"/>
    <mergeCell ref="U120:U121"/>
    <mergeCell ref="V120:V121"/>
    <mergeCell ref="AJ120:AJ121"/>
    <mergeCell ref="E127:E128"/>
    <mergeCell ref="F127:F128"/>
    <mergeCell ref="D130:D158"/>
    <mergeCell ref="E130:E131"/>
    <mergeCell ref="AJ130:AJ131"/>
    <mergeCell ref="E134:E135"/>
    <mergeCell ref="U134:U135"/>
    <mergeCell ref="V134:V135"/>
    <mergeCell ref="AJ134:AJ135"/>
    <mergeCell ref="E137:E138"/>
    <mergeCell ref="U137:U138"/>
    <mergeCell ref="V137:V138"/>
    <mergeCell ref="AJ137:AJ138"/>
    <mergeCell ref="E139:E140"/>
    <mergeCell ref="G139:G140"/>
    <mergeCell ref="H139:H140"/>
    <mergeCell ref="I139:I140"/>
    <mergeCell ref="U139:U140"/>
    <mergeCell ref="U113:U114"/>
    <mergeCell ref="V113:V114"/>
    <mergeCell ref="AJ113:AJ114"/>
    <mergeCell ref="E115:E116"/>
    <mergeCell ref="U115:U116"/>
    <mergeCell ref="V115:V116"/>
    <mergeCell ref="AJ115:AJ116"/>
    <mergeCell ref="D87:D129"/>
    <mergeCell ref="E87:E88"/>
    <mergeCell ref="F87:F88"/>
    <mergeCell ref="E91:E92"/>
    <mergeCell ref="E102:E103"/>
    <mergeCell ref="F102:F103"/>
    <mergeCell ref="E104:E105"/>
    <mergeCell ref="E113:E114"/>
    <mergeCell ref="E117:E118"/>
    <mergeCell ref="E122:E123"/>
    <mergeCell ref="U122:U123"/>
    <mergeCell ref="V122:V123"/>
    <mergeCell ref="AJ122:AJ123"/>
    <mergeCell ref="E124:E125"/>
    <mergeCell ref="F124:F126"/>
    <mergeCell ref="AJ124:AJ125"/>
    <mergeCell ref="U117:U118"/>
    <mergeCell ref="AJ71:AJ72"/>
    <mergeCell ref="E73:E74"/>
    <mergeCell ref="F73:F74"/>
    <mergeCell ref="U73:U74"/>
    <mergeCell ref="V73:V74"/>
    <mergeCell ref="E76:E77"/>
    <mergeCell ref="F76:F77"/>
    <mergeCell ref="U76:U77"/>
    <mergeCell ref="V76:V77"/>
    <mergeCell ref="D63:D86"/>
    <mergeCell ref="E63:E64"/>
    <mergeCell ref="F63:F64"/>
    <mergeCell ref="U63:U64"/>
    <mergeCell ref="V63:V64"/>
    <mergeCell ref="E71:E72"/>
    <mergeCell ref="U71:U72"/>
    <mergeCell ref="V71:V72"/>
    <mergeCell ref="E78:E79"/>
    <mergeCell ref="E82:E83"/>
    <mergeCell ref="F82:F83"/>
    <mergeCell ref="U82:U83"/>
    <mergeCell ref="V82:V83"/>
    <mergeCell ref="E84:E85"/>
    <mergeCell ref="F84:F85"/>
    <mergeCell ref="U84:U85"/>
    <mergeCell ref="V84:V85"/>
    <mergeCell ref="F78:F79"/>
    <mergeCell ref="U78:U79"/>
    <mergeCell ref="V78:V79"/>
    <mergeCell ref="E80:E81"/>
    <mergeCell ref="F80:F81"/>
    <mergeCell ref="U80:U81"/>
    <mergeCell ref="V80:V81"/>
    <mergeCell ref="E42:E43"/>
    <mergeCell ref="AJ42:AJ43"/>
    <mergeCell ref="D50:D62"/>
    <mergeCell ref="E54:E55"/>
    <mergeCell ref="F54:F55"/>
    <mergeCell ref="U54:U55"/>
    <mergeCell ref="V54:V55"/>
    <mergeCell ref="E60:E61"/>
    <mergeCell ref="F60:F61"/>
    <mergeCell ref="U60:U61"/>
    <mergeCell ref="D14:D49"/>
    <mergeCell ref="V60:V61"/>
    <mergeCell ref="U36:U37"/>
    <mergeCell ref="V36:V37"/>
    <mergeCell ref="E38:E39"/>
    <mergeCell ref="F38:F39"/>
    <mergeCell ref="U38:U39"/>
    <mergeCell ref="V38:V39"/>
    <mergeCell ref="E32:E33"/>
    <mergeCell ref="F32:F33"/>
    <mergeCell ref="E34:E35"/>
    <mergeCell ref="F34:F35"/>
    <mergeCell ref="E36:E37"/>
    <mergeCell ref="F36:F37"/>
    <mergeCell ref="E27:E28"/>
    <mergeCell ref="F27:F28"/>
    <mergeCell ref="U27:U28"/>
    <mergeCell ref="V27:V28"/>
    <mergeCell ref="E29:E30"/>
    <mergeCell ref="U29:U30"/>
    <mergeCell ref="V29:V30"/>
    <mergeCell ref="U22:U23"/>
    <mergeCell ref="V22:V23"/>
    <mergeCell ref="AJ22:AJ23"/>
    <mergeCell ref="E24:E25"/>
    <mergeCell ref="F24:F25"/>
    <mergeCell ref="U24:U25"/>
    <mergeCell ref="V24:V25"/>
    <mergeCell ref="W12:W13"/>
    <mergeCell ref="Y12:Z12"/>
    <mergeCell ref="AC12:AD12"/>
    <mergeCell ref="AL12:AL13"/>
    <mergeCell ref="E16:E18"/>
    <mergeCell ref="AJ16:AJ17"/>
    <mergeCell ref="E19:E21"/>
    <mergeCell ref="AJ19:AJ20"/>
    <mergeCell ref="E22:E23"/>
    <mergeCell ref="M10:M13"/>
    <mergeCell ref="N10:N13"/>
    <mergeCell ref="O10:O11"/>
    <mergeCell ref="P10:P13"/>
    <mergeCell ref="Q10:Q13"/>
    <mergeCell ref="R10:R13"/>
    <mergeCell ref="O12:O13"/>
    <mergeCell ref="U12:U13"/>
    <mergeCell ref="V12:V13"/>
    <mergeCell ref="AT10:AT13"/>
    <mergeCell ref="AU10:AU13"/>
    <mergeCell ref="AW10:BA10"/>
    <mergeCell ref="BD10:BD13"/>
    <mergeCell ref="BE10:BE13"/>
    <mergeCell ref="X11:AA11"/>
    <mergeCell ref="AN10:AN13"/>
    <mergeCell ref="AO10:AO13"/>
    <mergeCell ref="AP10:AP13"/>
    <mergeCell ref="AQ10:AQ13"/>
    <mergeCell ref="AR10:AR13"/>
    <mergeCell ref="AS10:AS13"/>
    <mergeCell ref="S1:S2"/>
    <mergeCell ref="E3:L4"/>
    <mergeCell ref="E5:J6"/>
    <mergeCell ref="E8:F8"/>
    <mergeCell ref="AL9:AU9"/>
    <mergeCell ref="AV9:BB9"/>
    <mergeCell ref="BC9:BF9"/>
    <mergeCell ref="D10:D13"/>
    <mergeCell ref="E10:E13"/>
    <mergeCell ref="F10:F13"/>
    <mergeCell ref="G10:G13"/>
    <mergeCell ref="H10:H13"/>
    <mergeCell ref="I10:I13"/>
    <mergeCell ref="J10:J13"/>
    <mergeCell ref="K10:K13"/>
    <mergeCell ref="L10:L13"/>
    <mergeCell ref="S10:W11"/>
    <mergeCell ref="X10:AB10"/>
    <mergeCell ref="AC10:AD10"/>
    <mergeCell ref="AG10:AI10"/>
    <mergeCell ref="AL10:AL11"/>
    <mergeCell ref="AM10:AM13"/>
    <mergeCell ref="S12:S13"/>
    <mergeCell ref="T12:T13"/>
  </mergeCells>
  <conditionalFormatting sqref="E1:E3 E5 E64:E89 E91 E93:E130 E132:E139 E141 E161 E163:E165">
    <cfRule type="cellIs" dxfId="29" priority="29" stopIfTrue="1" operator="lessThan">
      <formula>0</formula>
    </cfRule>
  </conditionalFormatting>
  <conditionalFormatting sqref="E7:E62">
    <cfRule type="cellIs" dxfId="28" priority="23" stopIfTrue="1" operator="lessThan">
      <formula>0</formula>
    </cfRule>
  </conditionalFormatting>
  <conditionalFormatting sqref="E143:E153">
    <cfRule type="cellIs" dxfId="27" priority="26" stopIfTrue="1" operator="lessThan">
      <formula>0</formula>
    </cfRule>
  </conditionalFormatting>
  <conditionalFormatting sqref="E155:E159">
    <cfRule type="cellIs" dxfId="26" priority="25" stopIfTrue="1" operator="lessThan">
      <formula>0</formula>
    </cfRule>
  </conditionalFormatting>
  <conditionalFormatting sqref="E168:E173">
    <cfRule type="cellIs" dxfId="25" priority="24" stopIfTrue="1" operator="lessThan">
      <formula>0</formula>
    </cfRule>
  </conditionalFormatting>
  <conditionalFormatting sqref="E175:E178">
    <cfRule type="cellIs" dxfId="24" priority="22" stopIfTrue="1" operator="lessThan">
      <formula>0</formula>
    </cfRule>
  </conditionalFormatting>
  <conditionalFormatting sqref="E187:E189">
    <cfRule type="cellIs" dxfId="23" priority="19" stopIfTrue="1" operator="lessThan">
      <formula>0</formula>
    </cfRule>
  </conditionalFormatting>
  <conditionalFormatting sqref="E191:E194">
    <cfRule type="cellIs" dxfId="22" priority="18" stopIfTrue="1" operator="lessThan">
      <formula>0</formula>
    </cfRule>
  </conditionalFormatting>
  <conditionalFormatting sqref="E196">
    <cfRule type="cellIs" dxfId="21" priority="20" stopIfTrue="1" operator="lessThan">
      <formula>0</formula>
    </cfRule>
  </conditionalFormatting>
  <conditionalFormatting sqref="E204">
    <cfRule type="cellIs" dxfId="20" priority="21" stopIfTrue="1" operator="lessThan">
      <formula>0</formula>
    </cfRule>
  </conditionalFormatting>
  <conditionalFormatting sqref="E208 E210">
    <cfRule type="cellIs" dxfId="19" priority="17" stopIfTrue="1" operator="lessThan">
      <formula>0</formula>
    </cfRule>
  </conditionalFormatting>
  <conditionalFormatting sqref="E213:E214">
    <cfRule type="cellIs" dxfId="18" priority="16" stopIfTrue="1" operator="lessThan">
      <formula>0</formula>
    </cfRule>
  </conditionalFormatting>
  <conditionalFormatting sqref="E217:E219">
    <cfRule type="cellIs" dxfId="17" priority="12" stopIfTrue="1" operator="lessThan">
      <formula>0</formula>
    </cfRule>
  </conditionalFormatting>
  <conditionalFormatting sqref="E221:E1048576">
    <cfRule type="cellIs" dxfId="16" priority="5" stopIfTrue="1" operator="lessThan">
      <formula>0</formula>
    </cfRule>
  </conditionalFormatting>
  <conditionalFormatting sqref="J208:J209">
    <cfRule type="duplicateValues" dxfId="15" priority="15"/>
  </conditionalFormatting>
  <conditionalFormatting sqref="J208:J216">
    <cfRule type="duplicateValues" dxfId="14" priority="14"/>
  </conditionalFormatting>
  <conditionalFormatting sqref="J217:J218">
    <cfRule type="duplicateValues" dxfId="13" priority="11"/>
  </conditionalFormatting>
  <conditionalFormatting sqref="J217:J224">
    <cfRule type="duplicateValues" dxfId="12" priority="13"/>
  </conditionalFormatting>
  <conditionalFormatting sqref="J225:J228">
    <cfRule type="duplicateValues" dxfId="11" priority="10"/>
  </conditionalFormatting>
  <conditionalFormatting sqref="J229:J230">
    <cfRule type="duplicateValues" dxfId="10" priority="9"/>
  </conditionalFormatting>
  <conditionalFormatting sqref="K139">
    <cfRule type="duplicateValues" dxfId="9" priority="1"/>
    <cfRule type="duplicateValues" dxfId="8" priority="2"/>
    <cfRule type="duplicateValues" dxfId="7" priority="3"/>
  </conditionalFormatting>
  <conditionalFormatting sqref="M14:N230">
    <cfRule type="cellIs" dxfId="6" priority="6" stopIfTrue="1" operator="greaterThan">
      <formula>1</formula>
    </cfRule>
  </conditionalFormatting>
  <conditionalFormatting sqref="M244:N249">
    <cfRule type="cellIs" dxfId="5" priority="30" stopIfTrue="1" operator="greaterThan">
      <formula>1</formula>
    </cfRule>
  </conditionalFormatting>
  <conditionalFormatting sqref="Q14:R230">
    <cfRule type="cellIs" dxfId="4" priority="8" stopIfTrue="1" operator="greaterThan">
      <formula>1</formula>
    </cfRule>
  </conditionalFormatting>
  <conditionalFormatting sqref="Q244:R249">
    <cfRule type="cellIs" dxfId="3" priority="28" stopIfTrue="1" operator="greaterThan">
      <formula>1</formula>
    </cfRule>
  </conditionalFormatting>
  <conditionalFormatting sqref="R7">
    <cfRule type="cellIs" dxfId="2" priority="27" stopIfTrue="1" operator="greaterThan">
      <formula>1</formula>
    </cfRule>
  </conditionalFormatting>
  <conditionalFormatting sqref="AF14:AF230">
    <cfRule type="cellIs" dxfId="1" priority="7" operator="lessThan">
      <formula>1</formula>
    </cfRule>
  </conditionalFormatting>
  <conditionalFormatting sqref="AF232:AF241">
    <cfRule type="cellIs" dxfId="0" priority="4" operator="lessThan">
      <formula>-93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BOM Update</vt:lpstr>
      <vt:lpstr>72130-X7V72</vt:lpstr>
      <vt:lpstr>Inventory list (Line)</vt:lpstr>
      <vt:lpstr>Component Part List</vt:lpstr>
      <vt:lpstr>FG List</vt:lpstr>
      <vt:lpstr>Press Part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Arisara Rekhapichitsak</dc:creator>
  <cp:lastModifiedBy>montoln auengapitum</cp:lastModifiedBy>
  <cp:lastPrinted>2025-04-23T10:23:25Z</cp:lastPrinted>
  <dcterms:created xsi:type="dcterms:W3CDTF">2025-04-22T08:47:48Z</dcterms:created>
  <dcterms:modified xsi:type="dcterms:W3CDTF">2026-04-23T04:17:55Z</dcterms:modified>
</cp:coreProperties>
</file>